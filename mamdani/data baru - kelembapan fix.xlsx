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genta\"/>
    </mc:Choice>
  </mc:AlternateContent>
  <xr:revisionPtr revIDLastSave="0" documentId="13_ncr:1_{E326A6A8-0207-4730-AC57-DE24DD5A3E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e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  <c r="U7" i="1"/>
  <c r="U5" i="1"/>
  <c r="U3" i="1"/>
  <c r="U9" i="1"/>
  <c r="U6" i="1"/>
  <c r="U4" i="1"/>
  <c r="T8" i="1"/>
  <c r="T7" i="1"/>
  <c r="T6" i="1"/>
  <c r="T5" i="1"/>
  <c r="T4" i="1"/>
  <c r="T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" i="1"/>
  <c r="M254" i="1"/>
  <c r="M476" i="1"/>
  <c r="M1527" i="1"/>
  <c r="M1559" i="1"/>
  <c r="M1692" i="1"/>
  <c r="M1820" i="1"/>
  <c r="M1948" i="1"/>
  <c r="M2076" i="1"/>
  <c r="K2" i="1"/>
  <c r="M2" i="1" s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66" i="1"/>
  <c r="M66" i="1" s="1"/>
  <c r="K67" i="1"/>
  <c r="M67" i="1" s="1"/>
  <c r="K68" i="1"/>
  <c r="M68" i="1" s="1"/>
  <c r="K69" i="1"/>
  <c r="M69" i="1" s="1"/>
  <c r="K70" i="1"/>
  <c r="M70" i="1" s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5" i="1"/>
  <c r="M85" i="1" s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M101" i="1" s="1"/>
  <c r="K102" i="1"/>
  <c r="M102" i="1" s="1"/>
  <c r="K103" i="1"/>
  <c r="M103" i="1" s="1"/>
  <c r="K104" i="1"/>
  <c r="M104" i="1" s="1"/>
  <c r="K105" i="1"/>
  <c r="M105" i="1" s="1"/>
  <c r="K106" i="1"/>
  <c r="M106" i="1" s="1"/>
  <c r="K107" i="1"/>
  <c r="M107" i="1" s="1"/>
  <c r="K108" i="1"/>
  <c r="M108" i="1" s="1"/>
  <c r="K109" i="1"/>
  <c r="M109" i="1" s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M117" i="1" s="1"/>
  <c r="K118" i="1"/>
  <c r="M118" i="1" s="1"/>
  <c r="K119" i="1"/>
  <c r="M119" i="1" s="1"/>
  <c r="K120" i="1"/>
  <c r="M120" i="1" s="1"/>
  <c r="K121" i="1"/>
  <c r="M121" i="1" s="1"/>
  <c r="K122" i="1"/>
  <c r="M122" i="1" s="1"/>
  <c r="K123" i="1"/>
  <c r="M123" i="1" s="1"/>
  <c r="K124" i="1"/>
  <c r="M124" i="1" s="1"/>
  <c r="K125" i="1"/>
  <c r="M125" i="1" s="1"/>
  <c r="K126" i="1"/>
  <c r="M126" i="1" s="1"/>
  <c r="K127" i="1"/>
  <c r="M127" i="1" s="1"/>
  <c r="K128" i="1"/>
  <c r="M128" i="1" s="1"/>
  <c r="K129" i="1"/>
  <c r="M129" i="1" s="1"/>
  <c r="K130" i="1"/>
  <c r="M130" i="1" s="1"/>
  <c r="K131" i="1"/>
  <c r="M131" i="1" s="1"/>
  <c r="K132" i="1"/>
  <c r="M132" i="1" s="1"/>
  <c r="K133" i="1"/>
  <c r="M133" i="1" s="1"/>
  <c r="K134" i="1"/>
  <c r="M134" i="1" s="1"/>
  <c r="K135" i="1"/>
  <c r="M135" i="1" s="1"/>
  <c r="K136" i="1"/>
  <c r="M136" i="1" s="1"/>
  <c r="K137" i="1"/>
  <c r="M137" i="1" s="1"/>
  <c r="K138" i="1"/>
  <c r="M138" i="1" s="1"/>
  <c r="K139" i="1"/>
  <c r="M139" i="1" s="1"/>
  <c r="K140" i="1"/>
  <c r="M140" i="1" s="1"/>
  <c r="K141" i="1"/>
  <c r="M141" i="1" s="1"/>
  <c r="K142" i="1"/>
  <c r="M142" i="1" s="1"/>
  <c r="K143" i="1"/>
  <c r="M143" i="1" s="1"/>
  <c r="K144" i="1"/>
  <c r="M144" i="1" s="1"/>
  <c r="K145" i="1"/>
  <c r="M145" i="1" s="1"/>
  <c r="K146" i="1"/>
  <c r="M146" i="1" s="1"/>
  <c r="K147" i="1"/>
  <c r="M147" i="1" s="1"/>
  <c r="K148" i="1"/>
  <c r="M148" i="1" s="1"/>
  <c r="K149" i="1"/>
  <c r="M149" i="1" s="1"/>
  <c r="K150" i="1"/>
  <c r="M150" i="1" s="1"/>
  <c r="K151" i="1"/>
  <c r="M151" i="1" s="1"/>
  <c r="K152" i="1"/>
  <c r="M152" i="1" s="1"/>
  <c r="K153" i="1"/>
  <c r="M153" i="1" s="1"/>
  <c r="K154" i="1"/>
  <c r="M154" i="1" s="1"/>
  <c r="K155" i="1"/>
  <c r="M155" i="1" s="1"/>
  <c r="K156" i="1"/>
  <c r="M156" i="1" s="1"/>
  <c r="K157" i="1"/>
  <c r="M157" i="1" s="1"/>
  <c r="K158" i="1"/>
  <c r="M158" i="1" s="1"/>
  <c r="K159" i="1"/>
  <c r="M159" i="1" s="1"/>
  <c r="K160" i="1"/>
  <c r="M160" i="1" s="1"/>
  <c r="K161" i="1"/>
  <c r="M161" i="1" s="1"/>
  <c r="K162" i="1"/>
  <c r="M162" i="1" s="1"/>
  <c r="K163" i="1"/>
  <c r="M163" i="1" s="1"/>
  <c r="K164" i="1"/>
  <c r="M164" i="1" s="1"/>
  <c r="K165" i="1"/>
  <c r="M165" i="1" s="1"/>
  <c r="K166" i="1"/>
  <c r="M166" i="1" s="1"/>
  <c r="K167" i="1"/>
  <c r="M167" i="1" s="1"/>
  <c r="K168" i="1"/>
  <c r="M168" i="1" s="1"/>
  <c r="K169" i="1"/>
  <c r="M169" i="1" s="1"/>
  <c r="K170" i="1"/>
  <c r="M170" i="1" s="1"/>
  <c r="K171" i="1"/>
  <c r="M171" i="1" s="1"/>
  <c r="K172" i="1"/>
  <c r="M172" i="1" s="1"/>
  <c r="K173" i="1"/>
  <c r="M173" i="1" s="1"/>
  <c r="K174" i="1"/>
  <c r="M174" i="1" s="1"/>
  <c r="K175" i="1"/>
  <c r="M175" i="1" s="1"/>
  <c r="K176" i="1"/>
  <c r="M176" i="1" s="1"/>
  <c r="K177" i="1"/>
  <c r="M177" i="1" s="1"/>
  <c r="K178" i="1"/>
  <c r="M178" i="1" s="1"/>
  <c r="K179" i="1"/>
  <c r="M179" i="1" s="1"/>
  <c r="K180" i="1"/>
  <c r="M180" i="1" s="1"/>
  <c r="K181" i="1"/>
  <c r="M181" i="1" s="1"/>
  <c r="K182" i="1"/>
  <c r="M182" i="1" s="1"/>
  <c r="K183" i="1"/>
  <c r="M183" i="1" s="1"/>
  <c r="K184" i="1"/>
  <c r="M184" i="1" s="1"/>
  <c r="K185" i="1"/>
  <c r="M185" i="1" s="1"/>
  <c r="K186" i="1"/>
  <c r="M186" i="1" s="1"/>
  <c r="K187" i="1"/>
  <c r="M187" i="1" s="1"/>
  <c r="K188" i="1"/>
  <c r="M188" i="1" s="1"/>
  <c r="K189" i="1"/>
  <c r="M189" i="1" s="1"/>
  <c r="K190" i="1"/>
  <c r="M190" i="1" s="1"/>
  <c r="K191" i="1"/>
  <c r="M191" i="1" s="1"/>
  <c r="K192" i="1"/>
  <c r="M192" i="1" s="1"/>
  <c r="K193" i="1"/>
  <c r="M193" i="1" s="1"/>
  <c r="K194" i="1"/>
  <c r="M194" i="1" s="1"/>
  <c r="K195" i="1"/>
  <c r="M195" i="1" s="1"/>
  <c r="K196" i="1"/>
  <c r="M196" i="1" s="1"/>
  <c r="K197" i="1"/>
  <c r="M197" i="1" s="1"/>
  <c r="K198" i="1"/>
  <c r="M198" i="1" s="1"/>
  <c r="K199" i="1"/>
  <c r="M199" i="1" s="1"/>
  <c r="K200" i="1"/>
  <c r="M200" i="1" s="1"/>
  <c r="K201" i="1"/>
  <c r="M201" i="1" s="1"/>
  <c r="K202" i="1"/>
  <c r="M202" i="1" s="1"/>
  <c r="K203" i="1"/>
  <c r="M203" i="1" s="1"/>
  <c r="K204" i="1"/>
  <c r="M204" i="1" s="1"/>
  <c r="K205" i="1"/>
  <c r="M205" i="1" s="1"/>
  <c r="K206" i="1"/>
  <c r="M206" i="1" s="1"/>
  <c r="K207" i="1"/>
  <c r="M207" i="1" s="1"/>
  <c r="K208" i="1"/>
  <c r="M208" i="1" s="1"/>
  <c r="K209" i="1"/>
  <c r="M209" i="1" s="1"/>
  <c r="K210" i="1"/>
  <c r="M210" i="1" s="1"/>
  <c r="K211" i="1"/>
  <c r="M211" i="1" s="1"/>
  <c r="K212" i="1"/>
  <c r="M212" i="1" s="1"/>
  <c r="K213" i="1"/>
  <c r="M213" i="1" s="1"/>
  <c r="K214" i="1"/>
  <c r="M214" i="1" s="1"/>
  <c r="K215" i="1"/>
  <c r="M215" i="1" s="1"/>
  <c r="K216" i="1"/>
  <c r="M216" i="1" s="1"/>
  <c r="K217" i="1"/>
  <c r="M217" i="1" s="1"/>
  <c r="K218" i="1"/>
  <c r="M218" i="1" s="1"/>
  <c r="K219" i="1"/>
  <c r="M219" i="1" s="1"/>
  <c r="K220" i="1"/>
  <c r="M220" i="1" s="1"/>
  <c r="K221" i="1"/>
  <c r="M221" i="1" s="1"/>
  <c r="K222" i="1"/>
  <c r="M222" i="1" s="1"/>
  <c r="K223" i="1"/>
  <c r="M223" i="1" s="1"/>
  <c r="K224" i="1"/>
  <c r="M224" i="1" s="1"/>
  <c r="K225" i="1"/>
  <c r="M225" i="1" s="1"/>
  <c r="K226" i="1"/>
  <c r="M226" i="1" s="1"/>
  <c r="K227" i="1"/>
  <c r="M227" i="1" s="1"/>
  <c r="K228" i="1"/>
  <c r="M228" i="1" s="1"/>
  <c r="K229" i="1"/>
  <c r="M229" i="1" s="1"/>
  <c r="K230" i="1"/>
  <c r="M230" i="1" s="1"/>
  <c r="K231" i="1"/>
  <c r="M231" i="1" s="1"/>
  <c r="K232" i="1"/>
  <c r="M232" i="1" s="1"/>
  <c r="K233" i="1"/>
  <c r="M233" i="1" s="1"/>
  <c r="K234" i="1"/>
  <c r="M234" i="1" s="1"/>
  <c r="K235" i="1"/>
  <c r="M235" i="1" s="1"/>
  <c r="K236" i="1"/>
  <c r="M236" i="1" s="1"/>
  <c r="K237" i="1"/>
  <c r="M237" i="1" s="1"/>
  <c r="K238" i="1"/>
  <c r="M238" i="1" s="1"/>
  <c r="K239" i="1"/>
  <c r="M239" i="1" s="1"/>
  <c r="K240" i="1"/>
  <c r="M240" i="1" s="1"/>
  <c r="K241" i="1"/>
  <c r="M241" i="1" s="1"/>
  <c r="K242" i="1"/>
  <c r="M242" i="1" s="1"/>
  <c r="K243" i="1"/>
  <c r="M243" i="1" s="1"/>
  <c r="K244" i="1"/>
  <c r="M244" i="1" s="1"/>
  <c r="K245" i="1"/>
  <c r="M245" i="1" s="1"/>
  <c r="K246" i="1"/>
  <c r="M246" i="1" s="1"/>
  <c r="K247" i="1"/>
  <c r="M247" i="1" s="1"/>
  <c r="K248" i="1"/>
  <c r="M248" i="1" s="1"/>
  <c r="K249" i="1"/>
  <c r="M249" i="1" s="1"/>
  <c r="K250" i="1"/>
  <c r="M250" i="1" s="1"/>
  <c r="K251" i="1"/>
  <c r="M251" i="1" s="1"/>
  <c r="K252" i="1"/>
  <c r="M252" i="1" s="1"/>
  <c r="K253" i="1"/>
  <c r="M253" i="1" s="1"/>
  <c r="K254" i="1"/>
  <c r="K255" i="1"/>
  <c r="M255" i="1" s="1"/>
  <c r="K256" i="1"/>
  <c r="M256" i="1" s="1"/>
  <c r="K257" i="1"/>
  <c r="M257" i="1" s="1"/>
  <c r="K258" i="1"/>
  <c r="M258" i="1" s="1"/>
  <c r="K259" i="1"/>
  <c r="M259" i="1" s="1"/>
  <c r="K260" i="1"/>
  <c r="M260" i="1" s="1"/>
  <c r="K261" i="1"/>
  <c r="M261" i="1" s="1"/>
  <c r="K262" i="1"/>
  <c r="M262" i="1" s="1"/>
  <c r="K263" i="1"/>
  <c r="M263" i="1" s="1"/>
  <c r="K264" i="1"/>
  <c r="M264" i="1" s="1"/>
  <c r="K265" i="1"/>
  <c r="M265" i="1" s="1"/>
  <c r="K266" i="1"/>
  <c r="M266" i="1" s="1"/>
  <c r="K267" i="1"/>
  <c r="M267" i="1" s="1"/>
  <c r="K268" i="1"/>
  <c r="M268" i="1" s="1"/>
  <c r="K269" i="1"/>
  <c r="M269" i="1" s="1"/>
  <c r="K270" i="1"/>
  <c r="M270" i="1" s="1"/>
  <c r="K271" i="1"/>
  <c r="M271" i="1" s="1"/>
  <c r="K272" i="1"/>
  <c r="M272" i="1" s="1"/>
  <c r="K273" i="1"/>
  <c r="M273" i="1" s="1"/>
  <c r="K274" i="1"/>
  <c r="M274" i="1" s="1"/>
  <c r="K275" i="1"/>
  <c r="M275" i="1" s="1"/>
  <c r="K276" i="1"/>
  <c r="M276" i="1" s="1"/>
  <c r="K277" i="1"/>
  <c r="M277" i="1" s="1"/>
  <c r="K278" i="1"/>
  <c r="M278" i="1" s="1"/>
  <c r="K279" i="1"/>
  <c r="M279" i="1" s="1"/>
  <c r="K280" i="1"/>
  <c r="M280" i="1" s="1"/>
  <c r="K281" i="1"/>
  <c r="M281" i="1" s="1"/>
  <c r="K282" i="1"/>
  <c r="M282" i="1" s="1"/>
  <c r="K283" i="1"/>
  <c r="M283" i="1" s="1"/>
  <c r="K284" i="1"/>
  <c r="M284" i="1" s="1"/>
  <c r="K285" i="1"/>
  <c r="M285" i="1" s="1"/>
  <c r="K286" i="1"/>
  <c r="M286" i="1" s="1"/>
  <c r="K287" i="1"/>
  <c r="M287" i="1" s="1"/>
  <c r="K288" i="1"/>
  <c r="M288" i="1" s="1"/>
  <c r="K289" i="1"/>
  <c r="M289" i="1" s="1"/>
  <c r="K290" i="1"/>
  <c r="M290" i="1" s="1"/>
  <c r="K291" i="1"/>
  <c r="M291" i="1" s="1"/>
  <c r="K292" i="1"/>
  <c r="M292" i="1" s="1"/>
  <c r="K293" i="1"/>
  <c r="M293" i="1" s="1"/>
  <c r="K294" i="1"/>
  <c r="M294" i="1" s="1"/>
  <c r="K295" i="1"/>
  <c r="M295" i="1" s="1"/>
  <c r="K296" i="1"/>
  <c r="M296" i="1" s="1"/>
  <c r="K297" i="1"/>
  <c r="M297" i="1" s="1"/>
  <c r="K298" i="1"/>
  <c r="M298" i="1" s="1"/>
  <c r="K299" i="1"/>
  <c r="M299" i="1" s="1"/>
  <c r="K300" i="1"/>
  <c r="M300" i="1" s="1"/>
  <c r="K301" i="1"/>
  <c r="M301" i="1" s="1"/>
  <c r="K302" i="1"/>
  <c r="M302" i="1" s="1"/>
  <c r="K303" i="1"/>
  <c r="M303" i="1" s="1"/>
  <c r="K304" i="1"/>
  <c r="M304" i="1" s="1"/>
  <c r="K305" i="1"/>
  <c r="M305" i="1" s="1"/>
  <c r="K306" i="1"/>
  <c r="M306" i="1" s="1"/>
  <c r="K307" i="1"/>
  <c r="M307" i="1" s="1"/>
  <c r="K308" i="1"/>
  <c r="M308" i="1" s="1"/>
  <c r="K309" i="1"/>
  <c r="M309" i="1" s="1"/>
  <c r="K310" i="1"/>
  <c r="M310" i="1" s="1"/>
  <c r="K311" i="1"/>
  <c r="M311" i="1" s="1"/>
  <c r="K312" i="1"/>
  <c r="M312" i="1" s="1"/>
  <c r="K313" i="1"/>
  <c r="M313" i="1" s="1"/>
  <c r="K314" i="1"/>
  <c r="M314" i="1" s="1"/>
  <c r="K315" i="1"/>
  <c r="M315" i="1" s="1"/>
  <c r="K316" i="1"/>
  <c r="M316" i="1" s="1"/>
  <c r="K317" i="1"/>
  <c r="M317" i="1" s="1"/>
  <c r="K318" i="1"/>
  <c r="M318" i="1" s="1"/>
  <c r="K319" i="1"/>
  <c r="M319" i="1" s="1"/>
  <c r="K320" i="1"/>
  <c r="M320" i="1" s="1"/>
  <c r="K321" i="1"/>
  <c r="M321" i="1" s="1"/>
  <c r="K322" i="1"/>
  <c r="M322" i="1" s="1"/>
  <c r="K323" i="1"/>
  <c r="M323" i="1" s="1"/>
  <c r="K324" i="1"/>
  <c r="M324" i="1" s="1"/>
  <c r="K325" i="1"/>
  <c r="M325" i="1" s="1"/>
  <c r="K326" i="1"/>
  <c r="M326" i="1" s="1"/>
  <c r="K327" i="1"/>
  <c r="M327" i="1" s="1"/>
  <c r="K328" i="1"/>
  <c r="M328" i="1" s="1"/>
  <c r="K329" i="1"/>
  <c r="M329" i="1" s="1"/>
  <c r="K330" i="1"/>
  <c r="M330" i="1" s="1"/>
  <c r="K331" i="1"/>
  <c r="M331" i="1" s="1"/>
  <c r="K332" i="1"/>
  <c r="M332" i="1" s="1"/>
  <c r="K333" i="1"/>
  <c r="M333" i="1" s="1"/>
  <c r="K334" i="1"/>
  <c r="M334" i="1" s="1"/>
  <c r="K335" i="1"/>
  <c r="M335" i="1" s="1"/>
  <c r="K336" i="1"/>
  <c r="M336" i="1" s="1"/>
  <c r="K337" i="1"/>
  <c r="M337" i="1" s="1"/>
  <c r="K338" i="1"/>
  <c r="M338" i="1" s="1"/>
  <c r="K339" i="1"/>
  <c r="M339" i="1" s="1"/>
  <c r="K340" i="1"/>
  <c r="M340" i="1" s="1"/>
  <c r="K341" i="1"/>
  <c r="M341" i="1" s="1"/>
  <c r="K342" i="1"/>
  <c r="M342" i="1" s="1"/>
  <c r="K343" i="1"/>
  <c r="M343" i="1" s="1"/>
  <c r="K344" i="1"/>
  <c r="M344" i="1" s="1"/>
  <c r="K345" i="1"/>
  <c r="M345" i="1" s="1"/>
  <c r="K346" i="1"/>
  <c r="M346" i="1" s="1"/>
  <c r="K347" i="1"/>
  <c r="M347" i="1" s="1"/>
  <c r="K348" i="1"/>
  <c r="M348" i="1" s="1"/>
  <c r="K349" i="1"/>
  <c r="M349" i="1" s="1"/>
  <c r="K350" i="1"/>
  <c r="M350" i="1" s="1"/>
  <c r="K351" i="1"/>
  <c r="M351" i="1" s="1"/>
  <c r="K352" i="1"/>
  <c r="M352" i="1" s="1"/>
  <c r="K353" i="1"/>
  <c r="M353" i="1" s="1"/>
  <c r="K354" i="1"/>
  <c r="M354" i="1" s="1"/>
  <c r="K355" i="1"/>
  <c r="M355" i="1" s="1"/>
  <c r="K356" i="1"/>
  <c r="M356" i="1" s="1"/>
  <c r="K357" i="1"/>
  <c r="M357" i="1" s="1"/>
  <c r="K358" i="1"/>
  <c r="M358" i="1" s="1"/>
  <c r="K359" i="1"/>
  <c r="M359" i="1" s="1"/>
  <c r="K360" i="1"/>
  <c r="M360" i="1" s="1"/>
  <c r="K361" i="1"/>
  <c r="M361" i="1" s="1"/>
  <c r="K362" i="1"/>
  <c r="M362" i="1" s="1"/>
  <c r="K363" i="1"/>
  <c r="M363" i="1" s="1"/>
  <c r="K364" i="1"/>
  <c r="M364" i="1" s="1"/>
  <c r="K365" i="1"/>
  <c r="M365" i="1" s="1"/>
  <c r="K366" i="1"/>
  <c r="M366" i="1" s="1"/>
  <c r="K367" i="1"/>
  <c r="M367" i="1" s="1"/>
  <c r="K368" i="1"/>
  <c r="M368" i="1" s="1"/>
  <c r="K369" i="1"/>
  <c r="M369" i="1" s="1"/>
  <c r="K370" i="1"/>
  <c r="M370" i="1" s="1"/>
  <c r="K371" i="1"/>
  <c r="M371" i="1" s="1"/>
  <c r="K372" i="1"/>
  <c r="M372" i="1" s="1"/>
  <c r="K373" i="1"/>
  <c r="M373" i="1" s="1"/>
  <c r="K374" i="1"/>
  <c r="M374" i="1" s="1"/>
  <c r="K375" i="1"/>
  <c r="M375" i="1" s="1"/>
  <c r="K376" i="1"/>
  <c r="M376" i="1" s="1"/>
  <c r="K377" i="1"/>
  <c r="M377" i="1" s="1"/>
  <c r="K378" i="1"/>
  <c r="M378" i="1" s="1"/>
  <c r="K379" i="1"/>
  <c r="M379" i="1" s="1"/>
  <c r="K380" i="1"/>
  <c r="M380" i="1" s="1"/>
  <c r="K381" i="1"/>
  <c r="M381" i="1" s="1"/>
  <c r="K382" i="1"/>
  <c r="M382" i="1" s="1"/>
  <c r="K383" i="1"/>
  <c r="M383" i="1" s="1"/>
  <c r="K384" i="1"/>
  <c r="M384" i="1" s="1"/>
  <c r="K385" i="1"/>
  <c r="M385" i="1" s="1"/>
  <c r="K386" i="1"/>
  <c r="M386" i="1" s="1"/>
  <c r="K387" i="1"/>
  <c r="M387" i="1" s="1"/>
  <c r="K388" i="1"/>
  <c r="M388" i="1" s="1"/>
  <c r="K389" i="1"/>
  <c r="M389" i="1" s="1"/>
  <c r="K390" i="1"/>
  <c r="M390" i="1" s="1"/>
  <c r="K391" i="1"/>
  <c r="M391" i="1" s="1"/>
  <c r="K392" i="1"/>
  <c r="M392" i="1" s="1"/>
  <c r="K393" i="1"/>
  <c r="M393" i="1" s="1"/>
  <c r="K394" i="1"/>
  <c r="M394" i="1" s="1"/>
  <c r="K395" i="1"/>
  <c r="M395" i="1" s="1"/>
  <c r="K396" i="1"/>
  <c r="M396" i="1" s="1"/>
  <c r="K397" i="1"/>
  <c r="M397" i="1" s="1"/>
  <c r="K398" i="1"/>
  <c r="M398" i="1" s="1"/>
  <c r="K399" i="1"/>
  <c r="M399" i="1" s="1"/>
  <c r="K400" i="1"/>
  <c r="M400" i="1" s="1"/>
  <c r="K401" i="1"/>
  <c r="M401" i="1" s="1"/>
  <c r="K402" i="1"/>
  <c r="M402" i="1" s="1"/>
  <c r="K403" i="1"/>
  <c r="M403" i="1" s="1"/>
  <c r="K404" i="1"/>
  <c r="M404" i="1" s="1"/>
  <c r="K405" i="1"/>
  <c r="M405" i="1" s="1"/>
  <c r="K406" i="1"/>
  <c r="M406" i="1" s="1"/>
  <c r="K407" i="1"/>
  <c r="M407" i="1" s="1"/>
  <c r="K408" i="1"/>
  <c r="M408" i="1" s="1"/>
  <c r="K409" i="1"/>
  <c r="M409" i="1" s="1"/>
  <c r="K410" i="1"/>
  <c r="M410" i="1" s="1"/>
  <c r="K411" i="1"/>
  <c r="M411" i="1" s="1"/>
  <c r="K412" i="1"/>
  <c r="M412" i="1" s="1"/>
  <c r="K413" i="1"/>
  <c r="M413" i="1" s="1"/>
  <c r="K414" i="1"/>
  <c r="M414" i="1" s="1"/>
  <c r="K415" i="1"/>
  <c r="M415" i="1" s="1"/>
  <c r="K416" i="1"/>
  <c r="M416" i="1" s="1"/>
  <c r="K417" i="1"/>
  <c r="M417" i="1" s="1"/>
  <c r="K418" i="1"/>
  <c r="M418" i="1" s="1"/>
  <c r="K419" i="1"/>
  <c r="M419" i="1" s="1"/>
  <c r="K420" i="1"/>
  <c r="M420" i="1" s="1"/>
  <c r="K421" i="1"/>
  <c r="M421" i="1" s="1"/>
  <c r="K422" i="1"/>
  <c r="M422" i="1" s="1"/>
  <c r="K423" i="1"/>
  <c r="M423" i="1" s="1"/>
  <c r="K424" i="1"/>
  <c r="M424" i="1" s="1"/>
  <c r="K425" i="1"/>
  <c r="M425" i="1" s="1"/>
  <c r="K426" i="1"/>
  <c r="M426" i="1" s="1"/>
  <c r="K427" i="1"/>
  <c r="M427" i="1" s="1"/>
  <c r="K428" i="1"/>
  <c r="M428" i="1" s="1"/>
  <c r="K429" i="1"/>
  <c r="M429" i="1" s="1"/>
  <c r="K430" i="1"/>
  <c r="M430" i="1" s="1"/>
  <c r="K431" i="1"/>
  <c r="M431" i="1" s="1"/>
  <c r="K432" i="1"/>
  <c r="M432" i="1" s="1"/>
  <c r="K433" i="1"/>
  <c r="M433" i="1" s="1"/>
  <c r="K434" i="1"/>
  <c r="M434" i="1" s="1"/>
  <c r="K435" i="1"/>
  <c r="M435" i="1" s="1"/>
  <c r="K436" i="1"/>
  <c r="M436" i="1" s="1"/>
  <c r="K437" i="1"/>
  <c r="M437" i="1" s="1"/>
  <c r="K438" i="1"/>
  <c r="M438" i="1" s="1"/>
  <c r="K439" i="1"/>
  <c r="M439" i="1" s="1"/>
  <c r="K440" i="1"/>
  <c r="M440" i="1" s="1"/>
  <c r="K441" i="1"/>
  <c r="M441" i="1" s="1"/>
  <c r="K442" i="1"/>
  <c r="M442" i="1" s="1"/>
  <c r="K443" i="1"/>
  <c r="M443" i="1" s="1"/>
  <c r="K444" i="1"/>
  <c r="M444" i="1" s="1"/>
  <c r="K445" i="1"/>
  <c r="M445" i="1" s="1"/>
  <c r="K446" i="1"/>
  <c r="M446" i="1" s="1"/>
  <c r="K447" i="1"/>
  <c r="M447" i="1" s="1"/>
  <c r="K448" i="1"/>
  <c r="M448" i="1" s="1"/>
  <c r="K449" i="1"/>
  <c r="M449" i="1" s="1"/>
  <c r="K450" i="1"/>
  <c r="M450" i="1" s="1"/>
  <c r="K451" i="1"/>
  <c r="M451" i="1" s="1"/>
  <c r="K452" i="1"/>
  <c r="M452" i="1" s="1"/>
  <c r="K453" i="1"/>
  <c r="M453" i="1" s="1"/>
  <c r="K454" i="1"/>
  <c r="M454" i="1" s="1"/>
  <c r="K455" i="1"/>
  <c r="M455" i="1" s="1"/>
  <c r="K456" i="1"/>
  <c r="M456" i="1" s="1"/>
  <c r="K457" i="1"/>
  <c r="M457" i="1" s="1"/>
  <c r="K458" i="1"/>
  <c r="M458" i="1" s="1"/>
  <c r="K459" i="1"/>
  <c r="M459" i="1" s="1"/>
  <c r="K460" i="1"/>
  <c r="M460" i="1" s="1"/>
  <c r="K461" i="1"/>
  <c r="M461" i="1" s="1"/>
  <c r="K462" i="1"/>
  <c r="M462" i="1" s="1"/>
  <c r="K463" i="1"/>
  <c r="M463" i="1" s="1"/>
  <c r="K464" i="1"/>
  <c r="M464" i="1" s="1"/>
  <c r="K465" i="1"/>
  <c r="M465" i="1" s="1"/>
  <c r="K466" i="1"/>
  <c r="M466" i="1" s="1"/>
  <c r="K467" i="1"/>
  <c r="M467" i="1" s="1"/>
  <c r="K468" i="1"/>
  <c r="M468" i="1" s="1"/>
  <c r="K469" i="1"/>
  <c r="M469" i="1" s="1"/>
  <c r="K470" i="1"/>
  <c r="M470" i="1" s="1"/>
  <c r="K471" i="1"/>
  <c r="M471" i="1" s="1"/>
  <c r="K472" i="1"/>
  <c r="M472" i="1" s="1"/>
  <c r="K473" i="1"/>
  <c r="M473" i="1" s="1"/>
  <c r="K474" i="1"/>
  <c r="M474" i="1" s="1"/>
  <c r="K475" i="1"/>
  <c r="M475" i="1" s="1"/>
  <c r="K476" i="1"/>
  <c r="K477" i="1"/>
  <c r="M477" i="1" s="1"/>
  <c r="K478" i="1"/>
  <c r="M478" i="1" s="1"/>
  <c r="K479" i="1"/>
  <c r="M479" i="1" s="1"/>
  <c r="K480" i="1"/>
  <c r="M480" i="1" s="1"/>
  <c r="K481" i="1"/>
  <c r="M481" i="1" s="1"/>
  <c r="K482" i="1"/>
  <c r="M482" i="1" s="1"/>
  <c r="K483" i="1"/>
  <c r="M483" i="1" s="1"/>
  <c r="K484" i="1"/>
  <c r="M484" i="1" s="1"/>
  <c r="K485" i="1"/>
  <c r="M485" i="1" s="1"/>
  <c r="K486" i="1"/>
  <c r="M486" i="1" s="1"/>
  <c r="K487" i="1"/>
  <c r="M487" i="1" s="1"/>
  <c r="K488" i="1"/>
  <c r="M488" i="1" s="1"/>
  <c r="K489" i="1"/>
  <c r="M489" i="1" s="1"/>
  <c r="K490" i="1"/>
  <c r="M490" i="1" s="1"/>
  <c r="K491" i="1"/>
  <c r="M491" i="1" s="1"/>
  <c r="K492" i="1"/>
  <c r="M492" i="1" s="1"/>
  <c r="K493" i="1"/>
  <c r="M493" i="1" s="1"/>
  <c r="K494" i="1"/>
  <c r="M494" i="1" s="1"/>
  <c r="K495" i="1"/>
  <c r="M495" i="1" s="1"/>
  <c r="K496" i="1"/>
  <c r="M496" i="1" s="1"/>
  <c r="K497" i="1"/>
  <c r="M497" i="1" s="1"/>
  <c r="K498" i="1"/>
  <c r="M498" i="1" s="1"/>
  <c r="K499" i="1"/>
  <c r="M499" i="1" s="1"/>
  <c r="K500" i="1"/>
  <c r="M500" i="1" s="1"/>
  <c r="K501" i="1"/>
  <c r="M501" i="1" s="1"/>
  <c r="K502" i="1"/>
  <c r="M502" i="1" s="1"/>
  <c r="K503" i="1"/>
  <c r="M503" i="1" s="1"/>
  <c r="K504" i="1"/>
  <c r="M504" i="1" s="1"/>
  <c r="K505" i="1"/>
  <c r="M505" i="1" s="1"/>
  <c r="K506" i="1"/>
  <c r="M506" i="1" s="1"/>
  <c r="K507" i="1"/>
  <c r="M507" i="1" s="1"/>
  <c r="K508" i="1"/>
  <c r="M508" i="1" s="1"/>
  <c r="K509" i="1"/>
  <c r="M509" i="1" s="1"/>
  <c r="K510" i="1"/>
  <c r="M510" i="1" s="1"/>
  <c r="K511" i="1"/>
  <c r="M511" i="1" s="1"/>
  <c r="K512" i="1"/>
  <c r="M512" i="1" s="1"/>
  <c r="K513" i="1"/>
  <c r="M513" i="1" s="1"/>
  <c r="K514" i="1"/>
  <c r="M514" i="1" s="1"/>
  <c r="K515" i="1"/>
  <c r="M515" i="1" s="1"/>
  <c r="K516" i="1"/>
  <c r="M516" i="1" s="1"/>
  <c r="K517" i="1"/>
  <c r="M517" i="1" s="1"/>
  <c r="K518" i="1"/>
  <c r="M518" i="1" s="1"/>
  <c r="K519" i="1"/>
  <c r="M519" i="1" s="1"/>
  <c r="K520" i="1"/>
  <c r="M520" i="1" s="1"/>
  <c r="K521" i="1"/>
  <c r="M521" i="1" s="1"/>
  <c r="K522" i="1"/>
  <c r="M522" i="1" s="1"/>
  <c r="K523" i="1"/>
  <c r="M523" i="1" s="1"/>
  <c r="K524" i="1"/>
  <c r="M524" i="1" s="1"/>
  <c r="K525" i="1"/>
  <c r="M525" i="1" s="1"/>
  <c r="K526" i="1"/>
  <c r="M526" i="1" s="1"/>
  <c r="K527" i="1"/>
  <c r="M527" i="1" s="1"/>
  <c r="K528" i="1"/>
  <c r="M528" i="1" s="1"/>
  <c r="K529" i="1"/>
  <c r="M529" i="1" s="1"/>
  <c r="K530" i="1"/>
  <c r="M530" i="1" s="1"/>
  <c r="K531" i="1"/>
  <c r="M531" i="1" s="1"/>
  <c r="K532" i="1"/>
  <c r="M532" i="1" s="1"/>
  <c r="K533" i="1"/>
  <c r="M533" i="1" s="1"/>
  <c r="K534" i="1"/>
  <c r="M534" i="1" s="1"/>
  <c r="K535" i="1"/>
  <c r="M535" i="1" s="1"/>
  <c r="K536" i="1"/>
  <c r="M536" i="1" s="1"/>
  <c r="K537" i="1"/>
  <c r="M537" i="1" s="1"/>
  <c r="K538" i="1"/>
  <c r="M538" i="1" s="1"/>
  <c r="K539" i="1"/>
  <c r="M539" i="1" s="1"/>
  <c r="K540" i="1"/>
  <c r="M540" i="1" s="1"/>
  <c r="K541" i="1"/>
  <c r="M541" i="1" s="1"/>
  <c r="K542" i="1"/>
  <c r="M542" i="1" s="1"/>
  <c r="K543" i="1"/>
  <c r="M543" i="1" s="1"/>
  <c r="K544" i="1"/>
  <c r="M544" i="1" s="1"/>
  <c r="K545" i="1"/>
  <c r="M545" i="1" s="1"/>
  <c r="K546" i="1"/>
  <c r="M546" i="1" s="1"/>
  <c r="K547" i="1"/>
  <c r="M547" i="1" s="1"/>
  <c r="K548" i="1"/>
  <c r="M548" i="1" s="1"/>
  <c r="K549" i="1"/>
  <c r="M549" i="1" s="1"/>
  <c r="K550" i="1"/>
  <c r="M550" i="1" s="1"/>
  <c r="K551" i="1"/>
  <c r="M551" i="1" s="1"/>
  <c r="K552" i="1"/>
  <c r="M552" i="1" s="1"/>
  <c r="K553" i="1"/>
  <c r="M553" i="1" s="1"/>
  <c r="K554" i="1"/>
  <c r="M554" i="1" s="1"/>
  <c r="K555" i="1"/>
  <c r="M555" i="1" s="1"/>
  <c r="K556" i="1"/>
  <c r="M556" i="1" s="1"/>
  <c r="K557" i="1"/>
  <c r="M557" i="1" s="1"/>
  <c r="K558" i="1"/>
  <c r="M558" i="1" s="1"/>
  <c r="K559" i="1"/>
  <c r="M559" i="1" s="1"/>
  <c r="K560" i="1"/>
  <c r="M560" i="1" s="1"/>
  <c r="K561" i="1"/>
  <c r="M561" i="1" s="1"/>
  <c r="K562" i="1"/>
  <c r="M562" i="1" s="1"/>
  <c r="K563" i="1"/>
  <c r="M563" i="1" s="1"/>
  <c r="K564" i="1"/>
  <c r="M564" i="1" s="1"/>
  <c r="K565" i="1"/>
  <c r="M565" i="1" s="1"/>
  <c r="K566" i="1"/>
  <c r="M566" i="1" s="1"/>
  <c r="K567" i="1"/>
  <c r="M567" i="1" s="1"/>
  <c r="K568" i="1"/>
  <c r="M568" i="1" s="1"/>
  <c r="K569" i="1"/>
  <c r="M569" i="1" s="1"/>
  <c r="K570" i="1"/>
  <c r="M570" i="1" s="1"/>
  <c r="K571" i="1"/>
  <c r="M571" i="1" s="1"/>
  <c r="K572" i="1"/>
  <c r="M572" i="1" s="1"/>
  <c r="K573" i="1"/>
  <c r="M573" i="1" s="1"/>
  <c r="K574" i="1"/>
  <c r="M574" i="1" s="1"/>
  <c r="K575" i="1"/>
  <c r="M575" i="1" s="1"/>
  <c r="K576" i="1"/>
  <c r="M576" i="1" s="1"/>
  <c r="K577" i="1"/>
  <c r="M577" i="1" s="1"/>
  <c r="K578" i="1"/>
  <c r="M578" i="1" s="1"/>
  <c r="K579" i="1"/>
  <c r="M579" i="1" s="1"/>
  <c r="K580" i="1"/>
  <c r="M580" i="1" s="1"/>
  <c r="K581" i="1"/>
  <c r="M581" i="1" s="1"/>
  <c r="K582" i="1"/>
  <c r="M582" i="1" s="1"/>
  <c r="K583" i="1"/>
  <c r="M583" i="1" s="1"/>
  <c r="K584" i="1"/>
  <c r="M584" i="1" s="1"/>
  <c r="K585" i="1"/>
  <c r="M585" i="1" s="1"/>
  <c r="K586" i="1"/>
  <c r="M586" i="1" s="1"/>
  <c r="K587" i="1"/>
  <c r="M587" i="1" s="1"/>
  <c r="K588" i="1"/>
  <c r="M588" i="1" s="1"/>
  <c r="K589" i="1"/>
  <c r="M589" i="1" s="1"/>
  <c r="K590" i="1"/>
  <c r="M590" i="1" s="1"/>
  <c r="K591" i="1"/>
  <c r="M591" i="1" s="1"/>
  <c r="K592" i="1"/>
  <c r="M592" i="1" s="1"/>
  <c r="K593" i="1"/>
  <c r="M593" i="1" s="1"/>
  <c r="K594" i="1"/>
  <c r="M594" i="1" s="1"/>
  <c r="K595" i="1"/>
  <c r="M595" i="1" s="1"/>
  <c r="K596" i="1"/>
  <c r="M596" i="1" s="1"/>
  <c r="K597" i="1"/>
  <c r="M597" i="1" s="1"/>
  <c r="K598" i="1"/>
  <c r="M598" i="1" s="1"/>
  <c r="K599" i="1"/>
  <c r="M599" i="1" s="1"/>
  <c r="K600" i="1"/>
  <c r="M600" i="1" s="1"/>
  <c r="K601" i="1"/>
  <c r="M601" i="1" s="1"/>
  <c r="K602" i="1"/>
  <c r="M602" i="1" s="1"/>
  <c r="K603" i="1"/>
  <c r="M603" i="1" s="1"/>
  <c r="K604" i="1"/>
  <c r="M604" i="1" s="1"/>
  <c r="K605" i="1"/>
  <c r="M605" i="1" s="1"/>
  <c r="K606" i="1"/>
  <c r="M606" i="1" s="1"/>
  <c r="K607" i="1"/>
  <c r="M607" i="1" s="1"/>
  <c r="K608" i="1"/>
  <c r="M608" i="1" s="1"/>
  <c r="K609" i="1"/>
  <c r="M609" i="1" s="1"/>
  <c r="K610" i="1"/>
  <c r="M610" i="1" s="1"/>
  <c r="K611" i="1"/>
  <c r="M611" i="1" s="1"/>
  <c r="K612" i="1"/>
  <c r="M612" i="1" s="1"/>
  <c r="K613" i="1"/>
  <c r="M613" i="1" s="1"/>
  <c r="K614" i="1"/>
  <c r="M614" i="1" s="1"/>
  <c r="K615" i="1"/>
  <c r="M615" i="1" s="1"/>
  <c r="K616" i="1"/>
  <c r="M616" i="1" s="1"/>
  <c r="K617" i="1"/>
  <c r="M617" i="1" s="1"/>
  <c r="K618" i="1"/>
  <c r="M618" i="1" s="1"/>
  <c r="K619" i="1"/>
  <c r="M619" i="1" s="1"/>
  <c r="K620" i="1"/>
  <c r="M620" i="1" s="1"/>
  <c r="K621" i="1"/>
  <c r="M621" i="1" s="1"/>
  <c r="K622" i="1"/>
  <c r="M622" i="1" s="1"/>
  <c r="K623" i="1"/>
  <c r="M623" i="1" s="1"/>
  <c r="K624" i="1"/>
  <c r="M624" i="1" s="1"/>
  <c r="K625" i="1"/>
  <c r="M625" i="1" s="1"/>
  <c r="K626" i="1"/>
  <c r="M626" i="1" s="1"/>
  <c r="K627" i="1"/>
  <c r="M627" i="1" s="1"/>
  <c r="K628" i="1"/>
  <c r="M628" i="1" s="1"/>
  <c r="K629" i="1"/>
  <c r="M629" i="1" s="1"/>
  <c r="K630" i="1"/>
  <c r="M630" i="1" s="1"/>
  <c r="K631" i="1"/>
  <c r="M631" i="1" s="1"/>
  <c r="K632" i="1"/>
  <c r="M632" i="1" s="1"/>
  <c r="K633" i="1"/>
  <c r="M633" i="1" s="1"/>
  <c r="K634" i="1"/>
  <c r="M634" i="1" s="1"/>
  <c r="K635" i="1"/>
  <c r="M635" i="1" s="1"/>
  <c r="K636" i="1"/>
  <c r="M636" i="1" s="1"/>
  <c r="K637" i="1"/>
  <c r="M637" i="1" s="1"/>
  <c r="K638" i="1"/>
  <c r="M638" i="1" s="1"/>
  <c r="K639" i="1"/>
  <c r="M639" i="1" s="1"/>
  <c r="K640" i="1"/>
  <c r="M640" i="1" s="1"/>
  <c r="K641" i="1"/>
  <c r="M641" i="1" s="1"/>
  <c r="K642" i="1"/>
  <c r="M642" i="1" s="1"/>
  <c r="K643" i="1"/>
  <c r="M643" i="1" s="1"/>
  <c r="K644" i="1"/>
  <c r="M644" i="1" s="1"/>
  <c r="K645" i="1"/>
  <c r="M645" i="1" s="1"/>
  <c r="K646" i="1"/>
  <c r="M646" i="1" s="1"/>
  <c r="K647" i="1"/>
  <c r="M647" i="1" s="1"/>
  <c r="K648" i="1"/>
  <c r="M648" i="1" s="1"/>
  <c r="K649" i="1"/>
  <c r="M649" i="1" s="1"/>
  <c r="K650" i="1"/>
  <c r="M650" i="1" s="1"/>
  <c r="K651" i="1"/>
  <c r="M651" i="1" s="1"/>
  <c r="K652" i="1"/>
  <c r="M652" i="1" s="1"/>
  <c r="K653" i="1"/>
  <c r="M653" i="1" s="1"/>
  <c r="K654" i="1"/>
  <c r="M654" i="1" s="1"/>
  <c r="K655" i="1"/>
  <c r="M655" i="1" s="1"/>
  <c r="K656" i="1"/>
  <c r="M656" i="1" s="1"/>
  <c r="K657" i="1"/>
  <c r="M657" i="1" s="1"/>
  <c r="K658" i="1"/>
  <c r="M658" i="1" s="1"/>
  <c r="K659" i="1"/>
  <c r="M659" i="1" s="1"/>
  <c r="K660" i="1"/>
  <c r="M660" i="1" s="1"/>
  <c r="K661" i="1"/>
  <c r="M661" i="1" s="1"/>
  <c r="K662" i="1"/>
  <c r="M662" i="1" s="1"/>
  <c r="K663" i="1"/>
  <c r="M663" i="1" s="1"/>
  <c r="K664" i="1"/>
  <c r="M664" i="1" s="1"/>
  <c r="K665" i="1"/>
  <c r="M665" i="1" s="1"/>
  <c r="K666" i="1"/>
  <c r="M666" i="1" s="1"/>
  <c r="K667" i="1"/>
  <c r="M667" i="1" s="1"/>
  <c r="K668" i="1"/>
  <c r="M668" i="1" s="1"/>
  <c r="K669" i="1"/>
  <c r="M669" i="1" s="1"/>
  <c r="K670" i="1"/>
  <c r="M670" i="1" s="1"/>
  <c r="K671" i="1"/>
  <c r="M671" i="1" s="1"/>
  <c r="K672" i="1"/>
  <c r="M672" i="1" s="1"/>
  <c r="K673" i="1"/>
  <c r="M673" i="1" s="1"/>
  <c r="K674" i="1"/>
  <c r="M674" i="1" s="1"/>
  <c r="K675" i="1"/>
  <c r="M675" i="1" s="1"/>
  <c r="K676" i="1"/>
  <c r="M676" i="1" s="1"/>
  <c r="K677" i="1"/>
  <c r="M677" i="1" s="1"/>
  <c r="K678" i="1"/>
  <c r="M678" i="1" s="1"/>
  <c r="K679" i="1"/>
  <c r="M679" i="1" s="1"/>
  <c r="K680" i="1"/>
  <c r="M680" i="1" s="1"/>
  <c r="K681" i="1"/>
  <c r="M681" i="1" s="1"/>
  <c r="K682" i="1"/>
  <c r="M682" i="1" s="1"/>
  <c r="K683" i="1"/>
  <c r="M683" i="1" s="1"/>
  <c r="K684" i="1"/>
  <c r="M684" i="1" s="1"/>
  <c r="K685" i="1"/>
  <c r="M685" i="1" s="1"/>
  <c r="K686" i="1"/>
  <c r="M686" i="1" s="1"/>
  <c r="K687" i="1"/>
  <c r="M687" i="1" s="1"/>
  <c r="K688" i="1"/>
  <c r="M688" i="1" s="1"/>
  <c r="K689" i="1"/>
  <c r="M689" i="1" s="1"/>
  <c r="K690" i="1"/>
  <c r="M690" i="1" s="1"/>
  <c r="K691" i="1"/>
  <c r="M691" i="1" s="1"/>
  <c r="K692" i="1"/>
  <c r="M692" i="1" s="1"/>
  <c r="K693" i="1"/>
  <c r="M693" i="1" s="1"/>
  <c r="K694" i="1"/>
  <c r="M694" i="1" s="1"/>
  <c r="K695" i="1"/>
  <c r="M695" i="1" s="1"/>
  <c r="K696" i="1"/>
  <c r="M696" i="1" s="1"/>
  <c r="K697" i="1"/>
  <c r="M697" i="1" s="1"/>
  <c r="K698" i="1"/>
  <c r="M698" i="1" s="1"/>
  <c r="K699" i="1"/>
  <c r="M699" i="1" s="1"/>
  <c r="K700" i="1"/>
  <c r="M700" i="1" s="1"/>
  <c r="K701" i="1"/>
  <c r="M701" i="1" s="1"/>
  <c r="K702" i="1"/>
  <c r="M702" i="1" s="1"/>
  <c r="K703" i="1"/>
  <c r="M703" i="1" s="1"/>
  <c r="K704" i="1"/>
  <c r="M704" i="1" s="1"/>
  <c r="K705" i="1"/>
  <c r="M705" i="1" s="1"/>
  <c r="K706" i="1"/>
  <c r="M706" i="1" s="1"/>
  <c r="K707" i="1"/>
  <c r="M707" i="1" s="1"/>
  <c r="K708" i="1"/>
  <c r="M708" i="1" s="1"/>
  <c r="K709" i="1"/>
  <c r="M709" i="1" s="1"/>
  <c r="K710" i="1"/>
  <c r="M710" i="1" s="1"/>
  <c r="K711" i="1"/>
  <c r="M711" i="1" s="1"/>
  <c r="K712" i="1"/>
  <c r="M712" i="1" s="1"/>
  <c r="K713" i="1"/>
  <c r="M713" i="1" s="1"/>
  <c r="K714" i="1"/>
  <c r="M714" i="1" s="1"/>
  <c r="K715" i="1"/>
  <c r="M715" i="1" s="1"/>
  <c r="K716" i="1"/>
  <c r="M716" i="1" s="1"/>
  <c r="K717" i="1"/>
  <c r="M717" i="1" s="1"/>
  <c r="K718" i="1"/>
  <c r="M718" i="1" s="1"/>
  <c r="K719" i="1"/>
  <c r="M719" i="1" s="1"/>
  <c r="K720" i="1"/>
  <c r="M720" i="1" s="1"/>
  <c r="K721" i="1"/>
  <c r="M721" i="1" s="1"/>
  <c r="K722" i="1"/>
  <c r="M722" i="1" s="1"/>
  <c r="K723" i="1"/>
  <c r="M723" i="1" s="1"/>
  <c r="K724" i="1"/>
  <c r="M724" i="1" s="1"/>
  <c r="K725" i="1"/>
  <c r="M725" i="1" s="1"/>
  <c r="K726" i="1"/>
  <c r="M726" i="1" s="1"/>
  <c r="K727" i="1"/>
  <c r="M727" i="1" s="1"/>
  <c r="K728" i="1"/>
  <c r="M728" i="1" s="1"/>
  <c r="K729" i="1"/>
  <c r="M729" i="1" s="1"/>
  <c r="K730" i="1"/>
  <c r="M730" i="1" s="1"/>
  <c r="K731" i="1"/>
  <c r="M731" i="1" s="1"/>
  <c r="K732" i="1"/>
  <c r="M732" i="1" s="1"/>
  <c r="K733" i="1"/>
  <c r="M733" i="1" s="1"/>
  <c r="K734" i="1"/>
  <c r="M734" i="1" s="1"/>
  <c r="K735" i="1"/>
  <c r="M735" i="1" s="1"/>
  <c r="K736" i="1"/>
  <c r="M736" i="1" s="1"/>
  <c r="K737" i="1"/>
  <c r="M737" i="1" s="1"/>
  <c r="K738" i="1"/>
  <c r="M738" i="1" s="1"/>
  <c r="K739" i="1"/>
  <c r="M739" i="1" s="1"/>
  <c r="K740" i="1"/>
  <c r="M740" i="1" s="1"/>
  <c r="K741" i="1"/>
  <c r="M741" i="1" s="1"/>
  <c r="K742" i="1"/>
  <c r="M742" i="1" s="1"/>
  <c r="K743" i="1"/>
  <c r="M743" i="1" s="1"/>
  <c r="K744" i="1"/>
  <c r="M744" i="1" s="1"/>
  <c r="K745" i="1"/>
  <c r="M745" i="1" s="1"/>
  <c r="K746" i="1"/>
  <c r="M746" i="1" s="1"/>
  <c r="K747" i="1"/>
  <c r="M747" i="1" s="1"/>
  <c r="K748" i="1"/>
  <c r="M748" i="1" s="1"/>
  <c r="K749" i="1"/>
  <c r="M749" i="1" s="1"/>
  <c r="K750" i="1"/>
  <c r="M750" i="1" s="1"/>
  <c r="K751" i="1"/>
  <c r="M751" i="1" s="1"/>
  <c r="K752" i="1"/>
  <c r="M752" i="1" s="1"/>
  <c r="K753" i="1"/>
  <c r="M753" i="1" s="1"/>
  <c r="K754" i="1"/>
  <c r="M754" i="1" s="1"/>
  <c r="K755" i="1"/>
  <c r="M755" i="1" s="1"/>
  <c r="K756" i="1"/>
  <c r="M756" i="1" s="1"/>
  <c r="K757" i="1"/>
  <c r="M757" i="1" s="1"/>
  <c r="K758" i="1"/>
  <c r="M758" i="1" s="1"/>
  <c r="K759" i="1"/>
  <c r="M759" i="1" s="1"/>
  <c r="K760" i="1"/>
  <c r="M760" i="1" s="1"/>
  <c r="K761" i="1"/>
  <c r="M761" i="1" s="1"/>
  <c r="K762" i="1"/>
  <c r="M762" i="1" s="1"/>
  <c r="K763" i="1"/>
  <c r="M763" i="1" s="1"/>
  <c r="K764" i="1"/>
  <c r="M764" i="1" s="1"/>
  <c r="K765" i="1"/>
  <c r="M765" i="1" s="1"/>
  <c r="K766" i="1"/>
  <c r="M766" i="1" s="1"/>
  <c r="K767" i="1"/>
  <c r="M767" i="1" s="1"/>
  <c r="K768" i="1"/>
  <c r="M768" i="1" s="1"/>
  <c r="K769" i="1"/>
  <c r="M769" i="1" s="1"/>
  <c r="K770" i="1"/>
  <c r="M770" i="1" s="1"/>
  <c r="K771" i="1"/>
  <c r="M771" i="1" s="1"/>
  <c r="K772" i="1"/>
  <c r="M772" i="1" s="1"/>
  <c r="K773" i="1"/>
  <c r="M773" i="1" s="1"/>
  <c r="K774" i="1"/>
  <c r="M774" i="1" s="1"/>
  <c r="K775" i="1"/>
  <c r="M775" i="1" s="1"/>
  <c r="K776" i="1"/>
  <c r="M776" i="1" s="1"/>
  <c r="K777" i="1"/>
  <c r="M777" i="1" s="1"/>
  <c r="K778" i="1"/>
  <c r="M778" i="1" s="1"/>
  <c r="K779" i="1"/>
  <c r="M779" i="1" s="1"/>
  <c r="K780" i="1"/>
  <c r="M780" i="1" s="1"/>
  <c r="K781" i="1"/>
  <c r="M781" i="1" s="1"/>
  <c r="K782" i="1"/>
  <c r="M782" i="1" s="1"/>
  <c r="K783" i="1"/>
  <c r="M783" i="1" s="1"/>
  <c r="K784" i="1"/>
  <c r="M784" i="1" s="1"/>
  <c r="K785" i="1"/>
  <c r="M785" i="1" s="1"/>
  <c r="K786" i="1"/>
  <c r="M786" i="1" s="1"/>
  <c r="K787" i="1"/>
  <c r="M787" i="1" s="1"/>
  <c r="K788" i="1"/>
  <c r="M788" i="1" s="1"/>
  <c r="K789" i="1"/>
  <c r="M789" i="1" s="1"/>
  <c r="K790" i="1"/>
  <c r="M790" i="1" s="1"/>
  <c r="K791" i="1"/>
  <c r="M791" i="1" s="1"/>
  <c r="K792" i="1"/>
  <c r="M792" i="1" s="1"/>
  <c r="K793" i="1"/>
  <c r="M793" i="1" s="1"/>
  <c r="K794" i="1"/>
  <c r="M794" i="1" s="1"/>
  <c r="K795" i="1"/>
  <c r="M795" i="1" s="1"/>
  <c r="K796" i="1"/>
  <c r="M796" i="1" s="1"/>
  <c r="K797" i="1"/>
  <c r="M797" i="1" s="1"/>
  <c r="K798" i="1"/>
  <c r="M798" i="1" s="1"/>
  <c r="K799" i="1"/>
  <c r="M799" i="1" s="1"/>
  <c r="K800" i="1"/>
  <c r="M800" i="1" s="1"/>
  <c r="K801" i="1"/>
  <c r="M801" i="1" s="1"/>
  <c r="K802" i="1"/>
  <c r="M802" i="1" s="1"/>
  <c r="K803" i="1"/>
  <c r="M803" i="1" s="1"/>
  <c r="K804" i="1"/>
  <c r="M804" i="1" s="1"/>
  <c r="K805" i="1"/>
  <c r="M805" i="1" s="1"/>
  <c r="K806" i="1"/>
  <c r="M806" i="1" s="1"/>
  <c r="K807" i="1"/>
  <c r="M807" i="1" s="1"/>
  <c r="K808" i="1"/>
  <c r="M808" i="1" s="1"/>
  <c r="K809" i="1"/>
  <c r="M809" i="1" s="1"/>
  <c r="K810" i="1"/>
  <c r="M810" i="1" s="1"/>
  <c r="K811" i="1"/>
  <c r="M811" i="1" s="1"/>
  <c r="K812" i="1"/>
  <c r="M812" i="1" s="1"/>
  <c r="K813" i="1"/>
  <c r="M813" i="1" s="1"/>
  <c r="K814" i="1"/>
  <c r="M814" i="1" s="1"/>
  <c r="K815" i="1"/>
  <c r="M815" i="1" s="1"/>
  <c r="K816" i="1"/>
  <c r="M816" i="1" s="1"/>
  <c r="K817" i="1"/>
  <c r="M817" i="1" s="1"/>
  <c r="K818" i="1"/>
  <c r="M818" i="1" s="1"/>
  <c r="K819" i="1"/>
  <c r="M819" i="1" s="1"/>
  <c r="K820" i="1"/>
  <c r="M820" i="1" s="1"/>
  <c r="K821" i="1"/>
  <c r="M821" i="1" s="1"/>
  <c r="K822" i="1"/>
  <c r="M822" i="1" s="1"/>
  <c r="K823" i="1"/>
  <c r="M823" i="1" s="1"/>
  <c r="K824" i="1"/>
  <c r="M824" i="1" s="1"/>
  <c r="K825" i="1"/>
  <c r="M825" i="1" s="1"/>
  <c r="K826" i="1"/>
  <c r="M826" i="1" s="1"/>
  <c r="K827" i="1"/>
  <c r="M827" i="1" s="1"/>
  <c r="K828" i="1"/>
  <c r="M828" i="1" s="1"/>
  <c r="K829" i="1"/>
  <c r="M829" i="1" s="1"/>
  <c r="K830" i="1"/>
  <c r="M830" i="1" s="1"/>
  <c r="K831" i="1"/>
  <c r="M831" i="1" s="1"/>
  <c r="K832" i="1"/>
  <c r="M832" i="1" s="1"/>
  <c r="K833" i="1"/>
  <c r="M833" i="1" s="1"/>
  <c r="K834" i="1"/>
  <c r="M834" i="1" s="1"/>
  <c r="K835" i="1"/>
  <c r="M835" i="1" s="1"/>
  <c r="K836" i="1"/>
  <c r="M836" i="1" s="1"/>
  <c r="K837" i="1"/>
  <c r="M837" i="1" s="1"/>
  <c r="K838" i="1"/>
  <c r="M838" i="1" s="1"/>
  <c r="K839" i="1"/>
  <c r="M839" i="1" s="1"/>
  <c r="K840" i="1"/>
  <c r="M840" i="1" s="1"/>
  <c r="K841" i="1"/>
  <c r="M841" i="1" s="1"/>
  <c r="K842" i="1"/>
  <c r="M842" i="1" s="1"/>
  <c r="K843" i="1"/>
  <c r="M843" i="1" s="1"/>
  <c r="K844" i="1"/>
  <c r="M844" i="1" s="1"/>
  <c r="K845" i="1"/>
  <c r="M845" i="1" s="1"/>
  <c r="K846" i="1"/>
  <c r="M846" i="1" s="1"/>
  <c r="K847" i="1"/>
  <c r="M847" i="1" s="1"/>
  <c r="K848" i="1"/>
  <c r="M848" i="1" s="1"/>
  <c r="K849" i="1"/>
  <c r="M849" i="1" s="1"/>
  <c r="K850" i="1"/>
  <c r="M850" i="1" s="1"/>
  <c r="K851" i="1"/>
  <c r="M851" i="1" s="1"/>
  <c r="K852" i="1"/>
  <c r="M852" i="1" s="1"/>
  <c r="K853" i="1"/>
  <c r="M853" i="1" s="1"/>
  <c r="K854" i="1"/>
  <c r="M854" i="1" s="1"/>
  <c r="K855" i="1"/>
  <c r="M855" i="1" s="1"/>
  <c r="K856" i="1"/>
  <c r="M856" i="1" s="1"/>
  <c r="K857" i="1"/>
  <c r="M857" i="1" s="1"/>
  <c r="K858" i="1"/>
  <c r="M858" i="1" s="1"/>
  <c r="K859" i="1"/>
  <c r="M859" i="1" s="1"/>
  <c r="K860" i="1"/>
  <c r="M860" i="1" s="1"/>
  <c r="K861" i="1"/>
  <c r="M861" i="1" s="1"/>
  <c r="K862" i="1"/>
  <c r="M862" i="1" s="1"/>
  <c r="K863" i="1"/>
  <c r="M863" i="1" s="1"/>
  <c r="K864" i="1"/>
  <c r="M864" i="1" s="1"/>
  <c r="K865" i="1"/>
  <c r="M865" i="1" s="1"/>
  <c r="K866" i="1"/>
  <c r="M866" i="1" s="1"/>
  <c r="K867" i="1"/>
  <c r="M867" i="1" s="1"/>
  <c r="K868" i="1"/>
  <c r="M868" i="1" s="1"/>
  <c r="K869" i="1"/>
  <c r="M869" i="1" s="1"/>
  <c r="K870" i="1"/>
  <c r="M870" i="1" s="1"/>
  <c r="K871" i="1"/>
  <c r="M871" i="1" s="1"/>
  <c r="K872" i="1"/>
  <c r="M872" i="1" s="1"/>
  <c r="K873" i="1"/>
  <c r="M873" i="1" s="1"/>
  <c r="K874" i="1"/>
  <c r="M874" i="1" s="1"/>
  <c r="K875" i="1"/>
  <c r="M875" i="1" s="1"/>
  <c r="K876" i="1"/>
  <c r="M876" i="1" s="1"/>
  <c r="K877" i="1"/>
  <c r="M877" i="1" s="1"/>
  <c r="K878" i="1"/>
  <c r="M878" i="1" s="1"/>
  <c r="K879" i="1"/>
  <c r="M879" i="1" s="1"/>
  <c r="K880" i="1"/>
  <c r="M880" i="1" s="1"/>
  <c r="K881" i="1"/>
  <c r="M881" i="1" s="1"/>
  <c r="K882" i="1"/>
  <c r="M882" i="1" s="1"/>
  <c r="K883" i="1"/>
  <c r="M883" i="1" s="1"/>
  <c r="K884" i="1"/>
  <c r="M884" i="1" s="1"/>
  <c r="K885" i="1"/>
  <c r="M885" i="1" s="1"/>
  <c r="K886" i="1"/>
  <c r="M886" i="1" s="1"/>
  <c r="K887" i="1"/>
  <c r="M887" i="1" s="1"/>
  <c r="K888" i="1"/>
  <c r="M888" i="1" s="1"/>
  <c r="K889" i="1"/>
  <c r="M889" i="1" s="1"/>
  <c r="K890" i="1"/>
  <c r="M890" i="1" s="1"/>
  <c r="K891" i="1"/>
  <c r="M891" i="1" s="1"/>
  <c r="K892" i="1"/>
  <c r="M892" i="1" s="1"/>
  <c r="K893" i="1"/>
  <c r="M893" i="1" s="1"/>
  <c r="K894" i="1"/>
  <c r="M894" i="1" s="1"/>
  <c r="K895" i="1"/>
  <c r="M895" i="1" s="1"/>
  <c r="K896" i="1"/>
  <c r="M896" i="1" s="1"/>
  <c r="K897" i="1"/>
  <c r="M897" i="1" s="1"/>
  <c r="K898" i="1"/>
  <c r="M898" i="1" s="1"/>
  <c r="K899" i="1"/>
  <c r="M899" i="1" s="1"/>
  <c r="K900" i="1"/>
  <c r="M900" i="1" s="1"/>
  <c r="K901" i="1"/>
  <c r="M901" i="1" s="1"/>
  <c r="K902" i="1"/>
  <c r="M902" i="1" s="1"/>
  <c r="K903" i="1"/>
  <c r="M903" i="1" s="1"/>
  <c r="K904" i="1"/>
  <c r="M904" i="1" s="1"/>
  <c r="K905" i="1"/>
  <c r="M905" i="1" s="1"/>
  <c r="K906" i="1"/>
  <c r="M906" i="1" s="1"/>
  <c r="K907" i="1"/>
  <c r="M907" i="1" s="1"/>
  <c r="K908" i="1"/>
  <c r="M908" i="1" s="1"/>
  <c r="K909" i="1"/>
  <c r="M909" i="1" s="1"/>
  <c r="K910" i="1"/>
  <c r="M910" i="1" s="1"/>
  <c r="K911" i="1"/>
  <c r="M911" i="1" s="1"/>
  <c r="K912" i="1"/>
  <c r="M912" i="1" s="1"/>
  <c r="K913" i="1"/>
  <c r="M913" i="1" s="1"/>
  <c r="K914" i="1"/>
  <c r="M914" i="1" s="1"/>
  <c r="K915" i="1"/>
  <c r="M915" i="1" s="1"/>
  <c r="K916" i="1"/>
  <c r="M916" i="1" s="1"/>
  <c r="K917" i="1"/>
  <c r="M917" i="1" s="1"/>
  <c r="K918" i="1"/>
  <c r="M918" i="1" s="1"/>
  <c r="K919" i="1"/>
  <c r="M919" i="1" s="1"/>
  <c r="K920" i="1"/>
  <c r="M920" i="1" s="1"/>
  <c r="K921" i="1"/>
  <c r="M921" i="1" s="1"/>
  <c r="K922" i="1"/>
  <c r="M922" i="1" s="1"/>
  <c r="K923" i="1"/>
  <c r="M923" i="1" s="1"/>
  <c r="K924" i="1"/>
  <c r="M924" i="1" s="1"/>
  <c r="K925" i="1"/>
  <c r="M925" i="1" s="1"/>
  <c r="K926" i="1"/>
  <c r="M926" i="1" s="1"/>
  <c r="K927" i="1"/>
  <c r="M927" i="1" s="1"/>
  <c r="K928" i="1"/>
  <c r="M928" i="1" s="1"/>
  <c r="K929" i="1"/>
  <c r="M929" i="1" s="1"/>
  <c r="K930" i="1"/>
  <c r="M930" i="1" s="1"/>
  <c r="K931" i="1"/>
  <c r="M931" i="1" s="1"/>
  <c r="K932" i="1"/>
  <c r="M932" i="1" s="1"/>
  <c r="K933" i="1"/>
  <c r="M933" i="1" s="1"/>
  <c r="K934" i="1"/>
  <c r="M934" i="1" s="1"/>
  <c r="K935" i="1"/>
  <c r="M935" i="1" s="1"/>
  <c r="K936" i="1"/>
  <c r="M936" i="1" s="1"/>
  <c r="K937" i="1"/>
  <c r="M937" i="1" s="1"/>
  <c r="K938" i="1"/>
  <c r="M938" i="1" s="1"/>
  <c r="K939" i="1"/>
  <c r="M939" i="1" s="1"/>
  <c r="K940" i="1"/>
  <c r="M940" i="1" s="1"/>
  <c r="K941" i="1"/>
  <c r="M941" i="1" s="1"/>
  <c r="K942" i="1"/>
  <c r="M942" i="1" s="1"/>
  <c r="K943" i="1"/>
  <c r="M943" i="1" s="1"/>
  <c r="K944" i="1"/>
  <c r="M944" i="1" s="1"/>
  <c r="K945" i="1"/>
  <c r="M945" i="1" s="1"/>
  <c r="K946" i="1"/>
  <c r="M946" i="1" s="1"/>
  <c r="K947" i="1"/>
  <c r="M947" i="1" s="1"/>
  <c r="K948" i="1"/>
  <c r="M948" i="1" s="1"/>
  <c r="K949" i="1"/>
  <c r="M949" i="1" s="1"/>
  <c r="K950" i="1"/>
  <c r="M950" i="1" s="1"/>
  <c r="K951" i="1"/>
  <c r="M951" i="1" s="1"/>
  <c r="K952" i="1"/>
  <c r="M952" i="1" s="1"/>
  <c r="K953" i="1"/>
  <c r="M953" i="1" s="1"/>
  <c r="K954" i="1"/>
  <c r="M954" i="1" s="1"/>
  <c r="K955" i="1"/>
  <c r="M955" i="1" s="1"/>
  <c r="K956" i="1"/>
  <c r="M956" i="1" s="1"/>
  <c r="K957" i="1"/>
  <c r="M957" i="1" s="1"/>
  <c r="K958" i="1"/>
  <c r="M958" i="1" s="1"/>
  <c r="K959" i="1"/>
  <c r="M959" i="1" s="1"/>
  <c r="K960" i="1"/>
  <c r="M960" i="1" s="1"/>
  <c r="K961" i="1"/>
  <c r="M961" i="1" s="1"/>
  <c r="K962" i="1"/>
  <c r="M962" i="1" s="1"/>
  <c r="K963" i="1"/>
  <c r="M963" i="1" s="1"/>
  <c r="K964" i="1"/>
  <c r="M964" i="1" s="1"/>
  <c r="K965" i="1"/>
  <c r="M965" i="1" s="1"/>
  <c r="K966" i="1"/>
  <c r="M966" i="1" s="1"/>
  <c r="K967" i="1"/>
  <c r="M967" i="1" s="1"/>
  <c r="K968" i="1"/>
  <c r="M968" i="1" s="1"/>
  <c r="K969" i="1"/>
  <c r="M969" i="1" s="1"/>
  <c r="K970" i="1"/>
  <c r="M970" i="1" s="1"/>
  <c r="K971" i="1"/>
  <c r="M971" i="1" s="1"/>
  <c r="K972" i="1"/>
  <c r="M972" i="1" s="1"/>
  <c r="K973" i="1"/>
  <c r="M973" i="1" s="1"/>
  <c r="K974" i="1"/>
  <c r="M974" i="1" s="1"/>
  <c r="K975" i="1"/>
  <c r="M975" i="1" s="1"/>
  <c r="K976" i="1"/>
  <c r="M976" i="1" s="1"/>
  <c r="K977" i="1"/>
  <c r="M977" i="1" s="1"/>
  <c r="K978" i="1"/>
  <c r="M978" i="1" s="1"/>
  <c r="K979" i="1"/>
  <c r="M979" i="1" s="1"/>
  <c r="K980" i="1"/>
  <c r="M980" i="1" s="1"/>
  <c r="K981" i="1"/>
  <c r="M981" i="1" s="1"/>
  <c r="K982" i="1"/>
  <c r="M982" i="1" s="1"/>
  <c r="K983" i="1"/>
  <c r="M983" i="1" s="1"/>
  <c r="K984" i="1"/>
  <c r="M984" i="1" s="1"/>
  <c r="K985" i="1"/>
  <c r="M985" i="1" s="1"/>
  <c r="K986" i="1"/>
  <c r="M986" i="1" s="1"/>
  <c r="K987" i="1"/>
  <c r="M987" i="1" s="1"/>
  <c r="K988" i="1"/>
  <c r="M988" i="1" s="1"/>
  <c r="K989" i="1"/>
  <c r="M989" i="1" s="1"/>
  <c r="K990" i="1"/>
  <c r="M990" i="1" s="1"/>
  <c r="K991" i="1"/>
  <c r="M991" i="1" s="1"/>
  <c r="K992" i="1"/>
  <c r="M992" i="1" s="1"/>
  <c r="K993" i="1"/>
  <c r="M993" i="1" s="1"/>
  <c r="K994" i="1"/>
  <c r="M994" i="1" s="1"/>
  <c r="K995" i="1"/>
  <c r="M995" i="1" s="1"/>
  <c r="K996" i="1"/>
  <c r="M996" i="1" s="1"/>
  <c r="K997" i="1"/>
  <c r="M997" i="1" s="1"/>
  <c r="K998" i="1"/>
  <c r="M998" i="1" s="1"/>
  <c r="K999" i="1"/>
  <c r="M999" i="1" s="1"/>
  <c r="K1000" i="1"/>
  <c r="M1000" i="1" s="1"/>
  <c r="K1001" i="1"/>
  <c r="M1001" i="1" s="1"/>
  <c r="K1002" i="1"/>
  <c r="M1002" i="1" s="1"/>
  <c r="K1003" i="1"/>
  <c r="M1003" i="1" s="1"/>
  <c r="K1004" i="1"/>
  <c r="M1004" i="1" s="1"/>
  <c r="K1005" i="1"/>
  <c r="M1005" i="1" s="1"/>
  <c r="K1006" i="1"/>
  <c r="M1006" i="1" s="1"/>
  <c r="K1007" i="1"/>
  <c r="M1007" i="1" s="1"/>
  <c r="K1008" i="1"/>
  <c r="M1008" i="1" s="1"/>
  <c r="K1009" i="1"/>
  <c r="M1009" i="1" s="1"/>
  <c r="K1010" i="1"/>
  <c r="M1010" i="1" s="1"/>
  <c r="K1011" i="1"/>
  <c r="M1011" i="1" s="1"/>
  <c r="K1012" i="1"/>
  <c r="M1012" i="1" s="1"/>
  <c r="K1013" i="1"/>
  <c r="M1013" i="1" s="1"/>
  <c r="K1014" i="1"/>
  <c r="M1014" i="1" s="1"/>
  <c r="K1015" i="1"/>
  <c r="M1015" i="1" s="1"/>
  <c r="K1016" i="1"/>
  <c r="M1016" i="1" s="1"/>
  <c r="K1017" i="1"/>
  <c r="M1017" i="1" s="1"/>
  <c r="K1018" i="1"/>
  <c r="M1018" i="1" s="1"/>
  <c r="K1019" i="1"/>
  <c r="M1019" i="1" s="1"/>
  <c r="K1020" i="1"/>
  <c r="M1020" i="1" s="1"/>
  <c r="K1021" i="1"/>
  <c r="M1021" i="1" s="1"/>
  <c r="K1022" i="1"/>
  <c r="M1022" i="1" s="1"/>
  <c r="K1023" i="1"/>
  <c r="M1023" i="1" s="1"/>
  <c r="K1024" i="1"/>
  <c r="M1024" i="1" s="1"/>
  <c r="K1025" i="1"/>
  <c r="M1025" i="1" s="1"/>
  <c r="K1026" i="1"/>
  <c r="M1026" i="1" s="1"/>
  <c r="K1027" i="1"/>
  <c r="M1027" i="1" s="1"/>
  <c r="K1028" i="1"/>
  <c r="M1028" i="1" s="1"/>
  <c r="K1029" i="1"/>
  <c r="M1029" i="1" s="1"/>
  <c r="K1030" i="1"/>
  <c r="M1030" i="1" s="1"/>
  <c r="K1031" i="1"/>
  <c r="M1031" i="1" s="1"/>
  <c r="K1032" i="1"/>
  <c r="M1032" i="1" s="1"/>
  <c r="K1033" i="1"/>
  <c r="M1033" i="1" s="1"/>
  <c r="K1034" i="1"/>
  <c r="M1034" i="1" s="1"/>
  <c r="K1035" i="1"/>
  <c r="M1035" i="1" s="1"/>
  <c r="K1036" i="1"/>
  <c r="M1036" i="1" s="1"/>
  <c r="K1037" i="1"/>
  <c r="M1037" i="1" s="1"/>
  <c r="K1038" i="1"/>
  <c r="M1038" i="1" s="1"/>
  <c r="K1039" i="1"/>
  <c r="M1039" i="1" s="1"/>
  <c r="K1040" i="1"/>
  <c r="M1040" i="1" s="1"/>
  <c r="K1041" i="1"/>
  <c r="M1041" i="1" s="1"/>
  <c r="K1042" i="1"/>
  <c r="M1042" i="1" s="1"/>
  <c r="K1043" i="1"/>
  <c r="M1043" i="1" s="1"/>
  <c r="K1044" i="1"/>
  <c r="M1044" i="1" s="1"/>
  <c r="K1045" i="1"/>
  <c r="M1045" i="1" s="1"/>
  <c r="K1046" i="1"/>
  <c r="M1046" i="1" s="1"/>
  <c r="K1047" i="1"/>
  <c r="M1047" i="1" s="1"/>
  <c r="K1048" i="1"/>
  <c r="M1048" i="1" s="1"/>
  <c r="K1049" i="1"/>
  <c r="M1049" i="1" s="1"/>
  <c r="K1050" i="1"/>
  <c r="M1050" i="1" s="1"/>
  <c r="K1051" i="1"/>
  <c r="M1051" i="1" s="1"/>
  <c r="K1052" i="1"/>
  <c r="M1052" i="1" s="1"/>
  <c r="K1053" i="1"/>
  <c r="M1053" i="1" s="1"/>
  <c r="K1054" i="1"/>
  <c r="M1054" i="1" s="1"/>
  <c r="K1055" i="1"/>
  <c r="M1055" i="1" s="1"/>
  <c r="K1056" i="1"/>
  <c r="M1056" i="1" s="1"/>
  <c r="K1057" i="1"/>
  <c r="M1057" i="1" s="1"/>
  <c r="K1058" i="1"/>
  <c r="M1058" i="1" s="1"/>
  <c r="K1059" i="1"/>
  <c r="M1059" i="1" s="1"/>
  <c r="K1060" i="1"/>
  <c r="M1060" i="1" s="1"/>
  <c r="K1061" i="1"/>
  <c r="M1061" i="1" s="1"/>
  <c r="K1062" i="1"/>
  <c r="M1062" i="1" s="1"/>
  <c r="K1063" i="1"/>
  <c r="M1063" i="1" s="1"/>
  <c r="K1064" i="1"/>
  <c r="M1064" i="1" s="1"/>
  <c r="K1065" i="1"/>
  <c r="M1065" i="1" s="1"/>
  <c r="K1066" i="1"/>
  <c r="M1066" i="1" s="1"/>
  <c r="K1067" i="1"/>
  <c r="M1067" i="1" s="1"/>
  <c r="K1068" i="1"/>
  <c r="M1068" i="1" s="1"/>
  <c r="K1069" i="1"/>
  <c r="M1069" i="1" s="1"/>
  <c r="K1070" i="1"/>
  <c r="M1070" i="1" s="1"/>
  <c r="K1071" i="1"/>
  <c r="M1071" i="1" s="1"/>
  <c r="K1072" i="1"/>
  <c r="M1072" i="1" s="1"/>
  <c r="K1073" i="1"/>
  <c r="M1073" i="1" s="1"/>
  <c r="K1074" i="1"/>
  <c r="M1074" i="1" s="1"/>
  <c r="K1075" i="1"/>
  <c r="M1075" i="1" s="1"/>
  <c r="K1076" i="1"/>
  <c r="M1076" i="1" s="1"/>
  <c r="K1077" i="1"/>
  <c r="M1077" i="1" s="1"/>
  <c r="K1078" i="1"/>
  <c r="M1078" i="1" s="1"/>
  <c r="K1079" i="1"/>
  <c r="M1079" i="1" s="1"/>
  <c r="K1080" i="1"/>
  <c r="M1080" i="1" s="1"/>
  <c r="K1081" i="1"/>
  <c r="M1081" i="1" s="1"/>
  <c r="K1082" i="1"/>
  <c r="M1082" i="1" s="1"/>
  <c r="K1083" i="1"/>
  <c r="M1083" i="1" s="1"/>
  <c r="K1084" i="1"/>
  <c r="M1084" i="1" s="1"/>
  <c r="K1085" i="1"/>
  <c r="M1085" i="1" s="1"/>
  <c r="K1086" i="1"/>
  <c r="M1086" i="1" s="1"/>
  <c r="K1087" i="1"/>
  <c r="M1087" i="1" s="1"/>
  <c r="K1088" i="1"/>
  <c r="M1088" i="1" s="1"/>
  <c r="K1089" i="1"/>
  <c r="M1089" i="1" s="1"/>
  <c r="K1090" i="1"/>
  <c r="M1090" i="1" s="1"/>
  <c r="K1091" i="1"/>
  <c r="M1091" i="1" s="1"/>
  <c r="K1092" i="1"/>
  <c r="M1092" i="1" s="1"/>
  <c r="K1093" i="1"/>
  <c r="M1093" i="1" s="1"/>
  <c r="K1094" i="1"/>
  <c r="M1094" i="1" s="1"/>
  <c r="K1095" i="1"/>
  <c r="M1095" i="1" s="1"/>
  <c r="K1096" i="1"/>
  <c r="M1096" i="1" s="1"/>
  <c r="K1097" i="1"/>
  <c r="M1097" i="1" s="1"/>
  <c r="K1098" i="1"/>
  <c r="M1098" i="1" s="1"/>
  <c r="K1099" i="1"/>
  <c r="M1099" i="1" s="1"/>
  <c r="K1100" i="1"/>
  <c r="M1100" i="1" s="1"/>
  <c r="K1101" i="1"/>
  <c r="M1101" i="1" s="1"/>
  <c r="K1102" i="1"/>
  <c r="M1102" i="1" s="1"/>
  <c r="K1103" i="1"/>
  <c r="M1103" i="1" s="1"/>
  <c r="K1104" i="1"/>
  <c r="M1104" i="1" s="1"/>
  <c r="K1105" i="1"/>
  <c r="M1105" i="1" s="1"/>
  <c r="K1106" i="1"/>
  <c r="M1106" i="1" s="1"/>
  <c r="K1107" i="1"/>
  <c r="M1107" i="1" s="1"/>
  <c r="K1108" i="1"/>
  <c r="M1108" i="1" s="1"/>
  <c r="K1109" i="1"/>
  <c r="M1109" i="1" s="1"/>
  <c r="K1110" i="1"/>
  <c r="M1110" i="1" s="1"/>
  <c r="K1111" i="1"/>
  <c r="M1111" i="1" s="1"/>
  <c r="K1112" i="1"/>
  <c r="M1112" i="1" s="1"/>
  <c r="K1113" i="1"/>
  <c r="M1113" i="1" s="1"/>
  <c r="K1114" i="1"/>
  <c r="M1114" i="1" s="1"/>
  <c r="K1115" i="1"/>
  <c r="M1115" i="1" s="1"/>
  <c r="K1116" i="1"/>
  <c r="M1116" i="1" s="1"/>
  <c r="K1117" i="1"/>
  <c r="M1117" i="1" s="1"/>
  <c r="P1117" i="1" s="1"/>
  <c r="K1118" i="1"/>
  <c r="M1118" i="1" s="1"/>
  <c r="K1119" i="1"/>
  <c r="M1119" i="1" s="1"/>
  <c r="K1120" i="1"/>
  <c r="M1120" i="1" s="1"/>
  <c r="K1121" i="1"/>
  <c r="M1121" i="1" s="1"/>
  <c r="K1122" i="1"/>
  <c r="M1122" i="1" s="1"/>
  <c r="K1123" i="1"/>
  <c r="M1123" i="1" s="1"/>
  <c r="K1124" i="1"/>
  <c r="M1124" i="1" s="1"/>
  <c r="K1125" i="1"/>
  <c r="M1125" i="1" s="1"/>
  <c r="K1126" i="1"/>
  <c r="M1126" i="1" s="1"/>
  <c r="K1127" i="1"/>
  <c r="M1127" i="1" s="1"/>
  <c r="K1128" i="1"/>
  <c r="M1128" i="1" s="1"/>
  <c r="K1129" i="1"/>
  <c r="M1129" i="1" s="1"/>
  <c r="K1130" i="1"/>
  <c r="M1130" i="1" s="1"/>
  <c r="K1131" i="1"/>
  <c r="M1131" i="1" s="1"/>
  <c r="K1132" i="1"/>
  <c r="M1132" i="1" s="1"/>
  <c r="K1133" i="1"/>
  <c r="M1133" i="1" s="1"/>
  <c r="K1134" i="1"/>
  <c r="M1134" i="1" s="1"/>
  <c r="K1135" i="1"/>
  <c r="M1135" i="1" s="1"/>
  <c r="K1136" i="1"/>
  <c r="M1136" i="1" s="1"/>
  <c r="K1137" i="1"/>
  <c r="M1137" i="1" s="1"/>
  <c r="K1138" i="1"/>
  <c r="M1138" i="1" s="1"/>
  <c r="K1139" i="1"/>
  <c r="M1139" i="1" s="1"/>
  <c r="K1140" i="1"/>
  <c r="M1140" i="1" s="1"/>
  <c r="K1141" i="1"/>
  <c r="M1141" i="1" s="1"/>
  <c r="K1142" i="1"/>
  <c r="M1142" i="1" s="1"/>
  <c r="K1143" i="1"/>
  <c r="M1143" i="1" s="1"/>
  <c r="K1144" i="1"/>
  <c r="M1144" i="1" s="1"/>
  <c r="K1145" i="1"/>
  <c r="M1145" i="1" s="1"/>
  <c r="K1146" i="1"/>
  <c r="M1146" i="1" s="1"/>
  <c r="K1147" i="1"/>
  <c r="M1147" i="1" s="1"/>
  <c r="K1148" i="1"/>
  <c r="M1148" i="1" s="1"/>
  <c r="K1149" i="1"/>
  <c r="M1149" i="1" s="1"/>
  <c r="K1150" i="1"/>
  <c r="M1150" i="1" s="1"/>
  <c r="K1151" i="1"/>
  <c r="M1151" i="1" s="1"/>
  <c r="K1152" i="1"/>
  <c r="M1152" i="1" s="1"/>
  <c r="K1153" i="1"/>
  <c r="M1153" i="1" s="1"/>
  <c r="K1154" i="1"/>
  <c r="M1154" i="1" s="1"/>
  <c r="K1155" i="1"/>
  <c r="M1155" i="1" s="1"/>
  <c r="K1156" i="1"/>
  <c r="M1156" i="1" s="1"/>
  <c r="K1157" i="1"/>
  <c r="M1157" i="1" s="1"/>
  <c r="K1158" i="1"/>
  <c r="M1158" i="1" s="1"/>
  <c r="K1159" i="1"/>
  <c r="M1159" i="1" s="1"/>
  <c r="K1160" i="1"/>
  <c r="M1160" i="1" s="1"/>
  <c r="K1161" i="1"/>
  <c r="M1161" i="1" s="1"/>
  <c r="K1162" i="1"/>
  <c r="M1162" i="1" s="1"/>
  <c r="K1163" i="1"/>
  <c r="M1163" i="1" s="1"/>
  <c r="K1164" i="1"/>
  <c r="M1164" i="1" s="1"/>
  <c r="K1165" i="1"/>
  <c r="M1165" i="1" s="1"/>
  <c r="K1166" i="1"/>
  <c r="M1166" i="1" s="1"/>
  <c r="K1167" i="1"/>
  <c r="M1167" i="1" s="1"/>
  <c r="K1168" i="1"/>
  <c r="M1168" i="1" s="1"/>
  <c r="K1169" i="1"/>
  <c r="M1169" i="1" s="1"/>
  <c r="K1170" i="1"/>
  <c r="M1170" i="1" s="1"/>
  <c r="K1171" i="1"/>
  <c r="M1171" i="1" s="1"/>
  <c r="K1172" i="1"/>
  <c r="M1172" i="1" s="1"/>
  <c r="K1173" i="1"/>
  <c r="M1173" i="1" s="1"/>
  <c r="K1174" i="1"/>
  <c r="M1174" i="1" s="1"/>
  <c r="K1175" i="1"/>
  <c r="M1175" i="1" s="1"/>
  <c r="K1176" i="1"/>
  <c r="M1176" i="1" s="1"/>
  <c r="K1177" i="1"/>
  <c r="M1177" i="1" s="1"/>
  <c r="K1178" i="1"/>
  <c r="M1178" i="1" s="1"/>
  <c r="K1179" i="1"/>
  <c r="M1179" i="1" s="1"/>
  <c r="K1180" i="1"/>
  <c r="M1180" i="1" s="1"/>
  <c r="K1181" i="1"/>
  <c r="M1181" i="1" s="1"/>
  <c r="K1182" i="1"/>
  <c r="M1182" i="1" s="1"/>
  <c r="K1183" i="1"/>
  <c r="M1183" i="1" s="1"/>
  <c r="K1184" i="1"/>
  <c r="M1184" i="1" s="1"/>
  <c r="K1185" i="1"/>
  <c r="M1185" i="1" s="1"/>
  <c r="K1186" i="1"/>
  <c r="M1186" i="1" s="1"/>
  <c r="K1187" i="1"/>
  <c r="M1187" i="1" s="1"/>
  <c r="K1188" i="1"/>
  <c r="M1188" i="1" s="1"/>
  <c r="K1189" i="1"/>
  <c r="M1189" i="1" s="1"/>
  <c r="K1190" i="1"/>
  <c r="M1190" i="1" s="1"/>
  <c r="K1191" i="1"/>
  <c r="M1191" i="1" s="1"/>
  <c r="K1192" i="1"/>
  <c r="M1192" i="1" s="1"/>
  <c r="K1193" i="1"/>
  <c r="M1193" i="1" s="1"/>
  <c r="K1194" i="1"/>
  <c r="M1194" i="1" s="1"/>
  <c r="K1195" i="1"/>
  <c r="M1195" i="1" s="1"/>
  <c r="K1196" i="1"/>
  <c r="M1196" i="1" s="1"/>
  <c r="K1197" i="1"/>
  <c r="M1197" i="1" s="1"/>
  <c r="K1198" i="1"/>
  <c r="M1198" i="1" s="1"/>
  <c r="K1199" i="1"/>
  <c r="M1199" i="1" s="1"/>
  <c r="K1200" i="1"/>
  <c r="M1200" i="1" s="1"/>
  <c r="K1201" i="1"/>
  <c r="M1201" i="1" s="1"/>
  <c r="K1202" i="1"/>
  <c r="M1202" i="1" s="1"/>
  <c r="K1203" i="1"/>
  <c r="M1203" i="1" s="1"/>
  <c r="K1204" i="1"/>
  <c r="M1204" i="1" s="1"/>
  <c r="K1205" i="1"/>
  <c r="M1205" i="1" s="1"/>
  <c r="K1206" i="1"/>
  <c r="M1206" i="1" s="1"/>
  <c r="K1207" i="1"/>
  <c r="M1207" i="1" s="1"/>
  <c r="K1208" i="1"/>
  <c r="M1208" i="1" s="1"/>
  <c r="K1209" i="1"/>
  <c r="M1209" i="1" s="1"/>
  <c r="K1210" i="1"/>
  <c r="M1210" i="1" s="1"/>
  <c r="K1211" i="1"/>
  <c r="M1211" i="1" s="1"/>
  <c r="K1212" i="1"/>
  <c r="M1212" i="1" s="1"/>
  <c r="K1213" i="1"/>
  <c r="M1213" i="1" s="1"/>
  <c r="K1214" i="1"/>
  <c r="M1214" i="1" s="1"/>
  <c r="K1215" i="1"/>
  <c r="M1215" i="1" s="1"/>
  <c r="K1216" i="1"/>
  <c r="M1216" i="1" s="1"/>
  <c r="K1217" i="1"/>
  <c r="M1217" i="1" s="1"/>
  <c r="K1218" i="1"/>
  <c r="M1218" i="1" s="1"/>
  <c r="K1219" i="1"/>
  <c r="M1219" i="1" s="1"/>
  <c r="K1220" i="1"/>
  <c r="M1220" i="1" s="1"/>
  <c r="K1221" i="1"/>
  <c r="M1221" i="1" s="1"/>
  <c r="K1222" i="1"/>
  <c r="M1222" i="1" s="1"/>
  <c r="K1223" i="1"/>
  <c r="M1223" i="1" s="1"/>
  <c r="K1224" i="1"/>
  <c r="M1224" i="1" s="1"/>
  <c r="K1225" i="1"/>
  <c r="M1225" i="1" s="1"/>
  <c r="K1226" i="1"/>
  <c r="M1226" i="1" s="1"/>
  <c r="K1227" i="1"/>
  <c r="M1227" i="1" s="1"/>
  <c r="K1228" i="1"/>
  <c r="M1228" i="1" s="1"/>
  <c r="K1229" i="1"/>
  <c r="M1229" i="1" s="1"/>
  <c r="P1229" i="1" s="1"/>
  <c r="K1230" i="1"/>
  <c r="M1230" i="1" s="1"/>
  <c r="K1231" i="1"/>
  <c r="M1231" i="1" s="1"/>
  <c r="K1232" i="1"/>
  <c r="M1232" i="1" s="1"/>
  <c r="K1233" i="1"/>
  <c r="M1233" i="1" s="1"/>
  <c r="K1234" i="1"/>
  <c r="M1234" i="1" s="1"/>
  <c r="K1235" i="1"/>
  <c r="M1235" i="1" s="1"/>
  <c r="K1236" i="1"/>
  <c r="M1236" i="1" s="1"/>
  <c r="K1237" i="1"/>
  <c r="M1237" i="1" s="1"/>
  <c r="K1238" i="1"/>
  <c r="M1238" i="1" s="1"/>
  <c r="K1239" i="1"/>
  <c r="M1239" i="1" s="1"/>
  <c r="K1240" i="1"/>
  <c r="M1240" i="1" s="1"/>
  <c r="K1241" i="1"/>
  <c r="M1241" i="1" s="1"/>
  <c r="K1242" i="1"/>
  <c r="M1242" i="1" s="1"/>
  <c r="K1243" i="1"/>
  <c r="M1243" i="1" s="1"/>
  <c r="K1244" i="1"/>
  <c r="M1244" i="1" s="1"/>
  <c r="K1245" i="1"/>
  <c r="M1245" i="1" s="1"/>
  <c r="K1246" i="1"/>
  <c r="M1246" i="1" s="1"/>
  <c r="K1247" i="1"/>
  <c r="M1247" i="1" s="1"/>
  <c r="K1248" i="1"/>
  <c r="M1248" i="1" s="1"/>
  <c r="K1249" i="1"/>
  <c r="M1249" i="1" s="1"/>
  <c r="K1250" i="1"/>
  <c r="M1250" i="1" s="1"/>
  <c r="K1251" i="1"/>
  <c r="M1251" i="1" s="1"/>
  <c r="K1252" i="1"/>
  <c r="M1252" i="1" s="1"/>
  <c r="K1253" i="1"/>
  <c r="M1253" i="1" s="1"/>
  <c r="K1254" i="1"/>
  <c r="M1254" i="1" s="1"/>
  <c r="K1255" i="1"/>
  <c r="M1255" i="1" s="1"/>
  <c r="K1256" i="1"/>
  <c r="M1256" i="1" s="1"/>
  <c r="K1257" i="1"/>
  <c r="M1257" i="1" s="1"/>
  <c r="K1258" i="1"/>
  <c r="M1258" i="1" s="1"/>
  <c r="K1259" i="1"/>
  <c r="M1259" i="1" s="1"/>
  <c r="K1260" i="1"/>
  <c r="M1260" i="1" s="1"/>
  <c r="K1261" i="1"/>
  <c r="M1261" i="1" s="1"/>
  <c r="K1262" i="1"/>
  <c r="M1262" i="1" s="1"/>
  <c r="K1263" i="1"/>
  <c r="M1263" i="1" s="1"/>
  <c r="K1264" i="1"/>
  <c r="M1264" i="1" s="1"/>
  <c r="K1265" i="1"/>
  <c r="M1265" i="1" s="1"/>
  <c r="K1266" i="1"/>
  <c r="M1266" i="1" s="1"/>
  <c r="K1267" i="1"/>
  <c r="M1267" i="1" s="1"/>
  <c r="K1268" i="1"/>
  <c r="M1268" i="1" s="1"/>
  <c r="K1269" i="1"/>
  <c r="M1269" i="1" s="1"/>
  <c r="K1270" i="1"/>
  <c r="M1270" i="1" s="1"/>
  <c r="K1271" i="1"/>
  <c r="M1271" i="1" s="1"/>
  <c r="K1272" i="1"/>
  <c r="M1272" i="1" s="1"/>
  <c r="K1273" i="1"/>
  <c r="M1273" i="1" s="1"/>
  <c r="K1274" i="1"/>
  <c r="M1274" i="1" s="1"/>
  <c r="K1275" i="1"/>
  <c r="M1275" i="1" s="1"/>
  <c r="K1276" i="1"/>
  <c r="M1276" i="1" s="1"/>
  <c r="K1277" i="1"/>
  <c r="M1277" i="1" s="1"/>
  <c r="K1278" i="1"/>
  <c r="M1278" i="1" s="1"/>
  <c r="K1279" i="1"/>
  <c r="M1279" i="1" s="1"/>
  <c r="K1280" i="1"/>
  <c r="M1280" i="1" s="1"/>
  <c r="K1281" i="1"/>
  <c r="M1281" i="1" s="1"/>
  <c r="K1282" i="1"/>
  <c r="M1282" i="1" s="1"/>
  <c r="K1283" i="1"/>
  <c r="M1283" i="1" s="1"/>
  <c r="K1284" i="1"/>
  <c r="M1284" i="1" s="1"/>
  <c r="K1285" i="1"/>
  <c r="M1285" i="1" s="1"/>
  <c r="K1286" i="1"/>
  <c r="M1286" i="1" s="1"/>
  <c r="K1287" i="1"/>
  <c r="M1287" i="1" s="1"/>
  <c r="K1288" i="1"/>
  <c r="M1288" i="1" s="1"/>
  <c r="K1289" i="1"/>
  <c r="M1289" i="1" s="1"/>
  <c r="K1290" i="1"/>
  <c r="M1290" i="1" s="1"/>
  <c r="K1291" i="1"/>
  <c r="M1291" i="1" s="1"/>
  <c r="K1292" i="1"/>
  <c r="M1292" i="1" s="1"/>
  <c r="K1293" i="1"/>
  <c r="M1293" i="1" s="1"/>
  <c r="K1294" i="1"/>
  <c r="M1294" i="1" s="1"/>
  <c r="K1295" i="1"/>
  <c r="M1295" i="1" s="1"/>
  <c r="K1296" i="1"/>
  <c r="M1296" i="1" s="1"/>
  <c r="K1297" i="1"/>
  <c r="M1297" i="1" s="1"/>
  <c r="K1298" i="1"/>
  <c r="M1298" i="1" s="1"/>
  <c r="K1299" i="1"/>
  <c r="M1299" i="1" s="1"/>
  <c r="K1300" i="1"/>
  <c r="M1300" i="1" s="1"/>
  <c r="K1301" i="1"/>
  <c r="M1301" i="1" s="1"/>
  <c r="K1302" i="1"/>
  <c r="M1302" i="1" s="1"/>
  <c r="K1303" i="1"/>
  <c r="M1303" i="1" s="1"/>
  <c r="K1304" i="1"/>
  <c r="M1304" i="1" s="1"/>
  <c r="K1305" i="1"/>
  <c r="M1305" i="1" s="1"/>
  <c r="K1306" i="1"/>
  <c r="M1306" i="1" s="1"/>
  <c r="K1307" i="1"/>
  <c r="M1307" i="1" s="1"/>
  <c r="K1308" i="1"/>
  <c r="M1308" i="1" s="1"/>
  <c r="K1309" i="1"/>
  <c r="M1309" i="1" s="1"/>
  <c r="K1310" i="1"/>
  <c r="M1310" i="1" s="1"/>
  <c r="K1311" i="1"/>
  <c r="M1311" i="1" s="1"/>
  <c r="K1312" i="1"/>
  <c r="M1312" i="1" s="1"/>
  <c r="K1313" i="1"/>
  <c r="M1313" i="1" s="1"/>
  <c r="K1314" i="1"/>
  <c r="M1314" i="1" s="1"/>
  <c r="K1315" i="1"/>
  <c r="M1315" i="1" s="1"/>
  <c r="K1316" i="1"/>
  <c r="M1316" i="1" s="1"/>
  <c r="K1317" i="1"/>
  <c r="M1317" i="1" s="1"/>
  <c r="K1318" i="1"/>
  <c r="M1318" i="1" s="1"/>
  <c r="K1319" i="1"/>
  <c r="M1319" i="1" s="1"/>
  <c r="K1320" i="1"/>
  <c r="M1320" i="1" s="1"/>
  <c r="K1321" i="1"/>
  <c r="M1321" i="1" s="1"/>
  <c r="K1322" i="1"/>
  <c r="M1322" i="1" s="1"/>
  <c r="K1323" i="1"/>
  <c r="M1323" i="1" s="1"/>
  <c r="K1324" i="1"/>
  <c r="M1324" i="1" s="1"/>
  <c r="K1325" i="1"/>
  <c r="M1325" i="1" s="1"/>
  <c r="K1326" i="1"/>
  <c r="M1326" i="1" s="1"/>
  <c r="K1327" i="1"/>
  <c r="M1327" i="1" s="1"/>
  <c r="K1328" i="1"/>
  <c r="M1328" i="1" s="1"/>
  <c r="K1329" i="1"/>
  <c r="M1329" i="1" s="1"/>
  <c r="K1330" i="1"/>
  <c r="M1330" i="1" s="1"/>
  <c r="K1331" i="1"/>
  <c r="M1331" i="1" s="1"/>
  <c r="K1332" i="1"/>
  <c r="M1332" i="1" s="1"/>
  <c r="K1333" i="1"/>
  <c r="M1333" i="1" s="1"/>
  <c r="K1334" i="1"/>
  <c r="M1334" i="1" s="1"/>
  <c r="K1335" i="1"/>
  <c r="M1335" i="1" s="1"/>
  <c r="K1336" i="1"/>
  <c r="M1336" i="1" s="1"/>
  <c r="K1337" i="1"/>
  <c r="M1337" i="1" s="1"/>
  <c r="K1338" i="1"/>
  <c r="M1338" i="1" s="1"/>
  <c r="K1339" i="1"/>
  <c r="M1339" i="1" s="1"/>
  <c r="K1340" i="1"/>
  <c r="M1340" i="1" s="1"/>
  <c r="K1341" i="1"/>
  <c r="M1341" i="1" s="1"/>
  <c r="K1342" i="1"/>
  <c r="M1342" i="1" s="1"/>
  <c r="K1343" i="1"/>
  <c r="M1343" i="1" s="1"/>
  <c r="K1344" i="1"/>
  <c r="M1344" i="1" s="1"/>
  <c r="K1345" i="1"/>
  <c r="M1345" i="1" s="1"/>
  <c r="K1346" i="1"/>
  <c r="M1346" i="1" s="1"/>
  <c r="K1347" i="1"/>
  <c r="M1347" i="1" s="1"/>
  <c r="K1348" i="1"/>
  <c r="M1348" i="1" s="1"/>
  <c r="K1349" i="1"/>
  <c r="M1349" i="1" s="1"/>
  <c r="K1350" i="1"/>
  <c r="M1350" i="1" s="1"/>
  <c r="K1351" i="1"/>
  <c r="M1351" i="1" s="1"/>
  <c r="K1352" i="1"/>
  <c r="M1352" i="1" s="1"/>
  <c r="K1353" i="1"/>
  <c r="M1353" i="1" s="1"/>
  <c r="K1354" i="1"/>
  <c r="M1354" i="1" s="1"/>
  <c r="K1355" i="1"/>
  <c r="M1355" i="1" s="1"/>
  <c r="K1356" i="1"/>
  <c r="M1356" i="1" s="1"/>
  <c r="K1357" i="1"/>
  <c r="M1357" i="1" s="1"/>
  <c r="K1358" i="1"/>
  <c r="M1358" i="1" s="1"/>
  <c r="K1359" i="1"/>
  <c r="M1359" i="1" s="1"/>
  <c r="K1360" i="1"/>
  <c r="M1360" i="1" s="1"/>
  <c r="K1361" i="1"/>
  <c r="M1361" i="1" s="1"/>
  <c r="K1362" i="1"/>
  <c r="M1362" i="1" s="1"/>
  <c r="K1363" i="1"/>
  <c r="M1363" i="1" s="1"/>
  <c r="K1364" i="1"/>
  <c r="M1364" i="1" s="1"/>
  <c r="K1365" i="1"/>
  <c r="M1365" i="1" s="1"/>
  <c r="K1366" i="1"/>
  <c r="M1366" i="1" s="1"/>
  <c r="K1367" i="1"/>
  <c r="M1367" i="1" s="1"/>
  <c r="K1368" i="1"/>
  <c r="M1368" i="1" s="1"/>
  <c r="K1369" i="1"/>
  <c r="M1369" i="1" s="1"/>
  <c r="K1370" i="1"/>
  <c r="M1370" i="1" s="1"/>
  <c r="K1371" i="1"/>
  <c r="M1371" i="1" s="1"/>
  <c r="K1372" i="1"/>
  <c r="M1372" i="1" s="1"/>
  <c r="K1373" i="1"/>
  <c r="M1373" i="1" s="1"/>
  <c r="K1374" i="1"/>
  <c r="M1374" i="1" s="1"/>
  <c r="K1375" i="1"/>
  <c r="M1375" i="1" s="1"/>
  <c r="K1376" i="1"/>
  <c r="M1376" i="1" s="1"/>
  <c r="K1377" i="1"/>
  <c r="M1377" i="1" s="1"/>
  <c r="K1378" i="1"/>
  <c r="M1378" i="1" s="1"/>
  <c r="K1379" i="1"/>
  <c r="M1379" i="1" s="1"/>
  <c r="K1380" i="1"/>
  <c r="M1380" i="1" s="1"/>
  <c r="K1381" i="1"/>
  <c r="M1381" i="1" s="1"/>
  <c r="K1382" i="1"/>
  <c r="M1382" i="1" s="1"/>
  <c r="K1383" i="1"/>
  <c r="M1383" i="1" s="1"/>
  <c r="K1384" i="1"/>
  <c r="M1384" i="1" s="1"/>
  <c r="K1385" i="1"/>
  <c r="M1385" i="1" s="1"/>
  <c r="K1386" i="1"/>
  <c r="M1386" i="1" s="1"/>
  <c r="K1387" i="1"/>
  <c r="M1387" i="1" s="1"/>
  <c r="K1388" i="1"/>
  <c r="M1388" i="1" s="1"/>
  <c r="K1389" i="1"/>
  <c r="M1389" i="1" s="1"/>
  <c r="K1390" i="1"/>
  <c r="M1390" i="1" s="1"/>
  <c r="K1391" i="1"/>
  <c r="M1391" i="1" s="1"/>
  <c r="K1392" i="1"/>
  <c r="M1392" i="1" s="1"/>
  <c r="K1393" i="1"/>
  <c r="M1393" i="1" s="1"/>
  <c r="K1394" i="1"/>
  <c r="M1394" i="1" s="1"/>
  <c r="K1395" i="1"/>
  <c r="M1395" i="1" s="1"/>
  <c r="K1396" i="1"/>
  <c r="M1396" i="1" s="1"/>
  <c r="K1397" i="1"/>
  <c r="M1397" i="1" s="1"/>
  <c r="K1398" i="1"/>
  <c r="M1398" i="1" s="1"/>
  <c r="K1399" i="1"/>
  <c r="M1399" i="1" s="1"/>
  <c r="K1400" i="1"/>
  <c r="M1400" i="1" s="1"/>
  <c r="K1401" i="1"/>
  <c r="M1401" i="1" s="1"/>
  <c r="K1402" i="1"/>
  <c r="M1402" i="1" s="1"/>
  <c r="K1403" i="1"/>
  <c r="M1403" i="1" s="1"/>
  <c r="K1404" i="1"/>
  <c r="M1404" i="1" s="1"/>
  <c r="K1405" i="1"/>
  <c r="M1405" i="1" s="1"/>
  <c r="K1406" i="1"/>
  <c r="M1406" i="1" s="1"/>
  <c r="K1407" i="1"/>
  <c r="M1407" i="1" s="1"/>
  <c r="K1408" i="1"/>
  <c r="M1408" i="1" s="1"/>
  <c r="K1409" i="1"/>
  <c r="M1409" i="1" s="1"/>
  <c r="K1410" i="1"/>
  <c r="M1410" i="1" s="1"/>
  <c r="K1411" i="1"/>
  <c r="M1411" i="1" s="1"/>
  <c r="K1412" i="1"/>
  <c r="M1412" i="1" s="1"/>
  <c r="K1413" i="1"/>
  <c r="M1413" i="1" s="1"/>
  <c r="K1414" i="1"/>
  <c r="M1414" i="1" s="1"/>
  <c r="K1415" i="1"/>
  <c r="M1415" i="1" s="1"/>
  <c r="K1416" i="1"/>
  <c r="M1416" i="1" s="1"/>
  <c r="K1417" i="1"/>
  <c r="M1417" i="1" s="1"/>
  <c r="K1418" i="1"/>
  <c r="M1418" i="1" s="1"/>
  <c r="K1419" i="1"/>
  <c r="M1419" i="1" s="1"/>
  <c r="K1420" i="1"/>
  <c r="M1420" i="1" s="1"/>
  <c r="K1421" i="1"/>
  <c r="M1421" i="1" s="1"/>
  <c r="K1422" i="1"/>
  <c r="M1422" i="1" s="1"/>
  <c r="K1423" i="1"/>
  <c r="M1423" i="1" s="1"/>
  <c r="K1424" i="1"/>
  <c r="M1424" i="1" s="1"/>
  <c r="K1425" i="1"/>
  <c r="M1425" i="1" s="1"/>
  <c r="K1426" i="1"/>
  <c r="M1426" i="1" s="1"/>
  <c r="K1427" i="1"/>
  <c r="M1427" i="1" s="1"/>
  <c r="K1428" i="1"/>
  <c r="M1428" i="1" s="1"/>
  <c r="K1429" i="1"/>
  <c r="M1429" i="1" s="1"/>
  <c r="K1430" i="1"/>
  <c r="M1430" i="1" s="1"/>
  <c r="K1431" i="1"/>
  <c r="M1431" i="1" s="1"/>
  <c r="K1432" i="1"/>
  <c r="M1432" i="1" s="1"/>
  <c r="K1433" i="1"/>
  <c r="M1433" i="1" s="1"/>
  <c r="K1434" i="1"/>
  <c r="M1434" i="1" s="1"/>
  <c r="K1435" i="1"/>
  <c r="M1435" i="1" s="1"/>
  <c r="K1436" i="1"/>
  <c r="M1436" i="1" s="1"/>
  <c r="K1437" i="1"/>
  <c r="M1437" i="1" s="1"/>
  <c r="K1438" i="1"/>
  <c r="M1438" i="1" s="1"/>
  <c r="K1439" i="1"/>
  <c r="M1439" i="1" s="1"/>
  <c r="K1440" i="1"/>
  <c r="M1440" i="1" s="1"/>
  <c r="K1441" i="1"/>
  <c r="M1441" i="1" s="1"/>
  <c r="K1442" i="1"/>
  <c r="M1442" i="1" s="1"/>
  <c r="K1443" i="1"/>
  <c r="M1443" i="1" s="1"/>
  <c r="K1444" i="1"/>
  <c r="M1444" i="1" s="1"/>
  <c r="K1445" i="1"/>
  <c r="M1445" i="1" s="1"/>
  <c r="K1446" i="1"/>
  <c r="M1446" i="1" s="1"/>
  <c r="K1447" i="1"/>
  <c r="M1447" i="1" s="1"/>
  <c r="K1448" i="1"/>
  <c r="M1448" i="1" s="1"/>
  <c r="K1449" i="1"/>
  <c r="M1449" i="1" s="1"/>
  <c r="K1450" i="1"/>
  <c r="M1450" i="1" s="1"/>
  <c r="K1451" i="1"/>
  <c r="M1451" i="1" s="1"/>
  <c r="K1452" i="1"/>
  <c r="M1452" i="1" s="1"/>
  <c r="K1453" i="1"/>
  <c r="M1453" i="1" s="1"/>
  <c r="K1454" i="1"/>
  <c r="M1454" i="1" s="1"/>
  <c r="K1455" i="1"/>
  <c r="M1455" i="1" s="1"/>
  <c r="K1456" i="1"/>
  <c r="M1456" i="1" s="1"/>
  <c r="K1457" i="1"/>
  <c r="M1457" i="1" s="1"/>
  <c r="K1458" i="1"/>
  <c r="M1458" i="1" s="1"/>
  <c r="K1459" i="1"/>
  <c r="M1459" i="1" s="1"/>
  <c r="K1460" i="1"/>
  <c r="M1460" i="1" s="1"/>
  <c r="K1461" i="1"/>
  <c r="M1461" i="1" s="1"/>
  <c r="K1462" i="1"/>
  <c r="M1462" i="1" s="1"/>
  <c r="K1463" i="1"/>
  <c r="M1463" i="1" s="1"/>
  <c r="K1464" i="1"/>
  <c r="M1464" i="1" s="1"/>
  <c r="K1465" i="1"/>
  <c r="M1465" i="1" s="1"/>
  <c r="K1466" i="1"/>
  <c r="M1466" i="1" s="1"/>
  <c r="K1467" i="1"/>
  <c r="M1467" i="1" s="1"/>
  <c r="K1468" i="1"/>
  <c r="M1468" i="1" s="1"/>
  <c r="K1469" i="1"/>
  <c r="M1469" i="1" s="1"/>
  <c r="K1470" i="1"/>
  <c r="M1470" i="1" s="1"/>
  <c r="K1471" i="1"/>
  <c r="M1471" i="1" s="1"/>
  <c r="K1472" i="1"/>
  <c r="M1472" i="1" s="1"/>
  <c r="K1473" i="1"/>
  <c r="M1473" i="1" s="1"/>
  <c r="K1474" i="1"/>
  <c r="M1474" i="1" s="1"/>
  <c r="K1475" i="1"/>
  <c r="M1475" i="1" s="1"/>
  <c r="K1476" i="1"/>
  <c r="M1476" i="1" s="1"/>
  <c r="K1477" i="1"/>
  <c r="M1477" i="1" s="1"/>
  <c r="K1478" i="1"/>
  <c r="M1478" i="1" s="1"/>
  <c r="K1479" i="1"/>
  <c r="M1479" i="1" s="1"/>
  <c r="K1480" i="1"/>
  <c r="M1480" i="1" s="1"/>
  <c r="K1481" i="1"/>
  <c r="M1481" i="1" s="1"/>
  <c r="K1482" i="1"/>
  <c r="M1482" i="1" s="1"/>
  <c r="K1483" i="1"/>
  <c r="M1483" i="1" s="1"/>
  <c r="K1484" i="1"/>
  <c r="M1484" i="1" s="1"/>
  <c r="K1485" i="1"/>
  <c r="M1485" i="1" s="1"/>
  <c r="K1486" i="1"/>
  <c r="M1486" i="1" s="1"/>
  <c r="K1487" i="1"/>
  <c r="M1487" i="1" s="1"/>
  <c r="K1488" i="1"/>
  <c r="M1488" i="1" s="1"/>
  <c r="K1489" i="1"/>
  <c r="M1489" i="1" s="1"/>
  <c r="K1490" i="1"/>
  <c r="M1490" i="1" s="1"/>
  <c r="K1491" i="1"/>
  <c r="M1491" i="1" s="1"/>
  <c r="K1492" i="1"/>
  <c r="M1492" i="1" s="1"/>
  <c r="K1493" i="1"/>
  <c r="M1493" i="1" s="1"/>
  <c r="K1494" i="1"/>
  <c r="M1494" i="1" s="1"/>
  <c r="K1495" i="1"/>
  <c r="M1495" i="1" s="1"/>
  <c r="K1496" i="1"/>
  <c r="M1496" i="1" s="1"/>
  <c r="K1497" i="1"/>
  <c r="M1497" i="1" s="1"/>
  <c r="K1498" i="1"/>
  <c r="M1498" i="1" s="1"/>
  <c r="K1499" i="1"/>
  <c r="M1499" i="1" s="1"/>
  <c r="K1500" i="1"/>
  <c r="M1500" i="1" s="1"/>
  <c r="K1501" i="1"/>
  <c r="M1501" i="1" s="1"/>
  <c r="K1502" i="1"/>
  <c r="M1502" i="1" s="1"/>
  <c r="K1503" i="1"/>
  <c r="M1503" i="1" s="1"/>
  <c r="K1504" i="1"/>
  <c r="M1504" i="1" s="1"/>
  <c r="K1505" i="1"/>
  <c r="M1505" i="1" s="1"/>
  <c r="K1506" i="1"/>
  <c r="M1506" i="1" s="1"/>
  <c r="K1507" i="1"/>
  <c r="M1507" i="1" s="1"/>
  <c r="K1508" i="1"/>
  <c r="M1508" i="1" s="1"/>
  <c r="K1509" i="1"/>
  <c r="M1509" i="1" s="1"/>
  <c r="K1510" i="1"/>
  <c r="M1510" i="1" s="1"/>
  <c r="K1511" i="1"/>
  <c r="M1511" i="1" s="1"/>
  <c r="K1512" i="1"/>
  <c r="M1512" i="1" s="1"/>
  <c r="K1513" i="1"/>
  <c r="M1513" i="1" s="1"/>
  <c r="K1514" i="1"/>
  <c r="M1514" i="1" s="1"/>
  <c r="K1515" i="1"/>
  <c r="M1515" i="1" s="1"/>
  <c r="K1516" i="1"/>
  <c r="M1516" i="1" s="1"/>
  <c r="K1517" i="1"/>
  <c r="M1517" i="1" s="1"/>
  <c r="K1518" i="1"/>
  <c r="M1518" i="1" s="1"/>
  <c r="K1519" i="1"/>
  <c r="M1519" i="1" s="1"/>
  <c r="K1520" i="1"/>
  <c r="M1520" i="1" s="1"/>
  <c r="K1521" i="1"/>
  <c r="M1521" i="1" s="1"/>
  <c r="K1522" i="1"/>
  <c r="M1522" i="1" s="1"/>
  <c r="K1523" i="1"/>
  <c r="M1523" i="1" s="1"/>
  <c r="K1524" i="1"/>
  <c r="M1524" i="1" s="1"/>
  <c r="K1525" i="1"/>
  <c r="M1525" i="1" s="1"/>
  <c r="K1526" i="1"/>
  <c r="M1526" i="1" s="1"/>
  <c r="K1527" i="1"/>
  <c r="K1528" i="1"/>
  <c r="M1528" i="1" s="1"/>
  <c r="K1529" i="1"/>
  <c r="M1529" i="1" s="1"/>
  <c r="K1530" i="1"/>
  <c r="M1530" i="1" s="1"/>
  <c r="K1531" i="1"/>
  <c r="M1531" i="1" s="1"/>
  <c r="K1532" i="1"/>
  <c r="M1532" i="1" s="1"/>
  <c r="K1533" i="1"/>
  <c r="M1533" i="1" s="1"/>
  <c r="K1534" i="1"/>
  <c r="M1534" i="1" s="1"/>
  <c r="K1535" i="1"/>
  <c r="M1535" i="1" s="1"/>
  <c r="K1536" i="1"/>
  <c r="M1536" i="1" s="1"/>
  <c r="K1537" i="1"/>
  <c r="M1537" i="1" s="1"/>
  <c r="K1538" i="1"/>
  <c r="M1538" i="1" s="1"/>
  <c r="K1539" i="1"/>
  <c r="M1539" i="1" s="1"/>
  <c r="K1540" i="1"/>
  <c r="M1540" i="1" s="1"/>
  <c r="K1541" i="1"/>
  <c r="M1541" i="1" s="1"/>
  <c r="K1542" i="1"/>
  <c r="M1542" i="1" s="1"/>
  <c r="K1543" i="1"/>
  <c r="M1543" i="1" s="1"/>
  <c r="K1544" i="1"/>
  <c r="M1544" i="1" s="1"/>
  <c r="K1545" i="1"/>
  <c r="M1545" i="1" s="1"/>
  <c r="K1546" i="1"/>
  <c r="M1546" i="1" s="1"/>
  <c r="K1547" i="1"/>
  <c r="M1547" i="1" s="1"/>
  <c r="K1548" i="1"/>
  <c r="M1548" i="1" s="1"/>
  <c r="K1549" i="1"/>
  <c r="M1549" i="1" s="1"/>
  <c r="K1550" i="1"/>
  <c r="M1550" i="1" s="1"/>
  <c r="K1551" i="1"/>
  <c r="M1551" i="1" s="1"/>
  <c r="K1552" i="1"/>
  <c r="M1552" i="1" s="1"/>
  <c r="K1553" i="1"/>
  <c r="M1553" i="1" s="1"/>
  <c r="K1554" i="1"/>
  <c r="M1554" i="1" s="1"/>
  <c r="K1555" i="1"/>
  <c r="M1555" i="1" s="1"/>
  <c r="K1556" i="1"/>
  <c r="M1556" i="1" s="1"/>
  <c r="K1557" i="1"/>
  <c r="M1557" i="1" s="1"/>
  <c r="K1558" i="1"/>
  <c r="M1558" i="1" s="1"/>
  <c r="K1559" i="1"/>
  <c r="K1560" i="1"/>
  <c r="M1560" i="1" s="1"/>
  <c r="K1561" i="1"/>
  <c r="M1561" i="1" s="1"/>
  <c r="K1562" i="1"/>
  <c r="M1562" i="1" s="1"/>
  <c r="K1563" i="1"/>
  <c r="M1563" i="1" s="1"/>
  <c r="K1564" i="1"/>
  <c r="M1564" i="1" s="1"/>
  <c r="K1565" i="1"/>
  <c r="M1565" i="1" s="1"/>
  <c r="K1566" i="1"/>
  <c r="M1566" i="1" s="1"/>
  <c r="K1567" i="1"/>
  <c r="M1567" i="1" s="1"/>
  <c r="K1568" i="1"/>
  <c r="M1568" i="1" s="1"/>
  <c r="K1569" i="1"/>
  <c r="M1569" i="1" s="1"/>
  <c r="K1570" i="1"/>
  <c r="M1570" i="1" s="1"/>
  <c r="K1571" i="1"/>
  <c r="M1571" i="1" s="1"/>
  <c r="K1572" i="1"/>
  <c r="M1572" i="1" s="1"/>
  <c r="K1573" i="1"/>
  <c r="M1573" i="1" s="1"/>
  <c r="K1574" i="1"/>
  <c r="M1574" i="1" s="1"/>
  <c r="K1575" i="1"/>
  <c r="M1575" i="1" s="1"/>
  <c r="K1576" i="1"/>
  <c r="M1576" i="1" s="1"/>
  <c r="K1577" i="1"/>
  <c r="M1577" i="1" s="1"/>
  <c r="K1578" i="1"/>
  <c r="M1578" i="1" s="1"/>
  <c r="K1579" i="1"/>
  <c r="M1579" i="1" s="1"/>
  <c r="K1580" i="1"/>
  <c r="M1580" i="1" s="1"/>
  <c r="K1581" i="1"/>
  <c r="M1581" i="1" s="1"/>
  <c r="K1582" i="1"/>
  <c r="M1582" i="1" s="1"/>
  <c r="K1583" i="1"/>
  <c r="M1583" i="1" s="1"/>
  <c r="K1584" i="1"/>
  <c r="M1584" i="1" s="1"/>
  <c r="K1585" i="1"/>
  <c r="M1585" i="1" s="1"/>
  <c r="K1586" i="1"/>
  <c r="M1586" i="1" s="1"/>
  <c r="K1587" i="1"/>
  <c r="M1587" i="1" s="1"/>
  <c r="K1588" i="1"/>
  <c r="M1588" i="1" s="1"/>
  <c r="K1589" i="1"/>
  <c r="M1589" i="1" s="1"/>
  <c r="K1590" i="1"/>
  <c r="M1590" i="1" s="1"/>
  <c r="K1591" i="1"/>
  <c r="M1591" i="1" s="1"/>
  <c r="K1592" i="1"/>
  <c r="M1592" i="1" s="1"/>
  <c r="K1593" i="1"/>
  <c r="M1593" i="1" s="1"/>
  <c r="K1594" i="1"/>
  <c r="M1594" i="1" s="1"/>
  <c r="K1595" i="1"/>
  <c r="M1595" i="1" s="1"/>
  <c r="K1596" i="1"/>
  <c r="M1596" i="1" s="1"/>
  <c r="K1597" i="1"/>
  <c r="M1597" i="1" s="1"/>
  <c r="K1598" i="1"/>
  <c r="M1598" i="1" s="1"/>
  <c r="K1599" i="1"/>
  <c r="M1599" i="1" s="1"/>
  <c r="K1600" i="1"/>
  <c r="M1600" i="1" s="1"/>
  <c r="K1601" i="1"/>
  <c r="M1601" i="1" s="1"/>
  <c r="K1602" i="1"/>
  <c r="M1602" i="1" s="1"/>
  <c r="K1603" i="1"/>
  <c r="M1603" i="1" s="1"/>
  <c r="K1604" i="1"/>
  <c r="M1604" i="1" s="1"/>
  <c r="K1605" i="1"/>
  <c r="M1605" i="1" s="1"/>
  <c r="K1606" i="1"/>
  <c r="M1606" i="1" s="1"/>
  <c r="K1607" i="1"/>
  <c r="M1607" i="1" s="1"/>
  <c r="K1608" i="1"/>
  <c r="M1608" i="1" s="1"/>
  <c r="K1609" i="1"/>
  <c r="M1609" i="1" s="1"/>
  <c r="K1610" i="1"/>
  <c r="M1610" i="1" s="1"/>
  <c r="K1611" i="1"/>
  <c r="M1611" i="1" s="1"/>
  <c r="K1612" i="1"/>
  <c r="M1612" i="1" s="1"/>
  <c r="K1613" i="1"/>
  <c r="M1613" i="1" s="1"/>
  <c r="K1614" i="1"/>
  <c r="M1614" i="1" s="1"/>
  <c r="K1615" i="1"/>
  <c r="M1615" i="1" s="1"/>
  <c r="K1616" i="1"/>
  <c r="M1616" i="1" s="1"/>
  <c r="K1617" i="1"/>
  <c r="M1617" i="1" s="1"/>
  <c r="K1618" i="1"/>
  <c r="M1618" i="1" s="1"/>
  <c r="K1619" i="1"/>
  <c r="M1619" i="1" s="1"/>
  <c r="K1620" i="1"/>
  <c r="M1620" i="1" s="1"/>
  <c r="K1621" i="1"/>
  <c r="M1621" i="1" s="1"/>
  <c r="K1622" i="1"/>
  <c r="M1622" i="1" s="1"/>
  <c r="K1623" i="1"/>
  <c r="M1623" i="1" s="1"/>
  <c r="K1624" i="1"/>
  <c r="M1624" i="1" s="1"/>
  <c r="K1625" i="1"/>
  <c r="M1625" i="1" s="1"/>
  <c r="K1626" i="1"/>
  <c r="M1626" i="1" s="1"/>
  <c r="K1627" i="1"/>
  <c r="M1627" i="1" s="1"/>
  <c r="K1628" i="1"/>
  <c r="M1628" i="1" s="1"/>
  <c r="K1629" i="1"/>
  <c r="M1629" i="1" s="1"/>
  <c r="K1630" i="1"/>
  <c r="M1630" i="1" s="1"/>
  <c r="K1631" i="1"/>
  <c r="M1631" i="1" s="1"/>
  <c r="K1632" i="1"/>
  <c r="M1632" i="1" s="1"/>
  <c r="K1633" i="1"/>
  <c r="M1633" i="1" s="1"/>
  <c r="K1634" i="1"/>
  <c r="M1634" i="1" s="1"/>
  <c r="K1635" i="1"/>
  <c r="M1635" i="1" s="1"/>
  <c r="K1636" i="1"/>
  <c r="M1636" i="1" s="1"/>
  <c r="K1637" i="1"/>
  <c r="M1637" i="1" s="1"/>
  <c r="K1638" i="1"/>
  <c r="M1638" i="1" s="1"/>
  <c r="K1639" i="1"/>
  <c r="M1639" i="1" s="1"/>
  <c r="K1640" i="1"/>
  <c r="M1640" i="1" s="1"/>
  <c r="K1641" i="1"/>
  <c r="M1641" i="1" s="1"/>
  <c r="K1642" i="1"/>
  <c r="M1642" i="1" s="1"/>
  <c r="K1643" i="1"/>
  <c r="M1643" i="1" s="1"/>
  <c r="K1644" i="1"/>
  <c r="M1644" i="1" s="1"/>
  <c r="K1645" i="1"/>
  <c r="M1645" i="1" s="1"/>
  <c r="K1646" i="1"/>
  <c r="M1646" i="1" s="1"/>
  <c r="K1647" i="1"/>
  <c r="M1647" i="1" s="1"/>
  <c r="K1648" i="1"/>
  <c r="M1648" i="1" s="1"/>
  <c r="K1649" i="1"/>
  <c r="M1649" i="1" s="1"/>
  <c r="K1650" i="1"/>
  <c r="M1650" i="1" s="1"/>
  <c r="K1651" i="1"/>
  <c r="M1651" i="1" s="1"/>
  <c r="K1652" i="1"/>
  <c r="M1652" i="1" s="1"/>
  <c r="K1653" i="1"/>
  <c r="M1653" i="1" s="1"/>
  <c r="K1654" i="1"/>
  <c r="M1654" i="1" s="1"/>
  <c r="K1655" i="1"/>
  <c r="M1655" i="1" s="1"/>
  <c r="K1656" i="1"/>
  <c r="M1656" i="1" s="1"/>
  <c r="K1657" i="1"/>
  <c r="M1657" i="1" s="1"/>
  <c r="K1658" i="1"/>
  <c r="M1658" i="1" s="1"/>
  <c r="K1659" i="1"/>
  <c r="M1659" i="1" s="1"/>
  <c r="K1660" i="1"/>
  <c r="M1660" i="1" s="1"/>
  <c r="K1661" i="1"/>
  <c r="M1661" i="1" s="1"/>
  <c r="K1662" i="1"/>
  <c r="M1662" i="1" s="1"/>
  <c r="K1663" i="1"/>
  <c r="M1663" i="1" s="1"/>
  <c r="K1664" i="1"/>
  <c r="M1664" i="1" s="1"/>
  <c r="K1665" i="1"/>
  <c r="M1665" i="1" s="1"/>
  <c r="K1666" i="1"/>
  <c r="M1666" i="1" s="1"/>
  <c r="K1667" i="1"/>
  <c r="M1667" i="1" s="1"/>
  <c r="K1668" i="1"/>
  <c r="M1668" i="1" s="1"/>
  <c r="K1669" i="1"/>
  <c r="M1669" i="1" s="1"/>
  <c r="K1670" i="1"/>
  <c r="M1670" i="1" s="1"/>
  <c r="K1671" i="1"/>
  <c r="M1671" i="1" s="1"/>
  <c r="K1672" i="1"/>
  <c r="M1672" i="1" s="1"/>
  <c r="K1673" i="1"/>
  <c r="M1673" i="1" s="1"/>
  <c r="K1674" i="1"/>
  <c r="M1674" i="1" s="1"/>
  <c r="K1675" i="1"/>
  <c r="M1675" i="1" s="1"/>
  <c r="K1676" i="1"/>
  <c r="M1676" i="1" s="1"/>
  <c r="K1677" i="1"/>
  <c r="M1677" i="1" s="1"/>
  <c r="K1678" i="1"/>
  <c r="M1678" i="1" s="1"/>
  <c r="K1679" i="1"/>
  <c r="M1679" i="1" s="1"/>
  <c r="K1680" i="1"/>
  <c r="M1680" i="1" s="1"/>
  <c r="K1681" i="1"/>
  <c r="M1681" i="1" s="1"/>
  <c r="K1682" i="1"/>
  <c r="M1682" i="1" s="1"/>
  <c r="K1683" i="1"/>
  <c r="M1683" i="1" s="1"/>
  <c r="K1684" i="1"/>
  <c r="M1684" i="1" s="1"/>
  <c r="K1685" i="1"/>
  <c r="M1685" i="1" s="1"/>
  <c r="K1686" i="1"/>
  <c r="M1686" i="1" s="1"/>
  <c r="K1687" i="1"/>
  <c r="M1687" i="1" s="1"/>
  <c r="K1688" i="1"/>
  <c r="M1688" i="1" s="1"/>
  <c r="K1689" i="1"/>
  <c r="M1689" i="1" s="1"/>
  <c r="P1689" i="1" s="1"/>
  <c r="K1690" i="1"/>
  <c r="M1690" i="1" s="1"/>
  <c r="K1691" i="1"/>
  <c r="M1691" i="1" s="1"/>
  <c r="K1692" i="1"/>
  <c r="K1693" i="1"/>
  <c r="M1693" i="1" s="1"/>
  <c r="K1694" i="1"/>
  <c r="M1694" i="1" s="1"/>
  <c r="K1695" i="1"/>
  <c r="M1695" i="1" s="1"/>
  <c r="K1696" i="1"/>
  <c r="M1696" i="1" s="1"/>
  <c r="K1697" i="1"/>
  <c r="M1697" i="1" s="1"/>
  <c r="K1698" i="1"/>
  <c r="M1698" i="1" s="1"/>
  <c r="K1699" i="1"/>
  <c r="M1699" i="1" s="1"/>
  <c r="K1700" i="1"/>
  <c r="M1700" i="1" s="1"/>
  <c r="K1701" i="1"/>
  <c r="M1701" i="1" s="1"/>
  <c r="K1702" i="1"/>
  <c r="M1702" i="1" s="1"/>
  <c r="K1703" i="1"/>
  <c r="M1703" i="1" s="1"/>
  <c r="K1704" i="1"/>
  <c r="M1704" i="1" s="1"/>
  <c r="K1705" i="1"/>
  <c r="M1705" i="1" s="1"/>
  <c r="K1706" i="1"/>
  <c r="M1706" i="1" s="1"/>
  <c r="K1707" i="1"/>
  <c r="M1707" i="1" s="1"/>
  <c r="K1708" i="1"/>
  <c r="M1708" i="1" s="1"/>
  <c r="K1709" i="1"/>
  <c r="M1709" i="1" s="1"/>
  <c r="K1710" i="1"/>
  <c r="M1710" i="1" s="1"/>
  <c r="K1711" i="1"/>
  <c r="M1711" i="1" s="1"/>
  <c r="K1712" i="1"/>
  <c r="M1712" i="1" s="1"/>
  <c r="K1713" i="1"/>
  <c r="M1713" i="1" s="1"/>
  <c r="K1714" i="1"/>
  <c r="M1714" i="1" s="1"/>
  <c r="K1715" i="1"/>
  <c r="M1715" i="1" s="1"/>
  <c r="K1716" i="1"/>
  <c r="M1716" i="1" s="1"/>
  <c r="K1717" i="1"/>
  <c r="M1717" i="1" s="1"/>
  <c r="K1718" i="1"/>
  <c r="M1718" i="1" s="1"/>
  <c r="K1719" i="1"/>
  <c r="M1719" i="1" s="1"/>
  <c r="K1720" i="1"/>
  <c r="M1720" i="1" s="1"/>
  <c r="K1721" i="1"/>
  <c r="M1721" i="1" s="1"/>
  <c r="K1722" i="1"/>
  <c r="M1722" i="1" s="1"/>
  <c r="K1723" i="1"/>
  <c r="M1723" i="1" s="1"/>
  <c r="K1724" i="1"/>
  <c r="M1724" i="1" s="1"/>
  <c r="K1725" i="1"/>
  <c r="M1725" i="1" s="1"/>
  <c r="K1726" i="1"/>
  <c r="M1726" i="1" s="1"/>
  <c r="K1727" i="1"/>
  <c r="M1727" i="1" s="1"/>
  <c r="K1728" i="1"/>
  <c r="M1728" i="1" s="1"/>
  <c r="K1729" i="1"/>
  <c r="M1729" i="1" s="1"/>
  <c r="K1730" i="1"/>
  <c r="M1730" i="1" s="1"/>
  <c r="K1731" i="1"/>
  <c r="M1731" i="1" s="1"/>
  <c r="K1732" i="1"/>
  <c r="M1732" i="1" s="1"/>
  <c r="K1733" i="1"/>
  <c r="M1733" i="1" s="1"/>
  <c r="K1734" i="1"/>
  <c r="M1734" i="1" s="1"/>
  <c r="K1735" i="1"/>
  <c r="M1735" i="1" s="1"/>
  <c r="K1736" i="1"/>
  <c r="M1736" i="1" s="1"/>
  <c r="K1737" i="1"/>
  <c r="M1737" i="1" s="1"/>
  <c r="K1738" i="1"/>
  <c r="M1738" i="1" s="1"/>
  <c r="K1739" i="1"/>
  <c r="M1739" i="1" s="1"/>
  <c r="K1740" i="1"/>
  <c r="M1740" i="1" s="1"/>
  <c r="K1741" i="1"/>
  <c r="M1741" i="1" s="1"/>
  <c r="K1742" i="1"/>
  <c r="M1742" i="1" s="1"/>
  <c r="K1743" i="1"/>
  <c r="M1743" i="1" s="1"/>
  <c r="K1744" i="1"/>
  <c r="M1744" i="1" s="1"/>
  <c r="K1745" i="1"/>
  <c r="M1745" i="1" s="1"/>
  <c r="K1746" i="1"/>
  <c r="M1746" i="1" s="1"/>
  <c r="K1747" i="1"/>
  <c r="M1747" i="1" s="1"/>
  <c r="K1748" i="1"/>
  <c r="M1748" i="1" s="1"/>
  <c r="K1749" i="1"/>
  <c r="M1749" i="1" s="1"/>
  <c r="K1750" i="1"/>
  <c r="M1750" i="1" s="1"/>
  <c r="K1751" i="1"/>
  <c r="M1751" i="1" s="1"/>
  <c r="K1752" i="1"/>
  <c r="M1752" i="1" s="1"/>
  <c r="K1753" i="1"/>
  <c r="M1753" i="1" s="1"/>
  <c r="K1754" i="1"/>
  <c r="M1754" i="1" s="1"/>
  <c r="K1755" i="1"/>
  <c r="M1755" i="1" s="1"/>
  <c r="K1756" i="1"/>
  <c r="M1756" i="1" s="1"/>
  <c r="K1757" i="1"/>
  <c r="M1757" i="1" s="1"/>
  <c r="K1758" i="1"/>
  <c r="M1758" i="1" s="1"/>
  <c r="K1759" i="1"/>
  <c r="M1759" i="1" s="1"/>
  <c r="K1760" i="1"/>
  <c r="M1760" i="1" s="1"/>
  <c r="K1761" i="1"/>
  <c r="M1761" i="1" s="1"/>
  <c r="K1762" i="1"/>
  <c r="M1762" i="1" s="1"/>
  <c r="K1763" i="1"/>
  <c r="M1763" i="1" s="1"/>
  <c r="K1764" i="1"/>
  <c r="M1764" i="1" s="1"/>
  <c r="K1765" i="1"/>
  <c r="M1765" i="1" s="1"/>
  <c r="K1766" i="1"/>
  <c r="M1766" i="1" s="1"/>
  <c r="K1767" i="1"/>
  <c r="M1767" i="1" s="1"/>
  <c r="K1768" i="1"/>
  <c r="M1768" i="1" s="1"/>
  <c r="K1769" i="1"/>
  <c r="M1769" i="1" s="1"/>
  <c r="K1770" i="1"/>
  <c r="M1770" i="1" s="1"/>
  <c r="K1771" i="1"/>
  <c r="M1771" i="1" s="1"/>
  <c r="K1772" i="1"/>
  <c r="M1772" i="1" s="1"/>
  <c r="K1773" i="1"/>
  <c r="M1773" i="1" s="1"/>
  <c r="K1774" i="1"/>
  <c r="M1774" i="1" s="1"/>
  <c r="K1775" i="1"/>
  <c r="M1775" i="1" s="1"/>
  <c r="K1776" i="1"/>
  <c r="M1776" i="1" s="1"/>
  <c r="K1777" i="1"/>
  <c r="M1777" i="1" s="1"/>
  <c r="K1778" i="1"/>
  <c r="M1778" i="1" s="1"/>
  <c r="K1779" i="1"/>
  <c r="M1779" i="1" s="1"/>
  <c r="K1780" i="1"/>
  <c r="M1780" i="1" s="1"/>
  <c r="K1781" i="1"/>
  <c r="M1781" i="1" s="1"/>
  <c r="K1782" i="1"/>
  <c r="M1782" i="1" s="1"/>
  <c r="K1783" i="1"/>
  <c r="M1783" i="1" s="1"/>
  <c r="K1784" i="1"/>
  <c r="M1784" i="1" s="1"/>
  <c r="K1785" i="1"/>
  <c r="M1785" i="1" s="1"/>
  <c r="K1786" i="1"/>
  <c r="M1786" i="1" s="1"/>
  <c r="K1787" i="1"/>
  <c r="M1787" i="1" s="1"/>
  <c r="K1788" i="1"/>
  <c r="M1788" i="1" s="1"/>
  <c r="K1789" i="1"/>
  <c r="M1789" i="1" s="1"/>
  <c r="K1790" i="1"/>
  <c r="M1790" i="1" s="1"/>
  <c r="K1791" i="1"/>
  <c r="M1791" i="1" s="1"/>
  <c r="K1792" i="1"/>
  <c r="M1792" i="1" s="1"/>
  <c r="K1793" i="1"/>
  <c r="M1793" i="1" s="1"/>
  <c r="K1794" i="1"/>
  <c r="M1794" i="1" s="1"/>
  <c r="K1795" i="1"/>
  <c r="M1795" i="1" s="1"/>
  <c r="K1796" i="1"/>
  <c r="M1796" i="1" s="1"/>
  <c r="K1797" i="1"/>
  <c r="M1797" i="1" s="1"/>
  <c r="K1798" i="1"/>
  <c r="M1798" i="1" s="1"/>
  <c r="K1799" i="1"/>
  <c r="M1799" i="1" s="1"/>
  <c r="K1800" i="1"/>
  <c r="M1800" i="1" s="1"/>
  <c r="K1801" i="1"/>
  <c r="M1801" i="1" s="1"/>
  <c r="K1802" i="1"/>
  <c r="M1802" i="1" s="1"/>
  <c r="K1803" i="1"/>
  <c r="M1803" i="1" s="1"/>
  <c r="K1804" i="1"/>
  <c r="M1804" i="1" s="1"/>
  <c r="K1805" i="1"/>
  <c r="M1805" i="1" s="1"/>
  <c r="K1806" i="1"/>
  <c r="M1806" i="1" s="1"/>
  <c r="K1807" i="1"/>
  <c r="M1807" i="1" s="1"/>
  <c r="K1808" i="1"/>
  <c r="M1808" i="1" s="1"/>
  <c r="K1809" i="1"/>
  <c r="M1809" i="1" s="1"/>
  <c r="K1810" i="1"/>
  <c r="M1810" i="1" s="1"/>
  <c r="K1811" i="1"/>
  <c r="M1811" i="1" s="1"/>
  <c r="K1812" i="1"/>
  <c r="M1812" i="1" s="1"/>
  <c r="K1813" i="1"/>
  <c r="M1813" i="1" s="1"/>
  <c r="K1814" i="1"/>
  <c r="M1814" i="1" s="1"/>
  <c r="K1815" i="1"/>
  <c r="M1815" i="1" s="1"/>
  <c r="K1816" i="1"/>
  <c r="M1816" i="1" s="1"/>
  <c r="K1817" i="1"/>
  <c r="M1817" i="1" s="1"/>
  <c r="K1818" i="1"/>
  <c r="M1818" i="1" s="1"/>
  <c r="K1819" i="1"/>
  <c r="M1819" i="1" s="1"/>
  <c r="K1820" i="1"/>
  <c r="K1821" i="1"/>
  <c r="M1821" i="1" s="1"/>
  <c r="K1822" i="1"/>
  <c r="M1822" i="1" s="1"/>
  <c r="K1823" i="1"/>
  <c r="M1823" i="1" s="1"/>
  <c r="K1824" i="1"/>
  <c r="M1824" i="1" s="1"/>
  <c r="K1825" i="1"/>
  <c r="M1825" i="1" s="1"/>
  <c r="K1826" i="1"/>
  <c r="M1826" i="1" s="1"/>
  <c r="K1827" i="1"/>
  <c r="M1827" i="1" s="1"/>
  <c r="K1828" i="1"/>
  <c r="M1828" i="1" s="1"/>
  <c r="K1829" i="1"/>
  <c r="M1829" i="1" s="1"/>
  <c r="K1830" i="1"/>
  <c r="M1830" i="1" s="1"/>
  <c r="K1831" i="1"/>
  <c r="M1831" i="1" s="1"/>
  <c r="K1832" i="1"/>
  <c r="M1832" i="1" s="1"/>
  <c r="K1833" i="1"/>
  <c r="M1833" i="1" s="1"/>
  <c r="K1834" i="1"/>
  <c r="M1834" i="1" s="1"/>
  <c r="K1835" i="1"/>
  <c r="M1835" i="1" s="1"/>
  <c r="K1836" i="1"/>
  <c r="M1836" i="1" s="1"/>
  <c r="K1837" i="1"/>
  <c r="M1837" i="1" s="1"/>
  <c r="K1838" i="1"/>
  <c r="M1838" i="1" s="1"/>
  <c r="K1839" i="1"/>
  <c r="M1839" i="1" s="1"/>
  <c r="K1840" i="1"/>
  <c r="M1840" i="1" s="1"/>
  <c r="K1841" i="1"/>
  <c r="M1841" i="1" s="1"/>
  <c r="K1842" i="1"/>
  <c r="M1842" i="1" s="1"/>
  <c r="K1843" i="1"/>
  <c r="M1843" i="1" s="1"/>
  <c r="K1844" i="1"/>
  <c r="M1844" i="1" s="1"/>
  <c r="K1845" i="1"/>
  <c r="M1845" i="1" s="1"/>
  <c r="K1846" i="1"/>
  <c r="M1846" i="1" s="1"/>
  <c r="K1847" i="1"/>
  <c r="M1847" i="1" s="1"/>
  <c r="K1848" i="1"/>
  <c r="M1848" i="1" s="1"/>
  <c r="K1849" i="1"/>
  <c r="M1849" i="1" s="1"/>
  <c r="K1850" i="1"/>
  <c r="M1850" i="1" s="1"/>
  <c r="K1851" i="1"/>
  <c r="M1851" i="1" s="1"/>
  <c r="K1852" i="1"/>
  <c r="M1852" i="1" s="1"/>
  <c r="K1853" i="1"/>
  <c r="M1853" i="1" s="1"/>
  <c r="K1854" i="1"/>
  <c r="M1854" i="1" s="1"/>
  <c r="K1855" i="1"/>
  <c r="M1855" i="1" s="1"/>
  <c r="K1856" i="1"/>
  <c r="M1856" i="1" s="1"/>
  <c r="K1857" i="1"/>
  <c r="M1857" i="1" s="1"/>
  <c r="K1858" i="1"/>
  <c r="M1858" i="1" s="1"/>
  <c r="K1859" i="1"/>
  <c r="M1859" i="1" s="1"/>
  <c r="K1860" i="1"/>
  <c r="M1860" i="1" s="1"/>
  <c r="K1861" i="1"/>
  <c r="M1861" i="1" s="1"/>
  <c r="K1862" i="1"/>
  <c r="M1862" i="1" s="1"/>
  <c r="K1863" i="1"/>
  <c r="M1863" i="1" s="1"/>
  <c r="K1864" i="1"/>
  <c r="M1864" i="1" s="1"/>
  <c r="K1865" i="1"/>
  <c r="M1865" i="1" s="1"/>
  <c r="K1866" i="1"/>
  <c r="M1866" i="1" s="1"/>
  <c r="K1867" i="1"/>
  <c r="M1867" i="1" s="1"/>
  <c r="K1868" i="1"/>
  <c r="M1868" i="1" s="1"/>
  <c r="K1869" i="1"/>
  <c r="M1869" i="1" s="1"/>
  <c r="K1870" i="1"/>
  <c r="M1870" i="1" s="1"/>
  <c r="K1871" i="1"/>
  <c r="M1871" i="1" s="1"/>
  <c r="K1872" i="1"/>
  <c r="M1872" i="1" s="1"/>
  <c r="K1873" i="1"/>
  <c r="M1873" i="1" s="1"/>
  <c r="K1874" i="1"/>
  <c r="M1874" i="1" s="1"/>
  <c r="K1875" i="1"/>
  <c r="M1875" i="1" s="1"/>
  <c r="K1876" i="1"/>
  <c r="M1876" i="1" s="1"/>
  <c r="K1877" i="1"/>
  <c r="M1877" i="1" s="1"/>
  <c r="K1878" i="1"/>
  <c r="M1878" i="1" s="1"/>
  <c r="K1879" i="1"/>
  <c r="M1879" i="1" s="1"/>
  <c r="K1880" i="1"/>
  <c r="M1880" i="1" s="1"/>
  <c r="K1881" i="1"/>
  <c r="M1881" i="1" s="1"/>
  <c r="K1882" i="1"/>
  <c r="M1882" i="1" s="1"/>
  <c r="K1883" i="1"/>
  <c r="M1883" i="1" s="1"/>
  <c r="K1884" i="1"/>
  <c r="M1884" i="1" s="1"/>
  <c r="K1885" i="1"/>
  <c r="M1885" i="1" s="1"/>
  <c r="K1886" i="1"/>
  <c r="M1886" i="1" s="1"/>
  <c r="K1887" i="1"/>
  <c r="M1887" i="1" s="1"/>
  <c r="K1888" i="1"/>
  <c r="M1888" i="1" s="1"/>
  <c r="K1889" i="1"/>
  <c r="M1889" i="1" s="1"/>
  <c r="K1890" i="1"/>
  <c r="M1890" i="1" s="1"/>
  <c r="K1891" i="1"/>
  <c r="M1891" i="1" s="1"/>
  <c r="K1892" i="1"/>
  <c r="M1892" i="1" s="1"/>
  <c r="K1893" i="1"/>
  <c r="M1893" i="1" s="1"/>
  <c r="K1894" i="1"/>
  <c r="M1894" i="1" s="1"/>
  <c r="K1895" i="1"/>
  <c r="M1895" i="1" s="1"/>
  <c r="K1896" i="1"/>
  <c r="M1896" i="1" s="1"/>
  <c r="K1897" i="1"/>
  <c r="M1897" i="1" s="1"/>
  <c r="K1898" i="1"/>
  <c r="M1898" i="1" s="1"/>
  <c r="K1899" i="1"/>
  <c r="M1899" i="1" s="1"/>
  <c r="K1900" i="1"/>
  <c r="M1900" i="1" s="1"/>
  <c r="K1901" i="1"/>
  <c r="M1901" i="1" s="1"/>
  <c r="K1902" i="1"/>
  <c r="M1902" i="1" s="1"/>
  <c r="K1903" i="1"/>
  <c r="M1903" i="1" s="1"/>
  <c r="K1904" i="1"/>
  <c r="M1904" i="1" s="1"/>
  <c r="K1905" i="1"/>
  <c r="M1905" i="1" s="1"/>
  <c r="K1906" i="1"/>
  <c r="M1906" i="1" s="1"/>
  <c r="K1907" i="1"/>
  <c r="M1907" i="1" s="1"/>
  <c r="K1908" i="1"/>
  <c r="M1908" i="1" s="1"/>
  <c r="K1909" i="1"/>
  <c r="M1909" i="1" s="1"/>
  <c r="K1910" i="1"/>
  <c r="M1910" i="1" s="1"/>
  <c r="K1911" i="1"/>
  <c r="M1911" i="1" s="1"/>
  <c r="K1912" i="1"/>
  <c r="M1912" i="1" s="1"/>
  <c r="K1913" i="1"/>
  <c r="M1913" i="1" s="1"/>
  <c r="K1914" i="1"/>
  <c r="M1914" i="1" s="1"/>
  <c r="K1915" i="1"/>
  <c r="M1915" i="1" s="1"/>
  <c r="K1916" i="1"/>
  <c r="M1916" i="1" s="1"/>
  <c r="K1917" i="1"/>
  <c r="M1917" i="1" s="1"/>
  <c r="K1918" i="1"/>
  <c r="M1918" i="1" s="1"/>
  <c r="K1919" i="1"/>
  <c r="M1919" i="1" s="1"/>
  <c r="K1920" i="1"/>
  <c r="M1920" i="1" s="1"/>
  <c r="K1921" i="1"/>
  <c r="M1921" i="1" s="1"/>
  <c r="K1922" i="1"/>
  <c r="M1922" i="1" s="1"/>
  <c r="K1923" i="1"/>
  <c r="M1923" i="1" s="1"/>
  <c r="K1924" i="1"/>
  <c r="M1924" i="1" s="1"/>
  <c r="K1925" i="1"/>
  <c r="M1925" i="1" s="1"/>
  <c r="K1926" i="1"/>
  <c r="M1926" i="1" s="1"/>
  <c r="K1927" i="1"/>
  <c r="M1927" i="1" s="1"/>
  <c r="K1928" i="1"/>
  <c r="M1928" i="1" s="1"/>
  <c r="K1929" i="1"/>
  <c r="M1929" i="1" s="1"/>
  <c r="K1930" i="1"/>
  <c r="M1930" i="1" s="1"/>
  <c r="K1931" i="1"/>
  <c r="M1931" i="1" s="1"/>
  <c r="K1932" i="1"/>
  <c r="M1932" i="1" s="1"/>
  <c r="K1933" i="1"/>
  <c r="M1933" i="1" s="1"/>
  <c r="K1934" i="1"/>
  <c r="M1934" i="1" s="1"/>
  <c r="K1935" i="1"/>
  <c r="M1935" i="1" s="1"/>
  <c r="K1936" i="1"/>
  <c r="M1936" i="1" s="1"/>
  <c r="K1937" i="1"/>
  <c r="M1937" i="1" s="1"/>
  <c r="P1937" i="1" s="1"/>
  <c r="K1938" i="1"/>
  <c r="M1938" i="1" s="1"/>
  <c r="K1939" i="1"/>
  <c r="M1939" i="1" s="1"/>
  <c r="K1940" i="1"/>
  <c r="M1940" i="1" s="1"/>
  <c r="K1941" i="1"/>
  <c r="M1941" i="1" s="1"/>
  <c r="K1942" i="1"/>
  <c r="M1942" i="1" s="1"/>
  <c r="K1943" i="1"/>
  <c r="M1943" i="1" s="1"/>
  <c r="K1944" i="1"/>
  <c r="M1944" i="1" s="1"/>
  <c r="K1945" i="1"/>
  <c r="M1945" i="1" s="1"/>
  <c r="K1946" i="1"/>
  <c r="M1946" i="1" s="1"/>
  <c r="K1947" i="1"/>
  <c r="M1947" i="1" s="1"/>
  <c r="K1948" i="1"/>
  <c r="K1949" i="1"/>
  <c r="M1949" i="1" s="1"/>
  <c r="K1950" i="1"/>
  <c r="M1950" i="1" s="1"/>
  <c r="K1951" i="1"/>
  <c r="M1951" i="1" s="1"/>
  <c r="K1952" i="1"/>
  <c r="M1952" i="1" s="1"/>
  <c r="K1953" i="1"/>
  <c r="M1953" i="1" s="1"/>
  <c r="K1954" i="1"/>
  <c r="M1954" i="1" s="1"/>
  <c r="K1955" i="1"/>
  <c r="M1955" i="1" s="1"/>
  <c r="K1956" i="1"/>
  <c r="M1956" i="1" s="1"/>
  <c r="K1957" i="1"/>
  <c r="M1957" i="1" s="1"/>
  <c r="K1958" i="1"/>
  <c r="M1958" i="1" s="1"/>
  <c r="K1959" i="1"/>
  <c r="M1959" i="1" s="1"/>
  <c r="P1959" i="1" s="1"/>
  <c r="K1960" i="1"/>
  <c r="M1960" i="1" s="1"/>
  <c r="K1961" i="1"/>
  <c r="M1961" i="1" s="1"/>
  <c r="K1962" i="1"/>
  <c r="M1962" i="1" s="1"/>
  <c r="K1963" i="1"/>
  <c r="M1963" i="1" s="1"/>
  <c r="K1964" i="1"/>
  <c r="M1964" i="1" s="1"/>
  <c r="K1965" i="1"/>
  <c r="M1965" i="1" s="1"/>
  <c r="K1966" i="1"/>
  <c r="M1966" i="1" s="1"/>
  <c r="K1967" i="1"/>
  <c r="M1967" i="1" s="1"/>
  <c r="K1968" i="1"/>
  <c r="M1968" i="1" s="1"/>
  <c r="K1969" i="1"/>
  <c r="M1969" i="1" s="1"/>
  <c r="K1970" i="1"/>
  <c r="M1970" i="1" s="1"/>
  <c r="K1971" i="1"/>
  <c r="M1971" i="1" s="1"/>
  <c r="K1972" i="1"/>
  <c r="M1972" i="1" s="1"/>
  <c r="K1973" i="1"/>
  <c r="M1973" i="1" s="1"/>
  <c r="K1974" i="1"/>
  <c r="M1974" i="1" s="1"/>
  <c r="K1975" i="1"/>
  <c r="M1975" i="1" s="1"/>
  <c r="K1976" i="1"/>
  <c r="M1976" i="1" s="1"/>
  <c r="K1977" i="1"/>
  <c r="M1977" i="1" s="1"/>
  <c r="K1978" i="1"/>
  <c r="M1978" i="1" s="1"/>
  <c r="K1979" i="1"/>
  <c r="M1979" i="1" s="1"/>
  <c r="K1980" i="1"/>
  <c r="M1980" i="1" s="1"/>
  <c r="K1981" i="1"/>
  <c r="M1981" i="1" s="1"/>
  <c r="K1982" i="1"/>
  <c r="M1982" i="1" s="1"/>
  <c r="K1983" i="1"/>
  <c r="M1983" i="1" s="1"/>
  <c r="K1984" i="1"/>
  <c r="M1984" i="1" s="1"/>
  <c r="K1985" i="1"/>
  <c r="M1985" i="1" s="1"/>
  <c r="K1986" i="1"/>
  <c r="M1986" i="1" s="1"/>
  <c r="K1987" i="1"/>
  <c r="M1987" i="1" s="1"/>
  <c r="K1988" i="1"/>
  <c r="M1988" i="1" s="1"/>
  <c r="K1989" i="1"/>
  <c r="M1989" i="1" s="1"/>
  <c r="K1990" i="1"/>
  <c r="M1990" i="1" s="1"/>
  <c r="K1991" i="1"/>
  <c r="M1991" i="1" s="1"/>
  <c r="K1992" i="1"/>
  <c r="M1992" i="1" s="1"/>
  <c r="K1993" i="1"/>
  <c r="M1993" i="1" s="1"/>
  <c r="K1994" i="1"/>
  <c r="M1994" i="1" s="1"/>
  <c r="K1995" i="1"/>
  <c r="M1995" i="1" s="1"/>
  <c r="K1996" i="1"/>
  <c r="M1996" i="1" s="1"/>
  <c r="K1997" i="1"/>
  <c r="M1997" i="1" s="1"/>
  <c r="K1998" i="1"/>
  <c r="M1998" i="1" s="1"/>
  <c r="K1999" i="1"/>
  <c r="M1999" i="1" s="1"/>
  <c r="K2000" i="1"/>
  <c r="M2000" i="1" s="1"/>
  <c r="K2001" i="1"/>
  <c r="M2001" i="1" s="1"/>
  <c r="K2002" i="1"/>
  <c r="M2002" i="1" s="1"/>
  <c r="K2003" i="1"/>
  <c r="M2003" i="1" s="1"/>
  <c r="K2004" i="1"/>
  <c r="M2004" i="1" s="1"/>
  <c r="K2005" i="1"/>
  <c r="M2005" i="1" s="1"/>
  <c r="K2006" i="1"/>
  <c r="M2006" i="1" s="1"/>
  <c r="K2007" i="1"/>
  <c r="M2007" i="1" s="1"/>
  <c r="K2008" i="1"/>
  <c r="M2008" i="1" s="1"/>
  <c r="K2009" i="1"/>
  <c r="M2009" i="1" s="1"/>
  <c r="K2010" i="1"/>
  <c r="M2010" i="1" s="1"/>
  <c r="K2011" i="1"/>
  <c r="M2011" i="1" s="1"/>
  <c r="K2012" i="1"/>
  <c r="M2012" i="1" s="1"/>
  <c r="K2013" i="1"/>
  <c r="M2013" i="1" s="1"/>
  <c r="K2014" i="1"/>
  <c r="M2014" i="1" s="1"/>
  <c r="K2015" i="1"/>
  <c r="M2015" i="1" s="1"/>
  <c r="K2016" i="1"/>
  <c r="M2016" i="1" s="1"/>
  <c r="K2017" i="1"/>
  <c r="M2017" i="1" s="1"/>
  <c r="K2018" i="1"/>
  <c r="M2018" i="1" s="1"/>
  <c r="K2019" i="1"/>
  <c r="M2019" i="1" s="1"/>
  <c r="K2020" i="1"/>
  <c r="M2020" i="1" s="1"/>
  <c r="K2021" i="1"/>
  <c r="M2021" i="1" s="1"/>
  <c r="K2022" i="1"/>
  <c r="M2022" i="1" s="1"/>
  <c r="K2023" i="1"/>
  <c r="M2023" i="1" s="1"/>
  <c r="K2024" i="1"/>
  <c r="M2024" i="1" s="1"/>
  <c r="K2025" i="1"/>
  <c r="M2025" i="1" s="1"/>
  <c r="K2026" i="1"/>
  <c r="M2026" i="1" s="1"/>
  <c r="K2027" i="1"/>
  <c r="M2027" i="1" s="1"/>
  <c r="K2028" i="1"/>
  <c r="M2028" i="1" s="1"/>
  <c r="K2029" i="1"/>
  <c r="M2029" i="1" s="1"/>
  <c r="K2030" i="1"/>
  <c r="M2030" i="1" s="1"/>
  <c r="K2031" i="1"/>
  <c r="M2031" i="1" s="1"/>
  <c r="K2032" i="1"/>
  <c r="M2032" i="1" s="1"/>
  <c r="K2033" i="1"/>
  <c r="M2033" i="1" s="1"/>
  <c r="K2034" i="1"/>
  <c r="M2034" i="1" s="1"/>
  <c r="K2035" i="1"/>
  <c r="M2035" i="1" s="1"/>
  <c r="K2036" i="1"/>
  <c r="M2036" i="1" s="1"/>
  <c r="K2037" i="1"/>
  <c r="M2037" i="1" s="1"/>
  <c r="K2038" i="1"/>
  <c r="M2038" i="1" s="1"/>
  <c r="K2039" i="1"/>
  <c r="M2039" i="1" s="1"/>
  <c r="K2040" i="1"/>
  <c r="M2040" i="1" s="1"/>
  <c r="K2041" i="1"/>
  <c r="M2041" i="1" s="1"/>
  <c r="K2042" i="1"/>
  <c r="M2042" i="1" s="1"/>
  <c r="K2043" i="1"/>
  <c r="M2043" i="1" s="1"/>
  <c r="K2044" i="1"/>
  <c r="M2044" i="1" s="1"/>
  <c r="K2045" i="1"/>
  <c r="M2045" i="1" s="1"/>
  <c r="K2046" i="1"/>
  <c r="M2046" i="1" s="1"/>
  <c r="K2047" i="1"/>
  <c r="M2047" i="1" s="1"/>
  <c r="K2048" i="1"/>
  <c r="M2048" i="1" s="1"/>
  <c r="K2049" i="1"/>
  <c r="M2049" i="1" s="1"/>
  <c r="K2050" i="1"/>
  <c r="M2050" i="1" s="1"/>
  <c r="K2051" i="1"/>
  <c r="M2051" i="1" s="1"/>
  <c r="K2052" i="1"/>
  <c r="M2052" i="1" s="1"/>
  <c r="K2053" i="1"/>
  <c r="M2053" i="1" s="1"/>
  <c r="K2054" i="1"/>
  <c r="M2054" i="1" s="1"/>
  <c r="K2055" i="1"/>
  <c r="M2055" i="1" s="1"/>
  <c r="K2056" i="1"/>
  <c r="M2056" i="1" s="1"/>
  <c r="K2057" i="1"/>
  <c r="M2057" i="1" s="1"/>
  <c r="K2058" i="1"/>
  <c r="M2058" i="1" s="1"/>
  <c r="K2059" i="1"/>
  <c r="M2059" i="1" s="1"/>
  <c r="K2060" i="1"/>
  <c r="M2060" i="1" s="1"/>
  <c r="K2061" i="1"/>
  <c r="M2061" i="1" s="1"/>
  <c r="K2062" i="1"/>
  <c r="M2062" i="1" s="1"/>
  <c r="K2063" i="1"/>
  <c r="M2063" i="1" s="1"/>
  <c r="K2064" i="1"/>
  <c r="M2064" i="1" s="1"/>
  <c r="K2065" i="1"/>
  <c r="M2065" i="1" s="1"/>
  <c r="K2066" i="1"/>
  <c r="M2066" i="1" s="1"/>
  <c r="K2067" i="1"/>
  <c r="M2067" i="1" s="1"/>
  <c r="K2068" i="1"/>
  <c r="M2068" i="1" s="1"/>
  <c r="K2069" i="1"/>
  <c r="M2069" i="1" s="1"/>
  <c r="K2070" i="1"/>
  <c r="M2070" i="1" s="1"/>
  <c r="K2071" i="1"/>
  <c r="M2071" i="1" s="1"/>
  <c r="K2072" i="1"/>
  <c r="M2072" i="1" s="1"/>
  <c r="K2073" i="1"/>
  <c r="M2073" i="1" s="1"/>
  <c r="K2074" i="1"/>
  <c r="M2074" i="1" s="1"/>
  <c r="K2075" i="1"/>
  <c r="M2075" i="1" s="1"/>
  <c r="K2076" i="1"/>
  <c r="K2077" i="1"/>
  <c r="M2077" i="1" s="1"/>
  <c r="K2078" i="1"/>
  <c r="M2078" i="1" s="1"/>
  <c r="K2079" i="1"/>
  <c r="M2079" i="1" s="1"/>
  <c r="K2080" i="1"/>
  <c r="M2080" i="1" s="1"/>
  <c r="K2081" i="1"/>
  <c r="M2081" i="1" s="1"/>
  <c r="K2082" i="1"/>
  <c r="M2082" i="1" s="1"/>
  <c r="K2083" i="1"/>
  <c r="M2083" i="1" s="1"/>
  <c r="K2084" i="1"/>
  <c r="M2084" i="1" s="1"/>
  <c r="K2085" i="1"/>
  <c r="M2085" i="1" s="1"/>
  <c r="K2086" i="1"/>
  <c r="M2086" i="1" s="1"/>
  <c r="K2087" i="1"/>
  <c r="M2087" i="1" s="1"/>
  <c r="K2088" i="1"/>
  <c r="M2088" i="1" s="1"/>
  <c r="K2089" i="1"/>
  <c r="M2089" i="1" s="1"/>
  <c r="K2090" i="1"/>
  <c r="M2090" i="1" s="1"/>
  <c r="K2091" i="1"/>
  <c r="M2091" i="1" s="1"/>
  <c r="K2092" i="1"/>
  <c r="M2092" i="1" s="1"/>
  <c r="K2093" i="1"/>
  <c r="M2093" i="1" s="1"/>
  <c r="K2094" i="1"/>
  <c r="M2094" i="1" s="1"/>
  <c r="K2095" i="1"/>
  <c r="M2095" i="1" s="1"/>
  <c r="K2096" i="1"/>
  <c r="M2096" i="1" s="1"/>
  <c r="K2097" i="1"/>
  <c r="M2097" i="1" s="1"/>
  <c r="K2098" i="1"/>
  <c r="M2098" i="1" s="1"/>
  <c r="K2099" i="1"/>
  <c r="M2099" i="1" s="1"/>
  <c r="K2100" i="1"/>
  <c r="M2100" i="1" s="1"/>
  <c r="K2101" i="1"/>
  <c r="M2101" i="1" s="1"/>
  <c r="K2102" i="1"/>
  <c r="M2102" i="1" s="1"/>
  <c r="K2103" i="1"/>
  <c r="M2103" i="1" s="1"/>
  <c r="K2104" i="1"/>
  <c r="M2104" i="1" s="1"/>
  <c r="K2105" i="1"/>
  <c r="M2105" i="1" s="1"/>
  <c r="K2106" i="1"/>
  <c r="M2106" i="1" s="1"/>
  <c r="K2107" i="1"/>
  <c r="M2107" i="1" s="1"/>
  <c r="K2108" i="1"/>
  <c r="M2108" i="1" s="1"/>
  <c r="K2109" i="1"/>
  <c r="M2109" i="1" s="1"/>
  <c r="K2110" i="1"/>
  <c r="M2110" i="1" s="1"/>
  <c r="K2111" i="1"/>
  <c r="M2111" i="1" s="1"/>
  <c r="K2112" i="1"/>
  <c r="M2112" i="1" s="1"/>
  <c r="K2113" i="1"/>
  <c r="M2113" i="1" s="1"/>
  <c r="K2114" i="1"/>
  <c r="M2114" i="1" s="1"/>
  <c r="K2115" i="1"/>
  <c r="M2115" i="1" s="1"/>
  <c r="K2116" i="1"/>
  <c r="M2116" i="1" s="1"/>
  <c r="K2117" i="1"/>
  <c r="M2117" i="1" s="1"/>
  <c r="K2118" i="1"/>
  <c r="M2118" i="1" s="1"/>
  <c r="K2119" i="1"/>
  <c r="M2119" i="1" s="1"/>
  <c r="K2120" i="1"/>
  <c r="M2120" i="1" s="1"/>
  <c r="K2121" i="1"/>
  <c r="M2121" i="1" s="1"/>
  <c r="K2122" i="1"/>
  <c r="M2122" i="1" s="1"/>
  <c r="K2123" i="1"/>
  <c r="M2123" i="1" s="1"/>
  <c r="K2124" i="1"/>
  <c r="M2124" i="1" s="1"/>
  <c r="K2125" i="1"/>
  <c r="M2125" i="1" s="1"/>
  <c r="K2126" i="1"/>
  <c r="M2126" i="1" s="1"/>
  <c r="K2127" i="1"/>
  <c r="M2127" i="1" s="1"/>
  <c r="K2128" i="1"/>
  <c r="M2128" i="1" s="1"/>
  <c r="K2129" i="1"/>
  <c r="M2129" i="1" s="1"/>
  <c r="P2129" i="1" s="1"/>
  <c r="K2130" i="1"/>
  <c r="M2130" i="1" s="1"/>
  <c r="K2131" i="1"/>
  <c r="M2131" i="1" s="1"/>
  <c r="K2132" i="1"/>
  <c r="M2132" i="1" s="1"/>
  <c r="K2133" i="1"/>
  <c r="M2133" i="1" s="1"/>
  <c r="K2134" i="1"/>
  <c r="M2134" i="1" s="1"/>
  <c r="K2135" i="1"/>
  <c r="M2135" i="1" s="1"/>
  <c r="K2136" i="1"/>
  <c r="M2136" i="1" s="1"/>
  <c r="K2137" i="1"/>
  <c r="M2137" i="1" s="1"/>
  <c r="K2138" i="1"/>
  <c r="M2138" i="1" s="1"/>
  <c r="K2139" i="1"/>
  <c r="M2139" i="1" s="1"/>
  <c r="K2140" i="1"/>
  <c r="M2140" i="1" s="1"/>
  <c r="K2141" i="1"/>
  <c r="M2141" i="1" s="1"/>
  <c r="K2142" i="1"/>
  <c r="M2142" i="1" s="1"/>
  <c r="K2143" i="1"/>
  <c r="M2143" i="1" s="1"/>
  <c r="K2144" i="1"/>
  <c r="M2144" i="1" s="1"/>
  <c r="K2145" i="1"/>
  <c r="M2145" i="1" s="1"/>
  <c r="K2146" i="1"/>
  <c r="M2146" i="1" s="1"/>
  <c r="K2147" i="1"/>
  <c r="M2147" i="1" s="1"/>
  <c r="K2148" i="1"/>
  <c r="M2148" i="1" s="1"/>
  <c r="K2149" i="1"/>
  <c r="M2149" i="1" s="1"/>
  <c r="K2150" i="1"/>
  <c r="M2150" i="1" s="1"/>
  <c r="K2151" i="1"/>
  <c r="M2151" i="1" s="1"/>
  <c r="N2151" i="1" s="1"/>
  <c r="K2152" i="1"/>
  <c r="M2152" i="1" s="1"/>
  <c r="K2153" i="1"/>
  <c r="M2153" i="1" s="1"/>
  <c r="K2154" i="1"/>
  <c r="M2154" i="1" s="1"/>
  <c r="K2155" i="1"/>
  <c r="M2155" i="1" s="1"/>
  <c r="K2156" i="1"/>
  <c r="M2156" i="1" s="1"/>
  <c r="K2157" i="1"/>
  <c r="M2157" i="1" s="1"/>
  <c r="K2158" i="1"/>
  <c r="M2158" i="1" s="1"/>
  <c r="K2159" i="1"/>
  <c r="M2159" i="1" s="1"/>
  <c r="K2160" i="1"/>
  <c r="M2160" i="1" s="1"/>
  <c r="K2161" i="1"/>
  <c r="M2161" i="1" s="1"/>
  <c r="K2162" i="1"/>
  <c r="M2162" i="1" s="1"/>
  <c r="K2163" i="1"/>
  <c r="M2163" i="1" s="1"/>
  <c r="K2164" i="1"/>
  <c r="M2164" i="1" s="1"/>
  <c r="K2165" i="1"/>
  <c r="M2165" i="1" s="1"/>
  <c r="K2166" i="1"/>
  <c r="M2166" i="1" s="1"/>
  <c r="K2167" i="1"/>
  <c r="M2167" i="1" s="1"/>
  <c r="K2168" i="1"/>
  <c r="M2168" i="1" s="1"/>
  <c r="K2169" i="1"/>
  <c r="M2169" i="1" s="1"/>
  <c r="K2170" i="1"/>
  <c r="M2170" i="1" s="1"/>
  <c r="K2171" i="1"/>
  <c r="M2171" i="1" s="1"/>
  <c r="K2172" i="1"/>
  <c r="M2172" i="1" s="1"/>
  <c r="K2173" i="1"/>
  <c r="M2173" i="1" s="1"/>
  <c r="K2174" i="1"/>
  <c r="M2174" i="1" s="1"/>
  <c r="K2175" i="1"/>
  <c r="M2175" i="1" s="1"/>
  <c r="K2176" i="1"/>
  <c r="M2176" i="1" s="1"/>
  <c r="K2177" i="1"/>
  <c r="M2177" i="1" s="1"/>
  <c r="K2178" i="1"/>
  <c r="M2178" i="1" s="1"/>
  <c r="K2179" i="1"/>
  <c r="M2179" i="1" s="1"/>
  <c r="K2180" i="1"/>
  <c r="M2180" i="1" s="1"/>
  <c r="K2181" i="1"/>
  <c r="M2181" i="1" s="1"/>
  <c r="K2182" i="1"/>
  <c r="M2182" i="1" s="1"/>
  <c r="K2183" i="1"/>
  <c r="M2183" i="1" s="1"/>
  <c r="K2184" i="1"/>
  <c r="M2184" i="1" s="1"/>
  <c r="K2185" i="1"/>
  <c r="M2185" i="1" s="1"/>
  <c r="K2186" i="1"/>
  <c r="M2186" i="1" s="1"/>
  <c r="K2187" i="1"/>
  <c r="M2187" i="1" s="1"/>
  <c r="K2188" i="1"/>
  <c r="M2188" i="1" s="1"/>
  <c r="K2189" i="1"/>
  <c r="M2189" i="1" s="1"/>
  <c r="K2190" i="1"/>
  <c r="M2190" i="1" s="1"/>
  <c r="K2191" i="1"/>
  <c r="M2191" i="1" s="1"/>
  <c r="K2192" i="1"/>
  <c r="M2192" i="1" s="1"/>
  <c r="K2193" i="1"/>
  <c r="M2193" i="1" s="1"/>
  <c r="K2194" i="1"/>
  <c r="M2194" i="1" s="1"/>
  <c r="K2195" i="1"/>
  <c r="M2195" i="1" s="1"/>
  <c r="P2195" i="1" s="1"/>
  <c r="K2196" i="1"/>
  <c r="M2196" i="1" s="1"/>
  <c r="K2197" i="1"/>
  <c r="M2197" i="1" s="1"/>
  <c r="K2198" i="1"/>
  <c r="M2198" i="1" s="1"/>
  <c r="K2199" i="1"/>
  <c r="M2199" i="1" s="1"/>
  <c r="K2200" i="1"/>
  <c r="M2200" i="1" s="1"/>
  <c r="K2201" i="1"/>
  <c r="M2201" i="1" s="1"/>
  <c r="K2202" i="1"/>
  <c r="M2202" i="1" s="1"/>
  <c r="K2203" i="1"/>
  <c r="M2203" i="1" s="1"/>
  <c r="K2204" i="1"/>
  <c r="M2204" i="1" s="1"/>
  <c r="K2205" i="1"/>
  <c r="M2205" i="1" s="1"/>
  <c r="K2206" i="1"/>
  <c r="M2206" i="1" s="1"/>
  <c r="K2207" i="1"/>
  <c r="M2207" i="1" s="1"/>
  <c r="K2208" i="1"/>
  <c r="M2208" i="1" s="1"/>
  <c r="K2209" i="1"/>
  <c r="M2209" i="1" s="1"/>
  <c r="K2210" i="1"/>
  <c r="M2210" i="1" s="1"/>
  <c r="K2211" i="1"/>
  <c r="M2211" i="1" s="1"/>
  <c r="K2212" i="1"/>
  <c r="M2212" i="1" s="1"/>
  <c r="K2213" i="1"/>
  <c r="M2213" i="1" s="1"/>
  <c r="K2214" i="1"/>
  <c r="M2214" i="1" s="1"/>
  <c r="K2215" i="1"/>
  <c r="M2215" i="1" s="1"/>
  <c r="K2216" i="1"/>
  <c r="M2216" i="1" s="1"/>
  <c r="K2217" i="1"/>
  <c r="M2217" i="1" s="1"/>
  <c r="K2218" i="1"/>
  <c r="M2218" i="1" s="1"/>
  <c r="K2219" i="1"/>
  <c r="M2219" i="1" s="1"/>
  <c r="K2220" i="1"/>
  <c r="M2220" i="1" s="1"/>
  <c r="K2221" i="1"/>
  <c r="M2221" i="1" s="1"/>
  <c r="K2222" i="1"/>
  <c r="M2222" i="1" s="1"/>
  <c r="K2223" i="1"/>
  <c r="M2223" i="1" s="1"/>
  <c r="K2224" i="1"/>
  <c r="M2224" i="1" s="1"/>
  <c r="K2225" i="1"/>
  <c r="M2225" i="1" s="1"/>
  <c r="K2226" i="1"/>
  <c r="M2226" i="1" s="1"/>
  <c r="K2227" i="1"/>
  <c r="M2227" i="1" s="1"/>
  <c r="K2228" i="1"/>
  <c r="M2228" i="1" s="1"/>
  <c r="K2229" i="1"/>
  <c r="M2229" i="1" s="1"/>
  <c r="K2230" i="1"/>
  <c r="M2230" i="1" s="1"/>
  <c r="K2231" i="1"/>
  <c r="M2231" i="1" s="1"/>
  <c r="K2232" i="1"/>
  <c r="M2232" i="1" s="1"/>
  <c r="K2233" i="1"/>
  <c r="M2233" i="1" s="1"/>
  <c r="K2234" i="1"/>
  <c r="M2234" i="1" s="1"/>
  <c r="K2235" i="1"/>
  <c r="M2235" i="1" s="1"/>
  <c r="K2236" i="1"/>
  <c r="M2236" i="1" s="1"/>
  <c r="K2237" i="1"/>
  <c r="M2237" i="1" s="1"/>
  <c r="K2238" i="1"/>
  <c r="M2238" i="1" s="1"/>
  <c r="K2239" i="1"/>
  <c r="M2239" i="1" s="1"/>
  <c r="K2240" i="1"/>
  <c r="M2240" i="1" s="1"/>
  <c r="K2241" i="1"/>
  <c r="M2241" i="1" s="1"/>
  <c r="K2242" i="1"/>
  <c r="M2242" i="1" s="1"/>
  <c r="K2243" i="1"/>
  <c r="M2243" i="1" s="1"/>
  <c r="K2244" i="1"/>
  <c r="M2244" i="1" s="1"/>
  <c r="K2245" i="1"/>
  <c r="M2245" i="1" s="1"/>
  <c r="K2246" i="1"/>
  <c r="M2246" i="1" s="1"/>
  <c r="K2247" i="1"/>
  <c r="M2247" i="1" s="1"/>
  <c r="K2248" i="1"/>
  <c r="M2248" i="1" s="1"/>
  <c r="P2248" i="1" s="1"/>
  <c r="K2249" i="1"/>
  <c r="M2249" i="1" s="1"/>
  <c r="K2250" i="1"/>
  <c r="M2250" i="1" s="1"/>
  <c r="K2251" i="1"/>
  <c r="M2251" i="1" s="1"/>
  <c r="K2252" i="1"/>
  <c r="M2252" i="1" s="1"/>
  <c r="K2253" i="1"/>
  <c r="M2253" i="1" s="1"/>
  <c r="K2254" i="1"/>
  <c r="M2254" i="1" s="1"/>
  <c r="K2255" i="1"/>
  <c r="M2255" i="1" s="1"/>
  <c r="K2256" i="1"/>
  <c r="M2256" i="1" s="1"/>
  <c r="K2257" i="1"/>
  <c r="M2257" i="1" s="1"/>
  <c r="K2258" i="1"/>
  <c r="M2258" i="1" s="1"/>
  <c r="K2259" i="1"/>
  <c r="M2259" i="1" s="1"/>
  <c r="K2260" i="1"/>
  <c r="M2260" i="1" s="1"/>
  <c r="K2261" i="1"/>
  <c r="M2261" i="1" s="1"/>
  <c r="K2262" i="1"/>
  <c r="M2262" i="1" s="1"/>
  <c r="K2263" i="1"/>
  <c r="M2263" i="1" s="1"/>
  <c r="K2264" i="1"/>
  <c r="M2264" i="1" s="1"/>
  <c r="K2265" i="1"/>
  <c r="M2265" i="1" s="1"/>
  <c r="K2266" i="1"/>
  <c r="M2266" i="1" s="1"/>
  <c r="K2267" i="1"/>
  <c r="M2267" i="1" s="1"/>
  <c r="K2268" i="1"/>
  <c r="M2268" i="1" s="1"/>
  <c r="K2269" i="1"/>
  <c r="M2269" i="1" s="1"/>
  <c r="K2270" i="1"/>
  <c r="M2270" i="1" s="1"/>
  <c r="K2271" i="1"/>
  <c r="M2271" i="1" s="1"/>
  <c r="K2272" i="1"/>
  <c r="M2272" i="1" s="1"/>
  <c r="K2273" i="1"/>
  <c r="M2273" i="1" s="1"/>
  <c r="K2274" i="1"/>
  <c r="M2274" i="1" s="1"/>
  <c r="K2275" i="1"/>
  <c r="M2275" i="1" s="1"/>
  <c r="K2276" i="1"/>
  <c r="M2276" i="1" s="1"/>
  <c r="K2277" i="1"/>
  <c r="M2277" i="1" s="1"/>
  <c r="K2278" i="1"/>
  <c r="M2278" i="1" s="1"/>
  <c r="K2279" i="1"/>
  <c r="M2279" i="1" s="1"/>
  <c r="K2280" i="1"/>
  <c r="M2280" i="1" s="1"/>
  <c r="K2281" i="1"/>
  <c r="M2281" i="1" s="1"/>
  <c r="P2281" i="1" s="1"/>
  <c r="K2282" i="1"/>
  <c r="M2282" i="1" s="1"/>
  <c r="K2283" i="1"/>
  <c r="M2283" i="1" s="1"/>
  <c r="K2284" i="1"/>
  <c r="M2284" i="1" s="1"/>
  <c r="K2285" i="1"/>
  <c r="M2285" i="1" s="1"/>
  <c r="K2286" i="1"/>
  <c r="M2286" i="1" s="1"/>
  <c r="K2287" i="1"/>
  <c r="M2287" i="1" s="1"/>
  <c r="K2288" i="1"/>
  <c r="M2288" i="1" s="1"/>
  <c r="K2289" i="1"/>
  <c r="M2289" i="1" s="1"/>
  <c r="K2290" i="1"/>
  <c r="M2290" i="1" s="1"/>
  <c r="K2291" i="1"/>
  <c r="M2291" i="1" s="1"/>
  <c r="K2292" i="1"/>
  <c r="M2292" i="1" s="1"/>
  <c r="K2293" i="1"/>
  <c r="M2293" i="1" s="1"/>
  <c r="K2294" i="1"/>
  <c r="M2294" i="1" s="1"/>
  <c r="K2295" i="1"/>
  <c r="M2295" i="1" s="1"/>
  <c r="K2296" i="1"/>
  <c r="M2296" i="1" s="1"/>
  <c r="K2297" i="1"/>
  <c r="M2297" i="1" s="1"/>
  <c r="K2298" i="1"/>
  <c r="M2298" i="1" s="1"/>
  <c r="K2299" i="1"/>
  <c r="M2299" i="1" s="1"/>
  <c r="K2300" i="1"/>
  <c r="M2300" i="1" s="1"/>
  <c r="K2301" i="1"/>
  <c r="M2301" i="1" s="1"/>
  <c r="K2302" i="1"/>
  <c r="M2302" i="1" s="1"/>
  <c r="K2303" i="1"/>
  <c r="M2303" i="1" s="1"/>
  <c r="K2304" i="1"/>
  <c r="M2304" i="1" s="1"/>
  <c r="K2305" i="1"/>
  <c r="M2305" i="1" s="1"/>
  <c r="P2305" i="1" s="1"/>
  <c r="K2306" i="1"/>
  <c r="M2306" i="1" s="1"/>
  <c r="K2307" i="1"/>
  <c r="M2307" i="1" s="1"/>
  <c r="K2308" i="1"/>
  <c r="M2308" i="1" s="1"/>
  <c r="K2309" i="1"/>
  <c r="M2309" i="1" s="1"/>
  <c r="K2310" i="1"/>
  <c r="M2310" i="1" s="1"/>
  <c r="K2311" i="1"/>
  <c r="M2311" i="1" s="1"/>
  <c r="K2312" i="1"/>
  <c r="M2312" i="1" s="1"/>
  <c r="K2313" i="1"/>
  <c r="M2313" i="1" s="1"/>
  <c r="K2314" i="1"/>
  <c r="M2314" i="1" s="1"/>
  <c r="K2315" i="1"/>
  <c r="M2315" i="1" s="1"/>
  <c r="K2316" i="1"/>
  <c r="M2316" i="1" s="1"/>
  <c r="K2317" i="1"/>
  <c r="M2317" i="1" s="1"/>
  <c r="K2318" i="1"/>
  <c r="M2318" i="1" s="1"/>
  <c r="K2319" i="1"/>
  <c r="M2319" i="1" s="1"/>
  <c r="K2320" i="1"/>
  <c r="M2320" i="1" s="1"/>
  <c r="K2321" i="1"/>
  <c r="M2321" i="1" s="1"/>
  <c r="K2322" i="1"/>
  <c r="M2322" i="1" s="1"/>
  <c r="K2323" i="1"/>
  <c r="M2323" i="1" s="1"/>
  <c r="K2324" i="1"/>
  <c r="M2324" i="1" s="1"/>
  <c r="K2325" i="1"/>
  <c r="M2325" i="1" s="1"/>
  <c r="K2326" i="1"/>
  <c r="M2326" i="1" s="1"/>
  <c r="K2327" i="1"/>
  <c r="M2327" i="1" s="1"/>
  <c r="K2328" i="1"/>
  <c r="M2328" i="1" s="1"/>
  <c r="K2329" i="1"/>
  <c r="M2329" i="1" s="1"/>
  <c r="K2330" i="1"/>
  <c r="M2330" i="1" s="1"/>
  <c r="P2330" i="1" s="1"/>
  <c r="K2331" i="1"/>
  <c r="M2331" i="1" s="1"/>
  <c r="K2332" i="1"/>
  <c r="M2332" i="1" s="1"/>
  <c r="K2333" i="1"/>
  <c r="M2333" i="1" s="1"/>
  <c r="K2334" i="1"/>
  <c r="M2334" i="1" s="1"/>
  <c r="K2335" i="1"/>
  <c r="M2335" i="1" s="1"/>
  <c r="K2336" i="1"/>
  <c r="M2336" i="1" s="1"/>
  <c r="K2337" i="1"/>
  <c r="M2337" i="1" s="1"/>
  <c r="K2338" i="1"/>
  <c r="M2338" i="1" s="1"/>
  <c r="K2339" i="1"/>
  <c r="M2339" i="1" s="1"/>
  <c r="K2340" i="1"/>
  <c r="M2340" i="1" s="1"/>
  <c r="K2341" i="1"/>
  <c r="M2341" i="1" s="1"/>
  <c r="K2342" i="1"/>
  <c r="M2342" i="1" s="1"/>
  <c r="K2343" i="1"/>
  <c r="M2343" i="1" s="1"/>
  <c r="K2344" i="1"/>
  <c r="M2344" i="1" s="1"/>
  <c r="K2345" i="1"/>
  <c r="M2345" i="1" s="1"/>
  <c r="K2346" i="1"/>
  <c r="M2346" i="1" s="1"/>
  <c r="K2347" i="1"/>
  <c r="M2347" i="1" s="1"/>
  <c r="K2348" i="1"/>
  <c r="M2348" i="1" s="1"/>
  <c r="K2349" i="1"/>
  <c r="M2349" i="1" s="1"/>
  <c r="K2350" i="1"/>
  <c r="M2350" i="1" s="1"/>
  <c r="K2351" i="1"/>
  <c r="M2351" i="1" s="1"/>
  <c r="K2352" i="1"/>
  <c r="M2352" i="1" s="1"/>
  <c r="K2353" i="1"/>
  <c r="M2353" i="1" s="1"/>
  <c r="K2354" i="1"/>
  <c r="M2354" i="1" s="1"/>
  <c r="K2355" i="1"/>
  <c r="M2355" i="1" s="1"/>
  <c r="K2356" i="1"/>
  <c r="M2356" i="1" s="1"/>
  <c r="K2357" i="1"/>
  <c r="M2357" i="1" s="1"/>
  <c r="K2358" i="1"/>
  <c r="M2358" i="1" s="1"/>
  <c r="K2359" i="1"/>
  <c r="M2359" i="1" s="1"/>
  <c r="K2360" i="1"/>
  <c r="M2360" i="1" s="1"/>
  <c r="K2361" i="1"/>
  <c r="M2361" i="1" s="1"/>
  <c r="K2362" i="1"/>
  <c r="M2362" i="1" s="1"/>
  <c r="K2363" i="1"/>
  <c r="M2363" i="1" s="1"/>
  <c r="K2364" i="1"/>
  <c r="M2364" i="1" s="1"/>
  <c r="K2365" i="1"/>
  <c r="M2365" i="1" s="1"/>
  <c r="K2366" i="1"/>
  <c r="M2366" i="1" s="1"/>
  <c r="K2367" i="1"/>
  <c r="M2367" i="1" s="1"/>
  <c r="K2368" i="1"/>
  <c r="M2368" i="1" s="1"/>
  <c r="K2369" i="1"/>
  <c r="M2369" i="1" s="1"/>
  <c r="K2370" i="1"/>
  <c r="M2370" i="1" s="1"/>
  <c r="K2371" i="1"/>
  <c r="M2371" i="1" s="1"/>
  <c r="K2372" i="1"/>
  <c r="M2372" i="1" s="1"/>
  <c r="K2373" i="1"/>
  <c r="M2373" i="1" s="1"/>
  <c r="K2374" i="1"/>
  <c r="M2374" i="1" s="1"/>
  <c r="K2375" i="1"/>
  <c r="M2375" i="1" s="1"/>
  <c r="K2376" i="1"/>
  <c r="M2376" i="1" s="1"/>
  <c r="K2377" i="1"/>
  <c r="M2377" i="1" s="1"/>
  <c r="P2377" i="1" s="1"/>
  <c r="K2378" i="1"/>
  <c r="M2378" i="1" s="1"/>
  <c r="K2379" i="1"/>
  <c r="M2379" i="1" s="1"/>
  <c r="K2380" i="1"/>
  <c r="M2380" i="1" s="1"/>
  <c r="K2381" i="1"/>
  <c r="M2381" i="1" s="1"/>
  <c r="K2382" i="1"/>
  <c r="M2382" i="1" s="1"/>
  <c r="K2383" i="1"/>
  <c r="M2383" i="1" s="1"/>
  <c r="K2384" i="1"/>
  <c r="M2384" i="1" s="1"/>
  <c r="K2385" i="1"/>
  <c r="M2385" i="1" s="1"/>
  <c r="K2386" i="1"/>
  <c r="M2386" i="1" s="1"/>
  <c r="K2387" i="1"/>
  <c r="M2387" i="1" s="1"/>
  <c r="K2388" i="1"/>
  <c r="M2388" i="1" s="1"/>
  <c r="K2389" i="1"/>
  <c r="M2389" i="1" s="1"/>
  <c r="K2390" i="1"/>
  <c r="M2390" i="1" s="1"/>
  <c r="K2391" i="1"/>
  <c r="M2391" i="1" s="1"/>
  <c r="K2392" i="1"/>
  <c r="M2392" i="1" s="1"/>
  <c r="K2393" i="1"/>
  <c r="M2393" i="1" s="1"/>
  <c r="K2394" i="1"/>
  <c r="M2394" i="1" s="1"/>
  <c r="K2395" i="1"/>
  <c r="M2395" i="1" s="1"/>
  <c r="K2396" i="1"/>
  <c r="M2396" i="1" s="1"/>
  <c r="K2397" i="1"/>
  <c r="M2397" i="1" s="1"/>
  <c r="K2398" i="1"/>
  <c r="M2398" i="1" s="1"/>
  <c r="K2399" i="1"/>
  <c r="M2399" i="1" s="1"/>
  <c r="K2400" i="1"/>
  <c r="M2400" i="1" s="1"/>
  <c r="K2401" i="1"/>
  <c r="M2401" i="1" s="1"/>
  <c r="K2402" i="1"/>
  <c r="M2402" i="1" s="1"/>
  <c r="K2403" i="1"/>
  <c r="M2403" i="1" s="1"/>
  <c r="K2404" i="1"/>
  <c r="M2404" i="1" s="1"/>
  <c r="K2405" i="1"/>
  <c r="M2405" i="1" s="1"/>
  <c r="K2406" i="1"/>
  <c r="M2406" i="1" s="1"/>
  <c r="K2407" i="1"/>
  <c r="M2407" i="1" s="1"/>
  <c r="K2408" i="1"/>
  <c r="M2408" i="1" s="1"/>
  <c r="K2409" i="1"/>
  <c r="M2409" i="1" s="1"/>
  <c r="K2410" i="1"/>
  <c r="M2410" i="1" s="1"/>
  <c r="K2411" i="1"/>
  <c r="M2411" i="1" s="1"/>
  <c r="K2412" i="1"/>
  <c r="M2412" i="1" s="1"/>
  <c r="K2413" i="1"/>
  <c r="M2413" i="1" s="1"/>
  <c r="K2414" i="1"/>
  <c r="M2414" i="1" s="1"/>
  <c r="K2415" i="1"/>
  <c r="M2415" i="1" s="1"/>
  <c r="K2416" i="1"/>
  <c r="M2416" i="1" s="1"/>
  <c r="K2417" i="1"/>
  <c r="M2417" i="1" s="1"/>
  <c r="K2418" i="1"/>
  <c r="M2418" i="1" s="1"/>
  <c r="K2419" i="1"/>
  <c r="M2419" i="1" s="1"/>
  <c r="K2420" i="1"/>
  <c r="M2420" i="1" s="1"/>
  <c r="K2421" i="1"/>
  <c r="M2421" i="1" s="1"/>
  <c r="K2422" i="1"/>
  <c r="M2422" i="1" s="1"/>
  <c r="K2423" i="1"/>
  <c r="M2423" i="1" s="1"/>
  <c r="K2424" i="1"/>
  <c r="M2424" i="1" s="1"/>
  <c r="K2425" i="1"/>
  <c r="M2425" i="1" s="1"/>
  <c r="K2426" i="1"/>
  <c r="M2426" i="1" s="1"/>
  <c r="K2427" i="1"/>
  <c r="M2427" i="1" s="1"/>
  <c r="K2428" i="1"/>
  <c r="M2428" i="1" s="1"/>
  <c r="K2429" i="1"/>
  <c r="M2429" i="1" s="1"/>
  <c r="K2430" i="1"/>
  <c r="M2430" i="1" s="1"/>
  <c r="K2431" i="1"/>
  <c r="M2431" i="1" s="1"/>
  <c r="K2432" i="1"/>
  <c r="M2432" i="1" s="1"/>
  <c r="K2433" i="1"/>
  <c r="M2433" i="1" s="1"/>
  <c r="K2434" i="1"/>
  <c r="M2434" i="1" s="1"/>
  <c r="K2435" i="1"/>
  <c r="M2435" i="1" s="1"/>
  <c r="K2436" i="1"/>
  <c r="M2436" i="1" s="1"/>
  <c r="K2437" i="1"/>
  <c r="M2437" i="1" s="1"/>
  <c r="K2438" i="1"/>
  <c r="M2438" i="1" s="1"/>
  <c r="K2439" i="1"/>
  <c r="M2439" i="1" s="1"/>
  <c r="K2440" i="1"/>
  <c r="M2440" i="1" s="1"/>
  <c r="K2441" i="1"/>
  <c r="M2441" i="1" s="1"/>
  <c r="K2442" i="1"/>
  <c r="M2442" i="1" s="1"/>
  <c r="K2443" i="1"/>
  <c r="M2443" i="1" s="1"/>
  <c r="K2444" i="1"/>
  <c r="M2444" i="1" s="1"/>
  <c r="K2445" i="1"/>
  <c r="M2445" i="1" s="1"/>
  <c r="K2446" i="1"/>
  <c r="M2446" i="1" s="1"/>
  <c r="K2447" i="1"/>
  <c r="M2447" i="1" s="1"/>
  <c r="K2448" i="1"/>
  <c r="M2448" i="1" s="1"/>
  <c r="K2449" i="1"/>
  <c r="M2449" i="1" s="1"/>
  <c r="K2450" i="1"/>
  <c r="M2450" i="1" s="1"/>
  <c r="K2451" i="1"/>
  <c r="M2451" i="1" s="1"/>
  <c r="K2452" i="1"/>
  <c r="M2452" i="1" s="1"/>
  <c r="K2453" i="1"/>
  <c r="M2453" i="1" s="1"/>
  <c r="K2454" i="1"/>
  <c r="M2454" i="1" s="1"/>
  <c r="K2455" i="1"/>
  <c r="M2455" i="1" s="1"/>
  <c r="K2456" i="1"/>
  <c r="M2456" i="1" s="1"/>
  <c r="K2457" i="1"/>
  <c r="M2457" i="1" s="1"/>
  <c r="K2458" i="1"/>
  <c r="M2458" i="1" s="1"/>
  <c r="K2459" i="1"/>
  <c r="M2459" i="1" s="1"/>
  <c r="K2460" i="1"/>
  <c r="M2460" i="1" s="1"/>
  <c r="K2461" i="1"/>
  <c r="M2461" i="1" s="1"/>
  <c r="K2462" i="1"/>
  <c r="M2462" i="1" s="1"/>
  <c r="K2463" i="1"/>
  <c r="M2463" i="1" s="1"/>
  <c r="K2464" i="1"/>
  <c r="M2464" i="1" s="1"/>
  <c r="K2465" i="1"/>
  <c r="M2465" i="1" s="1"/>
  <c r="K2466" i="1"/>
  <c r="M2466" i="1" s="1"/>
  <c r="K2467" i="1"/>
  <c r="M2467" i="1" s="1"/>
  <c r="K2468" i="1"/>
  <c r="M2468" i="1" s="1"/>
  <c r="K2469" i="1"/>
  <c r="M2469" i="1" s="1"/>
  <c r="K2470" i="1"/>
  <c r="M2470" i="1" s="1"/>
  <c r="K2471" i="1"/>
  <c r="M2471" i="1" s="1"/>
  <c r="K2472" i="1"/>
  <c r="M2472" i="1" s="1"/>
  <c r="K2473" i="1"/>
  <c r="M2473" i="1" s="1"/>
  <c r="K2474" i="1"/>
  <c r="M2474" i="1" s="1"/>
  <c r="K2475" i="1"/>
  <c r="M2475" i="1" s="1"/>
  <c r="K2476" i="1"/>
  <c r="M2476" i="1" s="1"/>
  <c r="K2477" i="1"/>
  <c r="M2477" i="1" s="1"/>
  <c r="K2478" i="1"/>
  <c r="M2478" i="1" s="1"/>
  <c r="K2479" i="1"/>
  <c r="M2479" i="1" s="1"/>
  <c r="K2480" i="1"/>
  <c r="M2480" i="1" s="1"/>
  <c r="K2481" i="1"/>
  <c r="M2481" i="1" s="1"/>
  <c r="K2482" i="1"/>
  <c r="M2482" i="1" s="1"/>
  <c r="K2483" i="1"/>
  <c r="M2483" i="1" s="1"/>
  <c r="K2484" i="1"/>
  <c r="M2484" i="1" s="1"/>
  <c r="K2485" i="1"/>
  <c r="M2485" i="1" s="1"/>
  <c r="K2486" i="1"/>
  <c r="M2486" i="1" s="1"/>
  <c r="K2487" i="1"/>
  <c r="M2487" i="1" s="1"/>
  <c r="K2488" i="1"/>
  <c r="M2488" i="1" s="1"/>
  <c r="K2489" i="1"/>
  <c r="M2489" i="1" s="1"/>
  <c r="K2490" i="1"/>
  <c r="M2490" i="1" s="1"/>
  <c r="K2491" i="1"/>
  <c r="M2491" i="1" s="1"/>
  <c r="K2492" i="1"/>
  <c r="M2492" i="1" s="1"/>
  <c r="K2493" i="1"/>
  <c r="M2493" i="1" s="1"/>
  <c r="K2494" i="1"/>
  <c r="M2494" i="1" s="1"/>
  <c r="K2495" i="1"/>
  <c r="M2495" i="1" s="1"/>
  <c r="K2496" i="1"/>
  <c r="M2496" i="1" s="1"/>
  <c r="K2497" i="1"/>
  <c r="M2497" i="1" s="1"/>
  <c r="K2498" i="1"/>
  <c r="M2498" i="1" s="1"/>
  <c r="K2499" i="1"/>
  <c r="M2499" i="1" s="1"/>
  <c r="K2500" i="1"/>
  <c r="M2500" i="1" s="1"/>
  <c r="K2501" i="1"/>
  <c r="M2501" i="1" s="1"/>
  <c r="K2502" i="1"/>
  <c r="M2502" i="1" s="1"/>
  <c r="K2503" i="1"/>
  <c r="M2503" i="1" s="1"/>
  <c r="K2504" i="1"/>
  <c r="M2504" i="1" s="1"/>
  <c r="K2505" i="1"/>
  <c r="M2505" i="1" s="1"/>
  <c r="K2506" i="1"/>
  <c r="M2506" i="1" s="1"/>
  <c r="K2507" i="1"/>
  <c r="M2507" i="1" s="1"/>
  <c r="K2508" i="1"/>
  <c r="M2508" i="1" s="1"/>
  <c r="K2509" i="1"/>
  <c r="M2509" i="1" s="1"/>
  <c r="K2510" i="1"/>
  <c r="M2510" i="1" s="1"/>
  <c r="K2511" i="1"/>
  <c r="M2511" i="1" s="1"/>
  <c r="K2512" i="1"/>
  <c r="M2512" i="1" s="1"/>
  <c r="K2513" i="1"/>
  <c r="M2513" i="1" s="1"/>
  <c r="K2514" i="1"/>
  <c r="M2514" i="1" s="1"/>
  <c r="K2515" i="1"/>
  <c r="M2515" i="1" s="1"/>
  <c r="K2516" i="1"/>
  <c r="M2516" i="1" s="1"/>
  <c r="K2517" i="1"/>
  <c r="M2517" i="1" s="1"/>
  <c r="K2518" i="1"/>
  <c r="M2518" i="1" s="1"/>
  <c r="K2519" i="1"/>
  <c r="M2519" i="1" s="1"/>
  <c r="K2520" i="1"/>
  <c r="M2520" i="1" s="1"/>
  <c r="K2521" i="1"/>
  <c r="M2521" i="1" s="1"/>
  <c r="K2522" i="1"/>
  <c r="M2522" i="1" s="1"/>
  <c r="K2523" i="1"/>
  <c r="M2523" i="1" s="1"/>
  <c r="K2524" i="1"/>
  <c r="M2524" i="1" s="1"/>
  <c r="K2525" i="1"/>
  <c r="M2525" i="1" s="1"/>
  <c r="K2526" i="1"/>
  <c r="M2526" i="1" s="1"/>
  <c r="K2527" i="1"/>
  <c r="M2527" i="1" s="1"/>
  <c r="K2528" i="1"/>
  <c r="M2528" i="1" s="1"/>
  <c r="K2529" i="1"/>
  <c r="M2529" i="1" s="1"/>
  <c r="K2530" i="1"/>
  <c r="M2530" i="1" s="1"/>
  <c r="K2531" i="1"/>
  <c r="M2531" i="1" s="1"/>
  <c r="K2532" i="1"/>
  <c r="M2532" i="1" s="1"/>
  <c r="K2533" i="1"/>
  <c r="M2533" i="1" s="1"/>
  <c r="K2534" i="1"/>
  <c r="M2534" i="1" s="1"/>
  <c r="N2305" i="1" l="1"/>
  <c r="N2129" i="1"/>
  <c r="P2526" i="1"/>
  <c r="N2526" i="1"/>
  <c r="P2462" i="1"/>
  <c r="N2462" i="1"/>
  <c r="P2430" i="1"/>
  <c r="N2430" i="1"/>
  <c r="P2326" i="1"/>
  <c r="N2326" i="1"/>
  <c r="P2270" i="1"/>
  <c r="N2270" i="1"/>
  <c r="P2198" i="1"/>
  <c r="N2198" i="1"/>
  <c r="P2158" i="1"/>
  <c r="N2158" i="1"/>
  <c r="N2110" i="1"/>
  <c r="P2110" i="1"/>
  <c r="P2070" i="1"/>
  <c r="N2070" i="1"/>
  <c r="P2014" i="1"/>
  <c r="N2014" i="1"/>
  <c r="P1950" i="1"/>
  <c r="N1950" i="1"/>
  <c r="P1902" i="1"/>
  <c r="N1902" i="1"/>
  <c r="P1854" i="1"/>
  <c r="N1854" i="1"/>
  <c r="P1782" i="1"/>
  <c r="N1782" i="1"/>
  <c r="P1718" i="1"/>
  <c r="N1718" i="1"/>
  <c r="P1662" i="1"/>
  <c r="N1662" i="1"/>
  <c r="P1606" i="1"/>
  <c r="N1606" i="1"/>
  <c r="N1550" i="1"/>
  <c r="P1550" i="1"/>
  <c r="P926" i="1"/>
  <c r="N926" i="1"/>
  <c r="P742" i="1"/>
  <c r="N742" i="1"/>
  <c r="P614" i="1"/>
  <c r="N614" i="1"/>
  <c r="P550" i="1"/>
  <c r="N550" i="1"/>
  <c r="P238" i="1"/>
  <c r="N238" i="1"/>
  <c r="P2509" i="1"/>
  <c r="N2509" i="1"/>
  <c r="P2397" i="1"/>
  <c r="N2397" i="1"/>
  <c r="P2333" i="1"/>
  <c r="N2333" i="1"/>
  <c r="P2261" i="1"/>
  <c r="N2261" i="1"/>
  <c r="P2197" i="1"/>
  <c r="N2197" i="1"/>
  <c r="P2141" i="1"/>
  <c r="N2141" i="1"/>
  <c r="P2077" i="1"/>
  <c r="N2077" i="1"/>
  <c r="P2053" i="1"/>
  <c r="N2053" i="1"/>
  <c r="P2045" i="1"/>
  <c r="N2045" i="1"/>
  <c r="P2029" i="1"/>
  <c r="N2029" i="1"/>
  <c r="P1981" i="1"/>
  <c r="N1981" i="1"/>
  <c r="P1965" i="1"/>
  <c r="N1965" i="1"/>
  <c r="P1957" i="1"/>
  <c r="N1957" i="1"/>
  <c r="P1949" i="1"/>
  <c r="N1949" i="1"/>
  <c r="P1941" i="1"/>
  <c r="N1941" i="1"/>
  <c r="P1925" i="1"/>
  <c r="N1925" i="1"/>
  <c r="P1917" i="1"/>
  <c r="N1917" i="1"/>
  <c r="P1901" i="1"/>
  <c r="N1901" i="1"/>
  <c r="P1893" i="1"/>
  <c r="N1893" i="1"/>
  <c r="P1885" i="1"/>
  <c r="N1885" i="1"/>
  <c r="P1877" i="1"/>
  <c r="N1877" i="1"/>
  <c r="P1861" i="1"/>
  <c r="N1861" i="1"/>
  <c r="P1853" i="1"/>
  <c r="N1853" i="1"/>
  <c r="P1837" i="1"/>
  <c r="N1837" i="1"/>
  <c r="P1829" i="1"/>
  <c r="N1829" i="1"/>
  <c r="P1821" i="1"/>
  <c r="N1821" i="1"/>
  <c r="P1813" i="1"/>
  <c r="N1813" i="1"/>
  <c r="P1797" i="1"/>
  <c r="N1797" i="1"/>
  <c r="P1789" i="1"/>
  <c r="N1789" i="1"/>
  <c r="P1773" i="1"/>
  <c r="N1773" i="1"/>
  <c r="P1765" i="1"/>
  <c r="N1765" i="1"/>
  <c r="P1757" i="1"/>
  <c r="N1757" i="1"/>
  <c r="P1749" i="1"/>
  <c r="N1749" i="1"/>
  <c r="P1733" i="1"/>
  <c r="N1733" i="1"/>
  <c r="P1725" i="1"/>
  <c r="N1725" i="1"/>
  <c r="P1709" i="1"/>
  <c r="N1709" i="1"/>
  <c r="P1701" i="1"/>
  <c r="N1701" i="1"/>
  <c r="P1693" i="1"/>
  <c r="N1693" i="1"/>
  <c r="P1685" i="1"/>
  <c r="N1685" i="1"/>
  <c r="P1669" i="1"/>
  <c r="N1669" i="1"/>
  <c r="P1661" i="1"/>
  <c r="N1661" i="1"/>
  <c r="P1645" i="1"/>
  <c r="N1645" i="1"/>
  <c r="P1637" i="1"/>
  <c r="N1637" i="1"/>
  <c r="P1629" i="1"/>
  <c r="N1629" i="1"/>
  <c r="P1621" i="1"/>
  <c r="N1621" i="1"/>
  <c r="P1605" i="1"/>
  <c r="N1605" i="1"/>
  <c r="P1597" i="1"/>
  <c r="N1597" i="1"/>
  <c r="P1581" i="1"/>
  <c r="N1581" i="1"/>
  <c r="P1573" i="1"/>
  <c r="N1573" i="1"/>
  <c r="P1565" i="1"/>
  <c r="N1565" i="1"/>
  <c r="P1557" i="1"/>
  <c r="N1557" i="1"/>
  <c r="P1549" i="1"/>
  <c r="N1549" i="1"/>
  <c r="P1541" i="1"/>
  <c r="N1541" i="1"/>
  <c r="P1533" i="1"/>
  <c r="N1533" i="1"/>
  <c r="P1517" i="1"/>
  <c r="N1517" i="1"/>
  <c r="P1509" i="1"/>
  <c r="N1509" i="1"/>
  <c r="P1501" i="1"/>
  <c r="N1501" i="1"/>
  <c r="P1493" i="1"/>
  <c r="N1493" i="1"/>
  <c r="P1477" i="1"/>
  <c r="N1477" i="1"/>
  <c r="P1469" i="1"/>
  <c r="N1469" i="1"/>
  <c r="P1453" i="1"/>
  <c r="N1453" i="1"/>
  <c r="P1445" i="1"/>
  <c r="N1445" i="1"/>
  <c r="P1437" i="1"/>
  <c r="N1437" i="1"/>
  <c r="P1429" i="1"/>
  <c r="N1429" i="1"/>
  <c r="P1413" i="1"/>
  <c r="N1413" i="1"/>
  <c r="P1405" i="1"/>
  <c r="N1405" i="1"/>
  <c r="P1389" i="1"/>
  <c r="N1389" i="1"/>
  <c r="N1381" i="1"/>
  <c r="P1381" i="1"/>
  <c r="P1373" i="1"/>
  <c r="N1373" i="1"/>
  <c r="P1365" i="1"/>
  <c r="N1365" i="1"/>
  <c r="P1349" i="1"/>
  <c r="N1349" i="1"/>
  <c r="P1341" i="1"/>
  <c r="N1341" i="1"/>
  <c r="P1325" i="1"/>
  <c r="N1325" i="1"/>
  <c r="P1317" i="1"/>
  <c r="N1317" i="1"/>
  <c r="P1309" i="1"/>
  <c r="N1309" i="1"/>
  <c r="P1301" i="1"/>
  <c r="N1301" i="1"/>
  <c r="P1285" i="1"/>
  <c r="N1285" i="1"/>
  <c r="P1277" i="1"/>
  <c r="N1277" i="1"/>
  <c r="P1261" i="1"/>
  <c r="N1261" i="1"/>
  <c r="P1253" i="1"/>
  <c r="N1253" i="1"/>
  <c r="P1245" i="1"/>
  <c r="N1245" i="1"/>
  <c r="P1237" i="1"/>
  <c r="N1237" i="1"/>
  <c r="P1221" i="1"/>
  <c r="N1221" i="1"/>
  <c r="P1213" i="1"/>
  <c r="N1213" i="1"/>
  <c r="P1197" i="1"/>
  <c r="N1197" i="1"/>
  <c r="P1189" i="1"/>
  <c r="N1189" i="1"/>
  <c r="P1181" i="1"/>
  <c r="N1181" i="1"/>
  <c r="P1173" i="1"/>
  <c r="N1173" i="1"/>
  <c r="P1157" i="1"/>
  <c r="N1157" i="1"/>
  <c r="P1109" i="1"/>
  <c r="N1109" i="1"/>
  <c r="P1093" i="1"/>
  <c r="N1093" i="1"/>
  <c r="P1053" i="1"/>
  <c r="N1053" i="1"/>
  <c r="P1045" i="1"/>
  <c r="N1045" i="1"/>
  <c r="P925" i="1"/>
  <c r="N925" i="1"/>
  <c r="P917" i="1"/>
  <c r="N917" i="1"/>
  <c r="P861" i="1"/>
  <c r="N861" i="1"/>
  <c r="P853" i="1"/>
  <c r="N853" i="1"/>
  <c r="P797" i="1"/>
  <c r="N797" i="1"/>
  <c r="P789" i="1"/>
  <c r="N789" i="1"/>
  <c r="P677" i="1"/>
  <c r="N677" i="1"/>
  <c r="P645" i="1"/>
  <c r="N645" i="1"/>
  <c r="P581" i="1"/>
  <c r="N581" i="1"/>
  <c r="P549" i="1"/>
  <c r="N549" i="1"/>
  <c r="P517" i="1"/>
  <c r="N517" i="1"/>
  <c r="P365" i="1"/>
  <c r="N365" i="1"/>
  <c r="P309" i="1"/>
  <c r="N309" i="1"/>
  <c r="P253" i="1"/>
  <c r="N253" i="1"/>
  <c r="P181" i="1"/>
  <c r="N181" i="1"/>
  <c r="P61" i="1"/>
  <c r="N61" i="1"/>
  <c r="P45" i="1"/>
  <c r="N45" i="1"/>
  <c r="P29" i="1"/>
  <c r="N29" i="1"/>
  <c r="P2494" i="1"/>
  <c r="N2494" i="1"/>
  <c r="P2446" i="1"/>
  <c r="N2446" i="1"/>
  <c r="P2398" i="1"/>
  <c r="N2398" i="1"/>
  <c r="P2366" i="1"/>
  <c r="N2366" i="1"/>
  <c r="P2302" i="1"/>
  <c r="N2302" i="1"/>
  <c r="P2230" i="1"/>
  <c r="N2230" i="1"/>
  <c r="P2174" i="1"/>
  <c r="N2174" i="1"/>
  <c r="P2118" i="1"/>
  <c r="N2118" i="1"/>
  <c r="P2078" i="1"/>
  <c r="N2078" i="1"/>
  <c r="P2030" i="1"/>
  <c r="N2030" i="1"/>
  <c r="P1990" i="1"/>
  <c r="N1990" i="1"/>
  <c r="P1942" i="1"/>
  <c r="N1942" i="1"/>
  <c r="P1886" i="1"/>
  <c r="N1886" i="1"/>
  <c r="P1822" i="1"/>
  <c r="N1822" i="1"/>
  <c r="P1758" i="1"/>
  <c r="N1758" i="1"/>
  <c r="P1710" i="1"/>
  <c r="N1710" i="1"/>
  <c r="P1670" i="1"/>
  <c r="N1670" i="1"/>
  <c r="P1630" i="1"/>
  <c r="N1630" i="1"/>
  <c r="P1582" i="1"/>
  <c r="N1582" i="1"/>
  <c r="P1118" i="1"/>
  <c r="N1118" i="1"/>
  <c r="P934" i="1"/>
  <c r="N934" i="1"/>
  <c r="P678" i="1"/>
  <c r="N678" i="1"/>
  <c r="P382" i="1"/>
  <c r="N382" i="1"/>
  <c r="P94" i="1"/>
  <c r="N94" i="1"/>
  <c r="P2501" i="1"/>
  <c r="N2501" i="1"/>
  <c r="P2437" i="1"/>
  <c r="N2437" i="1"/>
  <c r="P2389" i="1"/>
  <c r="N2389" i="1"/>
  <c r="P2301" i="1"/>
  <c r="N2301" i="1"/>
  <c r="P2237" i="1"/>
  <c r="N2237" i="1"/>
  <c r="P2181" i="1"/>
  <c r="N2181" i="1"/>
  <c r="P2133" i="1"/>
  <c r="N2133" i="1"/>
  <c r="P2013" i="1"/>
  <c r="N2013" i="1"/>
  <c r="P2508" i="1"/>
  <c r="N2508" i="1"/>
  <c r="P2460" i="1"/>
  <c r="N2460" i="1"/>
  <c r="P2412" i="1"/>
  <c r="N2412" i="1"/>
  <c r="P2364" i="1"/>
  <c r="N2364" i="1"/>
  <c r="P2332" i="1"/>
  <c r="N2332" i="1"/>
  <c r="P2292" i="1"/>
  <c r="N2292" i="1"/>
  <c r="P2236" i="1"/>
  <c r="N2236" i="1"/>
  <c r="P2180" i="1"/>
  <c r="N2180" i="1"/>
  <c r="P2132" i="1"/>
  <c r="N2132" i="1"/>
  <c r="P2068" i="1"/>
  <c r="N2068" i="1"/>
  <c r="P2028" i="1"/>
  <c r="N2028" i="1"/>
  <c r="P1980" i="1"/>
  <c r="N1980" i="1"/>
  <c r="P1940" i="1"/>
  <c r="N1940" i="1"/>
  <c r="P1900" i="1"/>
  <c r="N1900" i="1"/>
  <c r="P1876" i="1"/>
  <c r="N1876" i="1"/>
  <c r="P1860" i="1"/>
  <c r="N1860" i="1"/>
  <c r="P1844" i="1"/>
  <c r="N1844" i="1"/>
  <c r="P1828" i="1"/>
  <c r="N1828" i="1"/>
  <c r="P1804" i="1"/>
  <c r="N1804" i="1"/>
  <c r="P1764" i="1"/>
  <c r="N1764" i="1"/>
  <c r="P1740" i="1"/>
  <c r="N1740" i="1"/>
  <c r="P1724" i="1"/>
  <c r="N1724" i="1"/>
  <c r="P1708" i="1"/>
  <c r="N1708" i="1"/>
  <c r="P1684" i="1"/>
  <c r="N1684" i="1"/>
  <c r="P1668" i="1"/>
  <c r="N1668" i="1"/>
  <c r="P1652" i="1"/>
  <c r="N1652" i="1"/>
  <c r="P1636" i="1"/>
  <c r="N1636" i="1"/>
  <c r="P1612" i="1"/>
  <c r="N1612" i="1"/>
  <c r="P1596" i="1"/>
  <c r="N1596" i="1"/>
  <c r="P1580" i="1"/>
  <c r="N1580" i="1"/>
  <c r="P1564" i="1"/>
  <c r="N1564" i="1"/>
  <c r="P1548" i="1"/>
  <c r="N1548" i="1"/>
  <c r="P1532" i="1"/>
  <c r="N1532" i="1"/>
  <c r="P1516" i="1"/>
  <c r="N1516" i="1"/>
  <c r="P1500" i="1"/>
  <c r="N1500" i="1"/>
  <c r="P1484" i="1"/>
  <c r="N1484" i="1"/>
  <c r="P1476" i="1"/>
  <c r="N1476" i="1"/>
  <c r="P1468" i="1"/>
  <c r="N1468" i="1"/>
  <c r="P1460" i="1"/>
  <c r="N1460" i="1"/>
  <c r="P1452" i="1"/>
  <c r="N1452" i="1"/>
  <c r="P1436" i="1"/>
  <c r="N1436" i="1"/>
  <c r="P1428" i="1"/>
  <c r="N1428" i="1"/>
  <c r="P1420" i="1"/>
  <c r="N1420" i="1"/>
  <c r="P1412" i="1"/>
  <c r="N1412" i="1"/>
  <c r="P1404" i="1"/>
  <c r="N1404" i="1"/>
  <c r="P1388" i="1"/>
  <c r="N1388" i="1"/>
  <c r="P1372" i="1"/>
  <c r="N1372" i="1"/>
  <c r="P1364" i="1"/>
  <c r="N1364" i="1"/>
  <c r="P1356" i="1"/>
  <c r="N1356" i="1"/>
  <c r="P1348" i="1"/>
  <c r="N1348" i="1"/>
  <c r="P1340" i="1"/>
  <c r="N1340" i="1"/>
  <c r="P1332" i="1"/>
  <c r="N1332" i="1"/>
  <c r="P1324" i="1"/>
  <c r="N1324" i="1"/>
  <c r="P1308" i="1"/>
  <c r="N1308" i="1"/>
  <c r="P1300" i="1"/>
  <c r="N1300" i="1"/>
  <c r="P1292" i="1"/>
  <c r="N1292" i="1"/>
  <c r="P1284" i="1"/>
  <c r="N1284" i="1"/>
  <c r="P1276" i="1"/>
  <c r="N1276" i="1"/>
  <c r="P1268" i="1"/>
  <c r="N1268" i="1"/>
  <c r="P1260" i="1"/>
  <c r="N1260" i="1"/>
  <c r="P1244" i="1"/>
  <c r="N1244" i="1"/>
  <c r="P1236" i="1"/>
  <c r="N1236" i="1"/>
  <c r="P1228" i="1"/>
  <c r="N1228" i="1"/>
  <c r="P1220" i="1"/>
  <c r="N1220" i="1"/>
  <c r="P1212" i="1"/>
  <c r="N1212" i="1"/>
  <c r="P1204" i="1"/>
  <c r="N1204" i="1"/>
  <c r="P1196" i="1"/>
  <c r="N1196" i="1"/>
  <c r="P1180" i="1"/>
  <c r="N1180" i="1"/>
  <c r="P1172" i="1"/>
  <c r="N1172" i="1"/>
  <c r="P1148" i="1"/>
  <c r="N1148" i="1"/>
  <c r="P1108" i="1"/>
  <c r="N1108" i="1"/>
  <c r="P1100" i="1"/>
  <c r="N1100" i="1"/>
  <c r="P1084" i="1"/>
  <c r="N1084" i="1"/>
  <c r="P1044" i="1"/>
  <c r="N1044" i="1"/>
  <c r="P1036" i="1"/>
  <c r="N1036" i="1"/>
  <c r="P980" i="1"/>
  <c r="N980" i="1"/>
  <c r="P972" i="1"/>
  <c r="N972" i="1"/>
  <c r="P908" i="1"/>
  <c r="N908" i="1"/>
  <c r="P852" i="1"/>
  <c r="N852" i="1"/>
  <c r="P844" i="1"/>
  <c r="N844" i="1"/>
  <c r="P788" i="1"/>
  <c r="N788" i="1"/>
  <c r="P780" i="1"/>
  <c r="N780" i="1"/>
  <c r="P724" i="1"/>
  <c r="N724" i="1"/>
  <c r="P716" i="1"/>
  <c r="N716" i="1"/>
  <c r="P668" i="1"/>
  <c r="N668" i="1"/>
  <c r="P636" i="1"/>
  <c r="N636" i="1"/>
  <c r="P572" i="1"/>
  <c r="N572" i="1"/>
  <c r="P540" i="1"/>
  <c r="N540" i="1"/>
  <c r="P508" i="1"/>
  <c r="N508" i="1"/>
  <c r="P452" i="1"/>
  <c r="N452" i="1"/>
  <c r="P396" i="1"/>
  <c r="N396" i="1"/>
  <c r="P340" i="1"/>
  <c r="N340" i="1"/>
  <c r="P324" i="1"/>
  <c r="N324" i="1"/>
  <c r="P268" i="1"/>
  <c r="N268" i="1"/>
  <c r="P212" i="1"/>
  <c r="N212" i="1"/>
  <c r="P180" i="1"/>
  <c r="N180" i="1"/>
  <c r="P164" i="1"/>
  <c r="N164" i="1"/>
  <c r="P148" i="1"/>
  <c r="N148" i="1"/>
  <c r="P2510" i="1"/>
  <c r="N2510" i="1"/>
  <c r="P2438" i="1"/>
  <c r="N2438" i="1"/>
  <c r="P2390" i="1"/>
  <c r="N2390" i="1"/>
  <c r="P2342" i="1"/>
  <c r="N2342" i="1"/>
  <c r="P2286" i="1"/>
  <c r="N2286" i="1"/>
  <c r="P2238" i="1"/>
  <c r="N2238" i="1"/>
  <c r="P2182" i="1"/>
  <c r="N2182" i="1"/>
  <c r="P2142" i="1"/>
  <c r="N2142" i="1"/>
  <c r="P2094" i="1"/>
  <c r="N2094" i="1"/>
  <c r="P2038" i="1"/>
  <c r="N2038" i="1"/>
  <c r="N1982" i="1"/>
  <c r="P1982" i="1"/>
  <c r="P1926" i="1"/>
  <c r="N1926" i="1"/>
  <c r="P1862" i="1"/>
  <c r="N1862" i="1"/>
  <c r="P1814" i="1"/>
  <c r="N1814" i="1"/>
  <c r="P1774" i="1"/>
  <c r="N1774" i="1"/>
  <c r="P1726" i="1"/>
  <c r="N1726" i="1"/>
  <c r="P1654" i="1"/>
  <c r="N1654" i="1"/>
  <c r="P1598" i="1"/>
  <c r="N1598" i="1"/>
  <c r="P1534" i="1"/>
  <c r="N1534" i="1"/>
  <c r="P1126" i="1"/>
  <c r="N1126" i="1"/>
  <c r="P870" i="1"/>
  <c r="N870" i="1"/>
  <c r="P582" i="1"/>
  <c r="N582" i="1"/>
  <c r="P438" i="1"/>
  <c r="N438" i="1"/>
  <c r="P2493" i="1"/>
  <c r="N2493" i="1"/>
  <c r="P2429" i="1"/>
  <c r="N2429" i="1"/>
  <c r="P2357" i="1"/>
  <c r="N2357" i="1"/>
  <c r="P2277" i="1"/>
  <c r="N2277" i="1"/>
  <c r="P2213" i="1"/>
  <c r="N2213" i="1"/>
  <c r="P2117" i="1"/>
  <c r="N2117" i="1"/>
  <c r="P1989" i="1"/>
  <c r="N1989" i="1"/>
  <c r="P2500" i="1"/>
  <c r="N2500" i="1"/>
  <c r="P2444" i="1"/>
  <c r="N2444" i="1"/>
  <c r="P2404" i="1"/>
  <c r="N2404" i="1"/>
  <c r="P2372" i="1"/>
  <c r="N2372" i="1"/>
  <c r="P2324" i="1"/>
  <c r="N2324" i="1"/>
  <c r="N2276" i="1"/>
  <c r="P2276" i="1"/>
  <c r="P2228" i="1"/>
  <c r="N2228" i="1"/>
  <c r="P2172" i="1"/>
  <c r="N2172" i="1"/>
  <c r="P2124" i="1"/>
  <c r="N2124" i="1"/>
  <c r="P2084" i="1"/>
  <c r="N2084" i="1"/>
  <c r="P2044" i="1"/>
  <c r="N2044" i="1"/>
  <c r="P1996" i="1"/>
  <c r="N1996" i="1"/>
  <c r="P1956" i="1"/>
  <c r="N1956" i="1"/>
  <c r="P1908" i="1"/>
  <c r="N1908" i="1"/>
  <c r="P1892" i="1"/>
  <c r="N1892" i="1"/>
  <c r="P1868" i="1"/>
  <c r="N1868" i="1"/>
  <c r="P1852" i="1"/>
  <c r="N1852" i="1"/>
  <c r="P1836" i="1"/>
  <c r="N1836" i="1"/>
  <c r="N1812" i="1"/>
  <c r="P1812" i="1"/>
  <c r="P1780" i="1"/>
  <c r="N1780" i="1"/>
  <c r="P1748" i="1"/>
  <c r="N1748" i="1"/>
  <c r="P1732" i="1"/>
  <c r="N1732" i="1"/>
  <c r="P1716" i="1"/>
  <c r="N1716" i="1"/>
  <c r="P1700" i="1"/>
  <c r="N1700" i="1"/>
  <c r="P1676" i="1"/>
  <c r="N1676" i="1"/>
  <c r="P1660" i="1"/>
  <c r="N1660" i="1"/>
  <c r="P1644" i="1"/>
  <c r="N1644" i="1"/>
  <c r="P1620" i="1"/>
  <c r="N1620" i="1"/>
  <c r="P1604" i="1"/>
  <c r="N1604" i="1"/>
  <c r="P1588" i="1"/>
  <c r="N1588" i="1"/>
  <c r="P1572" i="1"/>
  <c r="N1572" i="1"/>
  <c r="P1556" i="1"/>
  <c r="N1556" i="1"/>
  <c r="P1540" i="1"/>
  <c r="N1540" i="1"/>
  <c r="P1524" i="1"/>
  <c r="N1524" i="1"/>
  <c r="P1492" i="1"/>
  <c r="N1492" i="1"/>
  <c r="P1396" i="1"/>
  <c r="N1396" i="1"/>
  <c r="P2531" i="1"/>
  <c r="N2531" i="1"/>
  <c r="P2523" i="1"/>
  <c r="N2523" i="1"/>
  <c r="P2515" i="1"/>
  <c r="N2515" i="1"/>
  <c r="P2499" i="1"/>
  <c r="N2499" i="1"/>
  <c r="P2491" i="1"/>
  <c r="N2491" i="1"/>
  <c r="P2483" i="1"/>
  <c r="N2483" i="1"/>
  <c r="P2475" i="1"/>
  <c r="N2475" i="1"/>
  <c r="P2467" i="1"/>
  <c r="N2467" i="1"/>
  <c r="P2459" i="1"/>
  <c r="N2459" i="1"/>
  <c r="P2451" i="1"/>
  <c r="N2451" i="1"/>
  <c r="P2435" i="1"/>
  <c r="N2435" i="1"/>
  <c r="P2427" i="1"/>
  <c r="N2427" i="1"/>
  <c r="P2419" i="1"/>
  <c r="N2419" i="1"/>
  <c r="P2411" i="1"/>
  <c r="N2411" i="1"/>
  <c r="P2403" i="1"/>
  <c r="N2403" i="1"/>
  <c r="P2387" i="1"/>
  <c r="N2387" i="1"/>
  <c r="P2379" i="1"/>
  <c r="N2379" i="1"/>
  <c r="P2371" i="1"/>
  <c r="N2371" i="1"/>
  <c r="P2355" i="1"/>
  <c r="N2355" i="1"/>
  <c r="P2347" i="1"/>
  <c r="N2347" i="1"/>
  <c r="P2339" i="1"/>
  <c r="N2339" i="1"/>
  <c r="P1155" i="1"/>
  <c r="N1155" i="1"/>
  <c r="P1099" i="1"/>
  <c r="N1099" i="1"/>
  <c r="P1035" i="1"/>
  <c r="N1035" i="1"/>
  <c r="P1027" i="1"/>
  <c r="N1027" i="1"/>
  <c r="P971" i="1"/>
  <c r="N971" i="1"/>
  <c r="P963" i="1"/>
  <c r="N963" i="1"/>
  <c r="P907" i="1"/>
  <c r="N907" i="1"/>
  <c r="P899" i="1"/>
  <c r="N899" i="1"/>
  <c r="P779" i="1"/>
  <c r="N779" i="1"/>
  <c r="P771" i="1"/>
  <c r="N771" i="1"/>
  <c r="P715" i="1"/>
  <c r="N715" i="1"/>
  <c r="P707" i="1"/>
  <c r="N707" i="1"/>
  <c r="P667" i="1"/>
  <c r="N667" i="1"/>
  <c r="P603" i="1"/>
  <c r="N603" i="1"/>
  <c r="P539" i="1"/>
  <c r="N539" i="1"/>
  <c r="P475" i="1"/>
  <c r="N475" i="1"/>
  <c r="P2502" i="1"/>
  <c r="N2502" i="1"/>
  <c r="P2422" i="1"/>
  <c r="N2422" i="1"/>
  <c r="P2358" i="1"/>
  <c r="N2358" i="1"/>
  <c r="P2310" i="1"/>
  <c r="N2310" i="1"/>
  <c r="P2262" i="1"/>
  <c r="N2262" i="1"/>
  <c r="P2222" i="1"/>
  <c r="N2222" i="1"/>
  <c r="P2134" i="1"/>
  <c r="N2134" i="1"/>
  <c r="P2046" i="1"/>
  <c r="N2046" i="1"/>
  <c r="P1878" i="1"/>
  <c r="N1878" i="1"/>
  <c r="P2517" i="1"/>
  <c r="N2517" i="1"/>
  <c r="P2453" i="1"/>
  <c r="N2453" i="1"/>
  <c r="P2413" i="1"/>
  <c r="N2413" i="1"/>
  <c r="P2365" i="1"/>
  <c r="N2365" i="1"/>
  <c r="P2309" i="1"/>
  <c r="N2309" i="1"/>
  <c r="P2269" i="1"/>
  <c r="N2269" i="1"/>
  <c r="P2205" i="1"/>
  <c r="N2205" i="1"/>
  <c r="P2149" i="1"/>
  <c r="N2149" i="1"/>
  <c r="P2093" i="1"/>
  <c r="N2093" i="1"/>
  <c r="P2021" i="1"/>
  <c r="N2021" i="1"/>
  <c r="P2532" i="1"/>
  <c r="N2532" i="1"/>
  <c r="P2492" i="1"/>
  <c r="N2492" i="1"/>
  <c r="P2476" i="1"/>
  <c r="N2476" i="1"/>
  <c r="P2420" i="1"/>
  <c r="N2420" i="1"/>
  <c r="P2388" i="1"/>
  <c r="N2388" i="1"/>
  <c r="P2348" i="1"/>
  <c r="N2348" i="1"/>
  <c r="P2316" i="1"/>
  <c r="N2316" i="1"/>
  <c r="P2284" i="1"/>
  <c r="N2284" i="1"/>
  <c r="P2252" i="1"/>
  <c r="N2252" i="1"/>
  <c r="P2212" i="1"/>
  <c r="N2212" i="1"/>
  <c r="P2164" i="1"/>
  <c r="N2164" i="1"/>
  <c r="P2116" i="1"/>
  <c r="N2116" i="1"/>
  <c r="P2092" i="1"/>
  <c r="N2092" i="1"/>
  <c r="P2052" i="1"/>
  <c r="N2052" i="1"/>
  <c r="P2004" i="1"/>
  <c r="N2004" i="1"/>
  <c r="P1964" i="1"/>
  <c r="N1964" i="1"/>
  <c r="P1924" i="1"/>
  <c r="N1924" i="1"/>
  <c r="P1796" i="1"/>
  <c r="N1796" i="1"/>
  <c r="P2530" i="1"/>
  <c r="N2530" i="1"/>
  <c r="P2490" i="1"/>
  <c r="N2490" i="1"/>
  <c r="P2466" i="1"/>
  <c r="N2466" i="1"/>
  <c r="P2426" i="1"/>
  <c r="N2426" i="1"/>
  <c r="P2402" i="1"/>
  <c r="N2402" i="1"/>
  <c r="P2378" i="1"/>
  <c r="N2378" i="1"/>
  <c r="P2346" i="1"/>
  <c r="N2346" i="1"/>
  <c r="P2322" i="1"/>
  <c r="N2322" i="1"/>
  <c r="P2282" i="1"/>
  <c r="N2282" i="1"/>
  <c r="P2250" i="1"/>
  <c r="N2250" i="1"/>
  <c r="P2218" i="1"/>
  <c r="N2218" i="1"/>
  <c r="P2194" i="1"/>
  <c r="N2194" i="1"/>
  <c r="P2170" i="1"/>
  <c r="N2170" i="1"/>
  <c r="P2146" i="1"/>
  <c r="N2146" i="1"/>
  <c r="P2106" i="1"/>
  <c r="N2106" i="1"/>
  <c r="P2082" i="1"/>
  <c r="N2082" i="1"/>
  <c r="P2042" i="1"/>
  <c r="N2042" i="1"/>
  <c r="P2018" i="1"/>
  <c r="N2018" i="1"/>
  <c r="P1978" i="1"/>
  <c r="N1978" i="1"/>
  <c r="P1954" i="1"/>
  <c r="N1954" i="1"/>
  <c r="P1914" i="1"/>
  <c r="N1914" i="1"/>
  <c r="P1898" i="1"/>
  <c r="N1898" i="1"/>
  <c r="P1866" i="1"/>
  <c r="N1866" i="1"/>
  <c r="P1850" i="1"/>
  <c r="N1850" i="1"/>
  <c r="P1842" i="1"/>
  <c r="N1842" i="1"/>
  <c r="P1834" i="1"/>
  <c r="N1834" i="1"/>
  <c r="P1826" i="1"/>
  <c r="N1826" i="1"/>
  <c r="P1810" i="1"/>
  <c r="N1810" i="1"/>
  <c r="P1802" i="1"/>
  <c r="N1802" i="1"/>
  <c r="P1770" i="1"/>
  <c r="N1770" i="1"/>
  <c r="P1762" i="1"/>
  <c r="N1762" i="1"/>
  <c r="P1746" i="1"/>
  <c r="N1746" i="1"/>
  <c r="P1738" i="1"/>
  <c r="N1738" i="1"/>
  <c r="P1722" i="1"/>
  <c r="N1722" i="1"/>
  <c r="P1714" i="1"/>
  <c r="N1714" i="1"/>
  <c r="P1706" i="1"/>
  <c r="N1706" i="1"/>
  <c r="P1698" i="1"/>
  <c r="N1698" i="1"/>
  <c r="P1682" i="1"/>
  <c r="N1682" i="1"/>
  <c r="P1674" i="1"/>
  <c r="N1674" i="1"/>
  <c r="P1658" i="1"/>
  <c r="N1658" i="1"/>
  <c r="P1650" i="1"/>
  <c r="N1650" i="1"/>
  <c r="P1642" i="1"/>
  <c r="N1642" i="1"/>
  <c r="P1634" i="1"/>
  <c r="N1634" i="1"/>
  <c r="P1618" i="1"/>
  <c r="N1618" i="1"/>
  <c r="P1610" i="1"/>
  <c r="N1610" i="1"/>
  <c r="P1594" i="1"/>
  <c r="N1594" i="1"/>
  <c r="P1586" i="1"/>
  <c r="N1586" i="1"/>
  <c r="P1578" i="1"/>
  <c r="N1578" i="1"/>
  <c r="P1154" i="1"/>
  <c r="N1154" i="1"/>
  <c r="P1146" i="1"/>
  <c r="N1146" i="1"/>
  <c r="P1130" i="1"/>
  <c r="N1130" i="1"/>
  <c r="P1082" i="1"/>
  <c r="N1082" i="1"/>
  <c r="P962" i="1"/>
  <c r="N962" i="1"/>
  <c r="P954" i="1"/>
  <c r="N954" i="1"/>
  <c r="P898" i="1"/>
  <c r="N898" i="1"/>
  <c r="P890" i="1"/>
  <c r="N890" i="1"/>
  <c r="P834" i="1"/>
  <c r="N834" i="1"/>
  <c r="P826" i="1"/>
  <c r="N826" i="1"/>
  <c r="P706" i="1"/>
  <c r="N706" i="1"/>
  <c r="P698" i="1"/>
  <c r="N698" i="1"/>
  <c r="P658" i="1"/>
  <c r="N658" i="1"/>
  <c r="P626" i="1"/>
  <c r="N626" i="1"/>
  <c r="P594" i="1"/>
  <c r="N594" i="1"/>
  <c r="P530" i="1"/>
  <c r="N530" i="1"/>
  <c r="P498" i="1"/>
  <c r="N498" i="1"/>
  <c r="P466" i="1"/>
  <c r="N466" i="1"/>
  <c r="P450" i="1"/>
  <c r="N450" i="1"/>
  <c r="P394" i="1"/>
  <c r="N394" i="1"/>
  <c r="P338" i="1"/>
  <c r="N338" i="1"/>
  <c r="P194" i="1"/>
  <c r="N194" i="1"/>
  <c r="P162" i="1"/>
  <c r="N162" i="1"/>
  <c r="P114" i="1"/>
  <c r="N114" i="1"/>
  <c r="P2518" i="1"/>
  <c r="N2518" i="1"/>
  <c r="P2454" i="1"/>
  <c r="N2454" i="1"/>
  <c r="P2406" i="1"/>
  <c r="N2406" i="1"/>
  <c r="P2334" i="1"/>
  <c r="N2334" i="1"/>
  <c r="P2294" i="1"/>
  <c r="N2294" i="1"/>
  <c r="P2246" i="1"/>
  <c r="N2246" i="1"/>
  <c r="P2206" i="1"/>
  <c r="N2206" i="1"/>
  <c r="P2166" i="1"/>
  <c r="N2166" i="1"/>
  <c r="P2102" i="1"/>
  <c r="N2102" i="1"/>
  <c r="P2054" i="1"/>
  <c r="N2054" i="1"/>
  <c r="P2006" i="1"/>
  <c r="N2006" i="1"/>
  <c r="P1966" i="1"/>
  <c r="N1966" i="1"/>
  <c r="P1918" i="1"/>
  <c r="N1918" i="1"/>
  <c r="P1838" i="1"/>
  <c r="N1838" i="1"/>
  <c r="P1790" i="1"/>
  <c r="N1790" i="1"/>
  <c r="P1734" i="1"/>
  <c r="N1734" i="1"/>
  <c r="P1686" i="1"/>
  <c r="N1686" i="1"/>
  <c r="P1646" i="1"/>
  <c r="N1646" i="1"/>
  <c r="P1566" i="1"/>
  <c r="N1566" i="1"/>
  <c r="P1102" i="1"/>
  <c r="N1102" i="1"/>
  <c r="P990" i="1"/>
  <c r="N990" i="1"/>
  <c r="P734" i="1"/>
  <c r="N734" i="1"/>
  <c r="P486" i="1"/>
  <c r="N486" i="1"/>
  <c r="P78" i="1"/>
  <c r="N78" i="1"/>
  <c r="P2477" i="1"/>
  <c r="N2477" i="1"/>
  <c r="P2421" i="1"/>
  <c r="N2421" i="1"/>
  <c r="P2349" i="1"/>
  <c r="N2349" i="1"/>
  <c r="P2285" i="1"/>
  <c r="N2285" i="1"/>
  <c r="P2221" i="1"/>
  <c r="N2221" i="1"/>
  <c r="P2157" i="1"/>
  <c r="N2157" i="1"/>
  <c r="P2085" i="1"/>
  <c r="N2085" i="1"/>
  <c r="P2005" i="1"/>
  <c r="N2005" i="1"/>
  <c r="P2484" i="1"/>
  <c r="N2484" i="1"/>
  <c r="P2436" i="1"/>
  <c r="N2436" i="1"/>
  <c r="P2396" i="1"/>
  <c r="N2396" i="1"/>
  <c r="P2356" i="1"/>
  <c r="N2356" i="1"/>
  <c r="P2308" i="1"/>
  <c r="N2308" i="1"/>
  <c r="P2260" i="1"/>
  <c r="N2260" i="1"/>
  <c r="P2220" i="1"/>
  <c r="N2220" i="1"/>
  <c r="P2188" i="1"/>
  <c r="N2188" i="1"/>
  <c r="P2148" i="1"/>
  <c r="N2148" i="1"/>
  <c r="P2100" i="1"/>
  <c r="N2100" i="1"/>
  <c r="P2036" i="1"/>
  <c r="N2036" i="1"/>
  <c r="P1988" i="1"/>
  <c r="N1988" i="1"/>
  <c r="P1932" i="1"/>
  <c r="N1932" i="1"/>
  <c r="P1788" i="1"/>
  <c r="N1788" i="1"/>
  <c r="P2522" i="1"/>
  <c r="N2522" i="1"/>
  <c r="P2474" i="1"/>
  <c r="N2474" i="1"/>
  <c r="P2450" i="1"/>
  <c r="N2450" i="1"/>
  <c r="P2418" i="1"/>
  <c r="N2418" i="1"/>
  <c r="P2386" i="1"/>
  <c r="N2386" i="1"/>
  <c r="P2354" i="1"/>
  <c r="N2354" i="1"/>
  <c r="P2314" i="1"/>
  <c r="N2314" i="1"/>
  <c r="P2290" i="1"/>
  <c r="N2290" i="1"/>
  <c r="P2258" i="1"/>
  <c r="N2258" i="1"/>
  <c r="P2234" i="1"/>
  <c r="N2234" i="1"/>
  <c r="P2210" i="1"/>
  <c r="N2210" i="1"/>
  <c r="P2154" i="1"/>
  <c r="N2154" i="1"/>
  <c r="P2122" i="1"/>
  <c r="N2122" i="1"/>
  <c r="P2090" i="1"/>
  <c r="N2090" i="1"/>
  <c r="P2058" i="1"/>
  <c r="N2058" i="1"/>
  <c r="P2026" i="1"/>
  <c r="N2026" i="1"/>
  <c r="P1994" i="1"/>
  <c r="N1994" i="1"/>
  <c r="P1962" i="1"/>
  <c r="N1962" i="1"/>
  <c r="P1930" i="1"/>
  <c r="N1930" i="1"/>
  <c r="P1890" i="1"/>
  <c r="N1890" i="1"/>
  <c r="P1786" i="1"/>
  <c r="N1786" i="1"/>
  <c r="P2529" i="1"/>
  <c r="N2529" i="1"/>
  <c r="P2513" i="1"/>
  <c r="N2513" i="1"/>
  <c r="P2497" i="1"/>
  <c r="N2497" i="1"/>
  <c r="P2473" i="1"/>
  <c r="N2473" i="1"/>
  <c r="P2457" i="1"/>
  <c r="N2457" i="1"/>
  <c r="P2441" i="1"/>
  <c r="N2441" i="1"/>
  <c r="P2433" i="1"/>
  <c r="N2433" i="1"/>
  <c r="P2417" i="1"/>
  <c r="N2417" i="1"/>
  <c r="P1145" i="1"/>
  <c r="N1145" i="1"/>
  <c r="P1121" i="1"/>
  <c r="N1121" i="1"/>
  <c r="P1081" i="1"/>
  <c r="N1081" i="1"/>
  <c r="P1073" i="1"/>
  <c r="N1073" i="1"/>
  <c r="P1017" i="1"/>
  <c r="N1017" i="1"/>
  <c r="P1009" i="1"/>
  <c r="N1009" i="1"/>
  <c r="P889" i="1"/>
  <c r="N889" i="1"/>
  <c r="P881" i="1"/>
  <c r="N881" i="1"/>
  <c r="P825" i="1"/>
  <c r="N825" i="1"/>
  <c r="N817" i="1"/>
  <c r="P817" i="1"/>
  <c r="P761" i="1"/>
  <c r="N761" i="1"/>
  <c r="P753" i="1"/>
  <c r="N753" i="1"/>
  <c r="P625" i="1"/>
  <c r="N625" i="1"/>
  <c r="P593" i="1"/>
  <c r="N593" i="1"/>
  <c r="P561" i="1"/>
  <c r="N561" i="1"/>
  <c r="P497" i="1"/>
  <c r="N497" i="1"/>
  <c r="P465" i="1"/>
  <c r="N465" i="1"/>
  <c r="P409" i="1"/>
  <c r="N409" i="1"/>
  <c r="P353" i="1"/>
  <c r="N353" i="1"/>
  <c r="P297" i="1"/>
  <c r="N297" i="1"/>
  <c r="P281" i="1"/>
  <c r="N281" i="1"/>
  <c r="P225" i="1"/>
  <c r="N225" i="1"/>
  <c r="P25" i="1"/>
  <c r="N25" i="1"/>
  <c r="P2486" i="1"/>
  <c r="N2486" i="1"/>
  <c r="P2374" i="1"/>
  <c r="N2374" i="1"/>
  <c r="P1974" i="1"/>
  <c r="N1974" i="1"/>
  <c r="P1910" i="1"/>
  <c r="N1910" i="1"/>
  <c r="P1846" i="1"/>
  <c r="N1846" i="1"/>
  <c r="P1798" i="1"/>
  <c r="N1798" i="1"/>
  <c r="P1750" i="1"/>
  <c r="N1750" i="1"/>
  <c r="P1694" i="1"/>
  <c r="N1694" i="1"/>
  <c r="P1590" i="1"/>
  <c r="N1590" i="1"/>
  <c r="P1166" i="1"/>
  <c r="N1166" i="1"/>
  <c r="P998" i="1"/>
  <c r="N998" i="1"/>
  <c r="P862" i="1"/>
  <c r="N862" i="1"/>
  <c r="P2485" i="1"/>
  <c r="N2485" i="1"/>
  <c r="P2445" i="1"/>
  <c r="N2445" i="1"/>
  <c r="P2381" i="1"/>
  <c r="N2381" i="1"/>
  <c r="P2325" i="1"/>
  <c r="N2325" i="1"/>
  <c r="P2245" i="1"/>
  <c r="N2245" i="1"/>
  <c r="P2173" i="1"/>
  <c r="N2173" i="1"/>
  <c r="P2109" i="1"/>
  <c r="N2109" i="1"/>
  <c r="P2069" i="1"/>
  <c r="N2069" i="1"/>
  <c r="P2524" i="1"/>
  <c r="N2524" i="1"/>
  <c r="P2468" i="1"/>
  <c r="N2468" i="1"/>
  <c r="P2428" i="1"/>
  <c r="N2428" i="1"/>
  <c r="P2380" i="1"/>
  <c r="N2380" i="1"/>
  <c r="P2340" i="1"/>
  <c r="N2340" i="1"/>
  <c r="P2300" i="1"/>
  <c r="N2300" i="1"/>
  <c r="P2244" i="1"/>
  <c r="N2244" i="1"/>
  <c r="P2196" i="1"/>
  <c r="N2196" i="1"/>
  <c r="P2156" i="1"/>
  <c r="N2156" i="1"/>
  <c r="P2108" i="1"/>
  <c r="N2108" i="1"/>
  <c r="P2060" i="1"/>
  <c r="N2060" i="1"/>
  <c r="P2020" i="1"/>
  <c r="N2020" i="1"/>
  <c r="P1972" i="1"/>
  <c r="N1972" i="1"/>
  <c r="P1916" i="1"/>
  <c r="N1916" i="1"/>
  <c r="P1772" i="1"/>
  <c r="N1772" i="1"/>
  <c r="P2514" i="1"/>
  <c r="N2514" i="1"/>
  <c r="P2482" i="1"/>
  <c r="N2482" i="1"/>
  <c r="P2458" i="1"/>
  <c r="N2458" i="1"/>
  <c r="P2410" i="1"/>
  <c r="N2410" i="1"/>
  <c r="P2370" i="1"/>
  <c r="N2370" i="1"/>
  <c r="P2338" i="1"/>
  <c r="N2338" i="1"/>
  <c r="P2298" i="1"/>
  <c r="N2298" i="1"/>
  <c r="P2274" i="1"/>
  <c r="N2274" i="1"/>
  <c r="P2226" i="1"/>
  <c r="N2226" i="1"/>
  <c r="P2186" i="1"/>
  <c r="N2186" i="1"/>
  <c r="P2162" i="1"/>
  <c r="N2162" i="1"/>
  <c r="P2130" i="1"/>
  <c r="N2130" i="1"/>
  <c r="P2098" i="1"/>
  <c r="N2098" i="1"/>
  <c r="P2066" i="1"/>
  <c r="N2066" i="1"/>
  <c r="P2034" i="1"/>
  <c r="N2034" i="1"/>
  <c r="P2002" i="1"/>
  <c r="N2002" i="1"/>
  <c r="P1970" i="1"/>
  <c r="N1970" i="1"/>
  <c r="P1938" i="1"/>
  <c r="N1938" i="1"/>
  <c r="P1906" i="1"/>
  <c r="N1906" i="1"/>
  <c r="P1874" i="1"/>
  <c r="N1874" i="1"/>
  <c r="P1778" i="1"/>
  <c r="N1778" i="1"/>
  <c r="P2521" i="1"/>
  <c r="N2521" i="1"/>
  <c r="P2505" i="1"/>
  <c r="N2505" i="1"/>
  <c r="P2481" i="1"/>
  <c r="N2481" i="1"/>
  <c r="P2465" i="1"/>
  <c r="N2465" i="1"/>
  <c r="P2449" i="1"/>
  <c r="N2449" i="1"/>
  <c r="P1136" i="1"/>
  <c r="N1136" i="1"/>
  <c r="P1128" i="1"/>
  <c r="N1128" i="1"/>
  <c r="P1112" i="1"/>
  <c r="N1112" i="1"/>
  <c r="P1072" i="1"/>
  <c r="N1072" i="1"/>
  <c r="P1064" i="1"/>
  <c r="N1064" i="1"/>
  <c r="P1008" i="1"/>
  <c r="N1008" i="1"/>
  <c r="P1000" i="1"/>
  <c r="N1000" i="1"/>
  <c r="P944" i="1"/>
  <c r="N944" i="1"/>
  <c r="P936" i="1"/>
  <c r="N936" i="1"/>
  <c r="P880" i="1"/>
  <c r="N880" i="1"/>
  <c r="P872" i="1"/>
  <c r="N872" i="1"/>
  <c r="P816" i="1"/>
  <c r="N816" i="1"/>
  <c r="P808" i="1"/>
  <c r="N808" i="1"/>
  <c r="P752" i="1"/>
  <c r="N752" i="1"/>
  <c r="P744" i="1"/>
  <c r="N744" i="1"/>
  <c r="P688" i="1"/>
  <c r="N688" i="1"/>
  <c r="N1622" i="1"/>
  <c r="P1622" i="1"/>
  <c r="P2527" i="1"/>
  <c r="N2527" i="1"/>
  <c r="P2519" i="1"/>
  <c r="N2519" i="1"/>
  <c r="P2511" i="1"/>
  <c r="N2511" i="1"/>
  <c r="P2503" i="1"/>
  <c r="N2503" i="1"/>
  <c r="P2495" i="1"/>
  <c r="N2495" i="1"/>
  <c r="P2487" i="1"/>
  <c r="N2487" i="1"/>
  <c r="P2471" i="1"/>
  <c r="N2471" i="1"/>
  <c r="P2463" i="1"/>
  <c r="N2463" i="1"/>
  <c r="P2455" i="1"/>
  <c r="N2455" i="1"/>
  <c r="P2447" i="1"/>
  <c r="N2447" i="1"/>
  <c r="P2439" i="1"/>
  <c r="N2439" i="1"/>
  <c r="P2431" i="1"/>
  <c r="N2431" i="1"/>
  <c r="P2423" i="1"/>
  <c r="N2423" i="1"/>
  <c r="P2407" i="1"/>
  <c r="N2407" i="1"/>
  <c r="P2399" i="1"/>
  <c r="N2399" i="1"/>
  <c r="P2391" i="1"/>
  <c r="N2391" i="1"/>
  <c r="P2375" i="1"/>
  <c r="N2375" i="1"/>
  <c r="P2367" i="1"/>
  <c r="N2367" i="1"/>
  <c r="P2359" i="1"/>
  <c r="N2359" i="1"/>
  <c r="P2343" i="1"/>
  <c r="N2343" i="1"/>
  <c r="P2335" i="1"/>
  <c r="N2335" i="1"/>
  <c r="P2327" i="1"/>
  <c r="N2327" i="1"/>
  <c r="P2319" i="1"/>
  <c r="N2319" i="1"/>
  <c r="P2311" i="1"/>
  <c r="N2311" i="1"/>
  <c r="P2303" i="1"/>
  <c r="N2303" i="1"/>
  <c r="P2295" i="1"/>
  <c r="N2295" i="1"/>
  <c r="P2287" i="1"/>
  <c r="N2287" i="1"/>
  <c r="P2271" i="1"/>
  <c r="N2271" i="1"/>
  <c r="P2263" i="1"/>
  <c r="N2263" i="1"/>
  <c r="P2255" i="1"/>
  <c r="N2255" i="1"/>
  <c r="P2247" i="1"/>
  <c r="N2247" i="1"/>
  <c r="P2239" i="1"/>
  <c r="N2239" i="1"/>
  <c r="P2231" i="1"/>
  <c r="N2231" i="1"/>
  <c r="P2223" i="1"/>
  <c r="N2223" i="1"/>
  <c r="P2207" i="1"/>
  <c r="N2207" i="1"/>
  <c r="P2199" i="1"/>
  <c r="N2199" i="1"/>
  <c r="P2191" i="1"/>
  <c r="N2191" i="1"/>
  <c r="P2183" i="1"/>
  <c r="N2183" i="1"/>
  <c r="P2175" i="1"/>
  <c r="N2175" i="1"/>
  <c r="N2167" i="1"/>
  <c r="P2167" i="1"/>
  <c r="P2159" i="1"/>
  <c r="N2159" i="1"/>
  <c r="P2143" i="1"/>
  <c r="N2143" i="1"/>
  <c r="P2135" i="1"/>
  <c r="N2135" i="1"/>
  <c r="P2127" i="1"/>
  <c r="N2127" i="1"/>
  <c r="P2119" i="1"/>
  <c r="N2119" i="1"/>
  <c r="P2111" i="1"/>
  <c r="N2111" i="1"/>
  <c r="P2103" i="1"/>
  <c r="N2103" i="1"/>
  <c r="P2095" i="1"/>
  <c r="N2095" i="1"/>
  <c r="P2079" i="1"/>
  <c r="N2079" i="1"/>
  <c r="P2071" i="1"/>
  <c r="N2071" i="1"/>
  <c r="P2063" i="1"/>
  <c r="N2063" i="1"/>
  <c r="P2055" i="1"/>
  <c r="N2055" i="1"/>
  <c r="P2047" i="1"/>
  <c r="N2047" i="1"/>
  <c r="P2039" i="1"/>
  <c r="N2039" i="1"/>
  <c r="P2031" i="1"/>
  <c r="N2031" i="1"/>
  <c r="P2015" i="1"/>
  <c r="N2015" i="1"/>
  <c r="P2007" i="1"/>
  <c r="N2007" i="1"/>
  <c r="P1999" i="1"/>
  <c r="N1999" i="1"/>
  <c r="P1991" i="1"/>
  <c r="N1991" i="1"/>
  <c r="P1983" i="1"/>
  <c r="N1983" i="1"/>
  <c r="P1975" i="1"/>
  <c r="N1975" i="1"/>
  <c r="P1967" i="1"/>
  <c r="N1967" i="1"/>
  <c r="P1951" i="1"/>
  <c r="N1951" i="1"/>
  <c r="P1943" i="1"/>
  <c r="N1943" i="1"/>
  <c r="P1935" i="1"/>
  <c r="N1935" i="1"/>
  <c r="P1927" i="1"/>
  <c r="N1927" i="1"/>
  <c r="P1919" i="1"/>
  <c r="N1919" i="1"/>
  <c r="P1911" i="1"/>
  <c r="N1911" i="1"/>
  <c r="P1903" i="1"/>
  <c r="N1903" i="1"/>
  <c r="P1887" i="1"/>
  <c r="N1887" i="1"/>
  <c r="P1879" i="1"/>
  <c r="N1879" i="1"/>
  <c r="N1871" i="1"/>
  <c r="P1871" i="1"/>
  <c r="P1863" i="1"/>
  <c r="N1863" i="1"/>
  <c r="P1855" i="1"/>
  <c r="N1855" i="1"/>
  <c r="P1847" i="1"/>
  <c r="N1847" i="1"/>
  <c r="P1839" i="1"/>
  <c r="N1839" i="1"/>
  <c r="P1823" i="1"/>
  <c r="N1823" i="1"/>
  <c r="P1815" i="1"/>
  <c r="N1815" i="1"/>
  <c r="P1807" i="1"/>
  <c r="N1807" i="1"/>
  <c r="P1799" i="1"/>
  <c r="N1799" i="1"/>
  <c r="P1791" i="1"/>
  <c r="N1791" i="1"/>
  <c r="P1783" i="1"/>
  <c r="N1783" i="1"/>
  <c r="P1775" i="1"/>
  <c r="N1775" i="1"/>
  <c r="P1759" i="1"/>
  <c r="N1759" i="1"/>
  <c r="P1751" i="1"/>
  <c r="N1751" i="1"/>
  <c r="P1743" i="1"/>
  <c r="N1743" i="1"/>
  <c r="P1735" i="1"/>
  <c r="N1735" i="1"/>
  <c r="P1727" i="1"/>
  <c r="N1727" i="1"/>
  <c r="P1719" i="1"/>
  <c r="N1719" i="1"/>
  <c r="P1711" i="1"/>
  <c r="N1711" i="1"/>
  <c r="P1695" i="1"/>
  <c r="N1695" i="1"/>
  <c r="P1687" i="1"/>
  <c r="N1687" i="1"/>
  <c r="P1679" i="1"/>
  <c r="N1679" i="1"/>
  <c r="P1671" i="1"/>
  <c r="N1671" i="1"/>
  <c r="P1663" i="1"/>
  <c r="N1663" i="1"/>
  <c r="P1655" i="1"/>
  <c r="N1655" i="1"/>
  <c r="P1647" i="1"/>
  <c r="N1647" i="1"/>
  <c r="P1631" i="1"/>
  <c r="N1631" i="1"/>
  <c r="P1623" i="1"/>
  <c r="N1623" i="1"/>
  <c r="P1615" i="1"/>
  <c r="N1615" i="1"/>
  <c r="P1607" i="1"/>
  <c r="N1607" i="1"/>
  <c r="P1599" i="1"/>
  <c r="N1599" i="1"/>
  <c r="P1591" i="1"/>
  <c r="N1591" i="1"/>
  <c r="P1583" i="1"/>
  <c r="N1583" i="1"/>
  <c r="P1567" i="1"/>
  <c r="N1567" i="1"/>
  <c r="P1551" i="1"/>
  <c r="N1551" i="1"/>
  <c r="P1535" i="1"/>
  <c r="N1535" i="1"/>
  <c r="P1519" i="1"/>
  <c r="N1519" i="1"/>
  <c r="P1511" i="1"/>
  <c r="N1511" i="1"/>
  <c r="P1503" i="1"/>
  <c r="N1503" i="1"/>
  <c r="P1495" i="1"/>
  <c r="N1495" i="1"/>
  <c r="P1487" i="1"/>
  <c r="N1487" i="1"/>
  <c r="P1479" i="1"/>
  <c r="N1479" i="1"/>
  <c r="P1471" i="1"/>
  <c r="N1471" i="1"/>
  <c r="P1455" i="1"/>
  <c r="N1455" i="1"/>
  <c r="P1447" i="1"/>
  <c r="N1447" i="1"/>
  <c r="P1439" i="1"/>
  <c r="N1439" i="1"/>
  <c r="P1431" i="1"/>
  <c r="N1431" i="1"/>
  <c r="P1423" i="1"/>
  <c r="N1423" i="1"/>
  <c r="P1415" i="1"/>
  <c r="N1415" i="1"/>
  <c r="P1407" i="1"/>
  <c r="N1407" i="1"/>
  <c r="P1391" i="1"/>
  <c r="N1391" i="1"/>
  <c r="P1383" i="1"/>
  <c r="N1383" i="1"/>
  <c r="P1375" i="1"/>
  <c r="N1375" i="1"/>
  <c r="P1367" i="1"/>
  <c r="N1367" i="1"/>
  <c r="P1359" i="1"/>
  <c r="N1359" i="1"/>
  <c r="P1351" i="1"/>
  <c r="N1351" i="1"/>
  <c r="P1343" i="1"/>
  <c r="N1343" i="1"/>
  <c r="P1327" i="1"/>
  <c r="N1327" i="1"/>
  <c r="P1319" i="1"/>
  <c r="N1319" i="1"/>
  <c r="P1311" i="1"/>
  <c r="N1311" i="1"/>
  <c r="P1303" i="1"/>
  <c r="N1303" i="1"/>
  <c r="P1295" i="1"/>
  <c r="N1295" i="1"/>
  <c r="P1287" i="1"/>
  <c r="N1287" i="1"/>
  <c r="P1279" i="1"/>
  <c r="N1279" i="1"/>
  <c r="P1263" i="1"/>
  <c r="N1263" i="1"/>
  <c r="P1255" i="1"/>
  <c r="N1255" i="1"/>
  <c r="P1247" i="1"/>
  <c r="N1247" i="1"/>
  <c r="P1239" i="1"/>
  <c r="N1239" i="1"/>
  <c r="P1231" i="1"/>
  <c r="N1231" i="1"/>
  <c r="P1223" i="1"/>
  <c r="N1223" i="1"/>
  <c r="P1215" i="1"/>
  <c r="N1215" i="1"/>
  <c r="P1199" i="1"/>
  <c r="N1199" i="1"/>
  <c r="P1191" i="1"/>
  <c r="N1191" i="1"/>
  <c r="P1183" i="1"/>
  <c r="N1183" i="1"/>
  <c r="P1175" i="1"/>
  <c r="N1175" i="1"/>
  <c r="P423" i="1"/>
  <c r="N423" i="1"/>
  <c r="P407" i="1"/>
  <c r="N407" i="1"/>
  <c r="P351" i="1"/>
  <c r="N351" i="1"/>
  <c r="P295" i="1"/>
  <c r="N295" i="1"/>
  <c r="P279" i="1"/>
  <c r="N279" i="1"/>
  <c r="P223" i="1"/>
  <c r="N223" i="1"/>
  <c r="P127" i="1"/>
  <c r="N127" i="1"/>
  <c r="P95" i="1"/>
  <c r="N95" i="1"/>
  <c r="P2480" i="1"/>
  <c r="N2480" i="1"/>
  <c r="P2424" i="1"/>
  <c r="N2424" i="1"/>
  <c r="P2368" i="1"/>
  <c r="N2368" i="1"/>
  <c r="P2320" i="1"/>
  <c r="N2320" i="1"/>
  <c r="P2280" i="1"/>
  <c r="N2280" i="1"/>
  <c r="P2224" i="1"/>
  <c r="N2224" i="1"/>
  <c r="P2184" i="1"/>
  <c r="N2184" i="1"/>
  <c r="P2144" i="1"/>
  <c r="N2144" i="1"/>
  <c r="P2080" i="1"/>
  <c r="N2080" i="1"/>
  <c r="P2024" i="1"/>
  <c r="N2024" i="1"/>
  <c r="P1976" i="1"/>
  <c r="N1976" i="1"/>
  <c r="P1920" i="1"/>
  <c r="N1920" i="1"/>
  <c r="P1864" i="1"/>
  <c r="N1864" i="1"/>
  <c r="P1816" i="1"/>
  <c r="N1816" i="1"/>
  <c r="P1760" i="1"/>
  <c r="N1760" i="1"/>
  <c r="P1712" i="1"/>
  <c r="N1712" i="1"/>
  <c r="P1672" i="1"/>
  <c r="N1672" i="1"/>
  <c r="P1624" i="1"/>
  <c r="N1624" i="1"/>
  <c r="P1584" i="1"/>
  <c r="N1584" i="1"/>
  <c r="P1520" i="1"/>
  <c r="N1520" i="1"/>
  <c r="P1456" i="1"/>
  <c r="N1456" i="1"/>
  <c r="P1400" i="1"/>
  <c r="N1400" i="1"/>
  <c r="P1336" i="1"/>
  <c r="N1336" i="1"/>
  <c r="P1280" i="1"/>
  <c r="N1280" i="1"/>
  <c r="P1224" i="1"/>
  <c r="N1224" i="1"/>
  <c r="P1168" i="1"/>
  <c r="N1168" i="1"/>
  <c r="P1104" i="1"/>
  <c r="N1104" i="1"/>
  <c r="P1056" i="1"/>
  <c r="N1056" i="1"/>
  <c r="P992" i="1"/>
  <c r="N992" i="1"/>
  <c r="P920" i="1"/>
  <c r="N920" i="1"/>
  <c r="P856" i="1"/>
  <c r="N856" i="1"/>
  <c r="P736" i="1"/>
  <c r="N736" i="1"/>
  <c r="P672" i="1"/>
  <c r="N672" i="1"/>
  <c r="P624" i="1"/>
  <c r="N624" i="1"/>
  <c r="P568" i="1"/>
  <c r="N568" i="1"/>
  <c r="P504" i="1"/>
  <c r="N504" i="1"/>
  <c r="P448" i="1"/>
  <c r="N448" i="1"/>
  <c r="P392" i="1"/>
  <c r="N392" i="1"/>
  <c r="P328" i="1"/>
  <c r="N328" i="1"/>
  <c r="P280" i="1"/>
  <c r="N280" i="1"/>
  <c r="P224" i="1"/>
  <c r="N224" i="1"/>
  <c r="P176" i="1"/>
  <c r="N176" i="1"/>
  <c r="P120" i="1"/>
  <c r="N120" i="1"/>
  <c r="P72" i="1"/>
  <c r="N72" i="1"/>
  <c r="P24" i="1"/>
  <c r="N24" i="1"/>
  <c r="P2525" i="1"/>
  <c r="N2525" i="1"/>
  <c r="P2470" i="1"/>
  <c r="N2470" i="1"/>
  <c r="P2425" i="1"/>
  <c r="N2425" i="1"/>
  <c r="P2363" i="1"/>
  <c r="N2363" i="1"/>
  <c r="P2306" i="1"/>
  <c r="N2306" i="1"/>
  <c r="P2242" i="1"/>
  <c r="N2242" i="1"/>
  <c r="P2190" i="1"/>
  <c r="N2190" i="1"/>
  <c r="P2114" i="1"/>
  <c r="N2114" i="1"/>
  <c r="P2050" i="1"/>
  <c r="N2050" i="1"/>
  <c r="P1986" i="1"/>
  <c r="N1986" i="1"/>
  <c r="P1922" i="1"/>
  <c r="N1922" i="1"/>
  <c r="P1858" i="1"/>
  <c r="N1858" i="1"/>
  <c r="P1781" i="1"/>
  <c r="N1781" i="1"/>
  <c r="N1703" i="1"/>
  <c r="P1703" i="1"/>
  <c r="P1653" i="1"/>
  <c r="N1653" i="1"/>
  <c r="P1575" i="1"/>
  <c r="N1575" i="1"/>
  <c r="P1463" i="1"/>
  <c r="N1463" i="1"/>
  <c r="P1139" i="1"/>
  <c r="N1139" i="1"/>
  <c r="P989" i="1"/>
  <c r="N989" i="1"/>
  <c r="P697" i="1"/>
  <c r="N697" i="1"/>
  <c r="P571" i="1"/>
  <c r="N571" i="1"/>
  <c r="P381" i="1"/>
  <c r="N381" i="1"/>
  <c r="P210" i="1"/>
  <c r="N210" i="1"/>
  <c r="P9" i="1"/>
  <c r="N9" i="1"/>
  <c r="P847" i="1"/>
  <c r="N847" i="1"/>
  <c r="P823" i="1"/>
  <c r="N823" i="1"/>
  <c r="P799" i="1"/>
  <c r="N799" i="1"/>
  <c r="P775" i="1"/>
  <c r="N775" i="1"/>
  <c r="P751" i="1"/>
  <c r="N751" i="1"/>
  <c r="P711" i="1"/>
  <c r="N711" i="1"/>
  <c r="P687" i="1"/>
  <c r="N687" i="1"/>
  <c r="P663" i="1"/>
  <c r="N663" i="1"/>
  <c r="P639" i="1"/>
  <c r="N639" i="1"/>
  <c r="P615" i="1"/>
  <c r="N615" i="1"/>
  <c r="P591" i="1"/>
  <c r="N591" i="1"/>
  <c r="P567" i="1"/>
  <c r="N567" i="1"/>
  <c r="P543" i="1"/>
  <c r="N543" i="1"/>
  <c r="P519" i="1"/>
  <c r="N519" i="1"/>
  <c r="P495" i="1"/>
  <c r="N495" i="1"/>
  <c r="P471" i="1"/>
  <c r="N471" i="1"/>
  <c r="P447" i="1"/>
  <c r="N447" i="1"/>
  <c r="P415" i="1"/>
  <c r="N415" i="1"/>
  <c r="P383" i="1"/>
  <c r="N383" i="1"/>
  <c r="P359" i="1"/>
  <c r="N359" i="1"/>
  <c r="P335" i="1"/>
  <c r="N335" i="1"/>
  <c r="P303" i="1"/>
  <c r="N303" i="1"/>
  <c r="P271" i="1"/>
  <c r="N271" i="1"/>
  <c r="P247" i="1"/>
  <c r="N247" i="1"/>
  <c r="P215" i="1"/>
  <c r="N215" i="1"/>
  <c r="P191" i="1"/>
  <c r="N191" i="1"/>
  <c r="P167" i="1"/>
  <c r="N167" i="1"/>
  <c r="P143" i="1"/>
  <c r="N143" i="1"/>
  <c r="P119" i="1"/>
  <c r="N119" i="1"/>
  <c r="P87" i="1"/>
  <c r="N87" i="1"/>
  <c r="P63" i="1"/>
  <c r="N63" i="1"/>
  <c r="P39" i="1"/>
  <c r="N39" i="1"/>
  <c r="P7" i="1"/>
  <c r="N7" i="1"/>
  <c r="P2533" i="1"/>
  <c r="N2533" i="1"/>
  <c r="P2478" i="1"/>
  <c r="N2478" i="1"/>
  <c r="P2469" i="1"/>
  <c r="N2469" i="1"/>
  <c r="P2442" i="1"/>
  <c r="N2442" i="1"/>
  <c r="P2414" i="1"/>
  <c r="N2414" i="1"/>
  <c r="P2394" i="1"/>
  <c r="N2394" i="1"/>
  <c r="P2382" i="1"/>
  <c r="N2382" i="1"/>
  <c r="P2362" i="1"/>
  <c r="N2362" i="1"/>
  <c r="P2350" i="1"/>
  <c r="N2350" i="1"/>
  <c r="P2317" i="1"/>
  <c r="N2317" i="1"/>
  <c r="N2278" i="1"/>
  <c r="P2278" i="1"/>
  <c r="P2266" i="1"/>
  <c r="N2266" i="1"/>
  <c r="P2253" i="1"/>
  <c r="N2253" i="1"/>
  <c r="P2214" i="1"/>
  <c r="N2214" i="1"/>
  <c r="P2202" i="1"/>
  <c r="N2202" i="1"/>
  <c r="P2189" i="1"/>
  <c r="N2189" i="1"/>
  <c r="P2150" i="1"/>
  <c r="N2150" i="1"/>
  <c r="P2138" i="1"/>
  <c r="N2138" i="1"/>
  <c r="P2125" i="1"/>
  <c r="N2125" i="1"/>
  <c r="P2086" i="1"/>
  <c r="N2086" i="1"/>
  <c r="P2074" i="1"/>
  <c r="N2074" i="1"/>
  <c r="P2022" i="1"/>
  <c r="N2022" i="1"/>
  <c r="P2010" i="1"/>
  <c r="N2010" i="1"/>
  <c r="P1997" i="1"/>
  <c r="N1997" i="1"/>
  <c r="P1958" i="1"/>
  <c r="N1958" i="1"/>
  <c r="P1946" i="1"/>
  <c r="N1946" i="1"/>
  <c r="P1933" i="1"/>
  <c r="N1933" i="1"/>
  <c r="P1894" i="1"/>
  <c r="N1894" i="1"/>
  <c r="P1882" i="1"/>
  <c r="N1882" i="1"/>
  <c r="P1869" i="1"/>
  <c r="N1869" i="1"/>
  <c r="N1830" i="1"/>
  <c r="P1830" i="1"/>
  <c r="P1818" i="1"/>
  <c r="N1818" i="1"/>
  <c r="P1805" i="1"/>
  <c r="N1805" i="1"/>
  <c r="N1766" i="1"/>
  <c r="P1766" i="1"/>
  <c r="P1754" i="1"/>
  <c r="N1754" i="1"/>
  <c r="P1741" i="1"/>
  <c r="N1741" i="1"/>
  <c r="N1702" i="1"/>
  <c r="P1702" i="1"/>
  <c r="P1690" i="1"/>
  <c r="N1690" i="1"/>
  <c r="P1677" i="1"/>
  <c r="N1677" i="1"/>
  <c r="P1638" i="1"/>
  <c r="N1638" i="1"/>
  <c r="P1626" i="1"/>
  <c r="N1626" i="1"/>
  <c r="P1613" i="1"/>
  <c r="N1613" i="1"/>
  <c r="P1574" i="1"/>
  <c r="N1574" i="1"/>
  <c r="P1558" i="1"/>
  <c r="N1558" i="1"/>
  <c r="P1542" i="1"/>
  <c r="N1542" i="1"/>
  <c r="P1525" i="1"/>
  <c r="N1525" i="1"/>
  <c r="P1461" i="1"/>
  <c r="N1461" i="1"/>
  <c r="P1397" i="1"/>
  <c r="N1397" i="1"/>
  <c r="P1333" i="1"/>
  <c r="N1333" i="1"/>
  <c r="P1269" i="1"/>
  <c r="N1269" i="1"/>
  <c r="P1205" i="1"/>
  <c r="N1205" i="1"/>
  <c r="P1163" i="1"/>
  <c r="N1163" i="1"/>
  <c r="P1137" i="1"/>
  <c r="N1137" i="1"/>
  <c r="P1090" i="1"/>
  <c r="N1090" i="1"/>
  <c r="P1054" i="1"/>
  <c r="N1054" i="1"/>
  <c r="P1018" i="1"/>
  <c r="N1018" i="1"/>
  <c r="P981" i="1"/>
  <c r="N981" i="1"/>
  <c r="P945" i="1"/>
  <c r="N945" i="1"/>
  <c r="P835" i="1"/>
  <c r="N835" i="1"/>
  <c r="P798" i="1"/>
  <c r="N798" i="1"/>
  <c r="P762" i="1"/>
  <c r="N762" i="1"/>
  <c r="P725" i="1"/>
  <c r="N725" i="1"/>
  <c r="P689" i="1"/>
  <c r="N689" i="1"/>
  <c r="P646" i="1"/>
  <c r="N646" i="1"/>
  <c r="P604" i="1"/>
  <c r="N604" i="1"/>
  <c r="P562" i="1"/>
  <c r="N562" i="1"/>
  <c r="P518" i="1"/>
  <c r="N518" i="1"/>
  <c r="P476" i="1"/>
  <c r="N476" i="1"/>
  <c r="P425" i="1"/>
  <c r="N425" i="1"/>
  <c r="P366" i="1"/>
  <c r="N366" i="1"/>
  <c r="P310" i="1"/>
  <c r="N310" i="1"/>
  <c r="N254" i="1"/>
  <c r="P254" i="1"/>
  <c r="P196" i="1"/>
  <c r="N196" i="1"/>
  <c r="P130" i="1"/>
  <c r="N130" i="1"/>
  <c r="P62" i="1"/>
  <c r="N62" i="1"/>
  <c r="N2281" i="1"/>
  <c r="P2512" i="1"/>
  <c r="N2512" i="1"/>
  <c r="P2472" i="1"/>
  <c r="N2472" i="1"/>
  <c r="P2416" i="1"/>
  <c r="N2416" i="1"/>
  <c r="P2360" i="1"/>
  <c r="N2360" i="1"/>
  <c r="P2312" i="1"/>
  <c r="N2312" i="1"/>
  <c r="P2264" i="1"/>
  <c r="N2264" i="1"/>
  <c r="P2208" i="1"/>
  <c r="N2208" i="1"/>
  <c r="P2152" i="1"/>
  <c r="N2152" i="1"/>
  <c r="P2096" i="1"/>
  <c r="N2096" i="1"/>
  <c r="P2040" i="1"/>
  <c r="N2040" i="1"/>
  <c r="P1992" i="1"/>
  <c r="N1992" i="1"/>
  <c r="P1936" i="1"/>
  <c r="N1936" i="1"/>
  <c r="P1888" i="1"/>
  <c r="N1888" i="1"/>
  <c r="P1840" i="1"/>
  <c r="N1840" i="1"/>
  <c r="P1784" i="1"/>
  <c r="N1784" i="1"/>
  <c r="P1720" i="1"/>
  <c r="N1720" i="1"/>
  <c r="P1688" i="1"/>
  <c r="N1688" i="1"/>
  <c r="P1632" i="1"/>
  <c r="N1632" i="1"/>
  <c r="P1600" i="1"/>
  <c r="N1600" i="1"/>
  <c r="P1544" i="1"/>
  <c r="N1544" i="1"/>
  <c r="P1488" i="1"/>
  <c r="N1488" i="1"/>
  <c r="P1432" i="1"/>
  <c r="N1432" i="1"/>
  <c r="P1368" i="1"/>
  <c r="N1368" i="1"/>
  <c r="P1312" i="1"/>
  <c r="N1312" i="1"/>
  <c r="P1264" i="1"/>
  <c r="N1264" i="1"/>
  <c r="P1200" i="1"/>
  <c r="N1200" i="1"/>
  <c r="P1144" i="1"/>
  <c r="N1144" i="1"/>
  <c r="P1016" i="1"/>
  <c r="N1016" i="1"/>
  <c r="P896" i="1"/>
  <c r="N896" i="1"/>
  <c r="P840" i="1"/>
  <c r="N840" i="1"/>
  <c r="P784" i="1"/>
  <c r="N784" i="1"/>
  <c r="P720" i="1"/>
  <c r="N720" i="1"/>
  <c r="P664" i="1"/>
  <c r="N664" i="1"/>
  <c r="P608" i="1"/>
  <c r="N608" i="1"/>
  <c r="N552" i="1"/>
  <c r="P552" i="1"/>
  <c r="P496" i="1"/>
  <c r="N496" i="1"/>
  <c r="P440" i="1"/>
  <c r="N440" i="1"/>
  <c r="P384" i="1"/>
  <c r="N384" i="1"/>
  <c r="P336" i="1"/>
  <c r="N336" i="1"/>
  <c r="P296" i="1"/>
  <c r="N296" i="1"/>
  <c r="P248" i="1"/>
  <c r="N248" i="1"/>
  <c r="P192" i="1"/>
  <c r="N192" i="1"/>
  <c r="P136" i="1"/>
  <c r="N136" i="1"/>
  <c r="P64" i="1"/>
  <c r="N64" i="1"/>
  <c r="P8" i="1"/>
  <c r="N8" i="1"/>
  <c r="P2498" i="1"/>
  <c r="N2498" i="1"/>
  <c r="P2452" i="1"/>
  <c r="N2452" i="1"/>
  <c r="P2415" i="1"/>
  <c r="N2415" i="1"/>
  <c r="P2341" i="1"/>
  <c r="N2341" i="1"/>
  <c r="P2279" i="1"/>
  <c r="N2279" i="1"/>
  <c r="P2215" i="1"/>
  <c r="N2215" i="1"/>
  <c r="P2140" i="1"/>
  <c r="N2140" i="1"/>
  <c r="P2101" i="1"/>
  <c r="N2101" i="1"/>
  <c r="P2037" i="1"/>
  <c r="N2037" i="1"/>
  <c r="P1973" i="1"/>
  <c r="N1973" i="1"/>
  <c r="P1895" i="1"/>
  <c r="N1895" i="1"/>
  <c r="P1820" i="1"/>
  <c r="N1820" i="1"/>
  <c r="P1742" i="1"/>
  <c r="N1742" i="1"/>
  <c r="P1666" i="1"/>
  <c r="N1666" i="1"/>
  <c r="P1589" i="1"/>
  <c r="N1589" i="1"/>
  <c r="P1508" i="1"/>
  <c r="N1508" i="1"/>
  <c r="P1421" i="1"/>
  <c r="N1421" i="1"/>
  <c r="P1335" i="1"/>
  <c r="N1335" i="1"/>
  <c r="P1252" i="1"/>
  <c r="N1252" i="1"/>
  <c r="P1164" i="1"/>
  <c r="N1164" i="1"/>
  <c r="P1026" i="1"/>
  <c r="N1026" i="1"/>
  <c r="P806" i="1"/>
  <c r="N806" i="1"/>
  <c r="P1159" i="1"/>
  <c r="N1159" i="1"/>
  <c r="P1119" i="1"/>
  <c r="N1119" i="1"/>
  <c r="P1079" i="1"/>
  <c r="N1079" i="1"/>
  <c r="P1047" i="1"/>
  <c r="N1047" i="1"/>
  <c r="P1015" i="1"/>
  <c r="N1015" i="1"/>
  <c r="P983" i="1"/>
  <c r="N983" i="1"/>
  <c r="P967" i="1"/>
  <c r="N967" i="1"/>
  <c r="P943" i="1"/>
  <c r="N943" i="1"/>
  <c r="P927" i="1"/>
  <c r="N927" i="1"/>
  <c r="P911" i="1"/>
  <c r="N911" i="1"/>
  <c r="P895" i="1"/>
  <c r="N895" i="1"/>
  <c r="P879" i="1"/>
  <c r="N879" i="1"/>
  <c r="P863" i="1"/>
  <c r="N863" i="1"/>
  <c r="P839" i="1"/>
  <c r="N839" i="1"/>
  <c r="P815" i="1"/>
  <c r="N815" i="1"/>
  <c r="P791" i="1"/>
  <c r="N791" i="1"/>
  <c r="P767" i="1"/>
  <c r="N767" i="1"/>
  <c r="P719" i="1"/>
  <c r="N719" i="1"/>
  <c r="P695" i="1"/>
  <c r="N695" i="1"/>
  <c r="P671" i="1"/>
  <c r="N671" i="1"/>
  <c r="P647" i="1"/>
  <c r="N647" i="1"/>
  <c r="P623" i="1"/>
  <c r="N623" i="1"/>
  <c r="P599" i="1"/>
  <c r="N599" i="1"/>
  <c r="P575" i="1"/>
  <c r="N575" i="1"/>
  <c r="P551" i="1"/>
  <c r="N551" i="1"/>
  <c r="P535" i="1"/>
  <c r="N535" i="1"/>
  <c r="P511" i="1"/>
  <c r="N511" i="1"/>
  <c r="P487" i="1"/>
  <c r="N487" i="1"/>
  <c r="P463" i="1"/>
  <c r="N463" i="1"/>
  <c r="P439" i="1"/>
  <c r="N439" i="1"/>
  <c r="P391" i="1"/>
  <c r="N391" i="1"/>
  <c r="P367" i="1"/>
  <c r="N367" i="1"/>
  <c r="P343" i="1"/>
  <c r="N343" i="1"/>
  <c r="P319" i="1"/>
  <c r="N319" i="1"/>
  <c r="P287" i="1"/>
  <c r="N287" i="1"/>
  <c r="P263" i="1"/>
  <c r="N263" i="1"/>
  <c r="P239" i="1"/>
  <c r="N239" i="1"/>
  <c r="P199" i="1"/>
  <c r="N199" i="1"/>
  <c r="P175" i="1"/>
  <c r="N175" i="1"/>
  <c r="P151" i="1"/>
  <c r="N151" i="1"/>
  <c r="P103" i="1"/>
  <c r="N103" i="1"/>
  <c r="P79" i="1"/>
  <c r="N79" i="1"/>
  <c r="P55" i="1"/>
  <c r="N55" i="1"/>
  <c r="P31" i="1"/>
  <c r="N31" i="1"/>
  <c r="P15" i="1"/>
  <c r="N15" i="1"/>
  <c r="P2061" i="1"/>
  <c r="N2061" i="1"/>
  <c r="P1526" i="1"/>
  <c r="N1526" i="1"/>
  <c r="P1518" i="1"/>
  <c r="N1518" i="1"/>
  <c r="P1510" i="1"/>
  <c r="N1510" i="1"/>
  <c r="P1502" i="1"/>
  <c r="N1502" i="1"/>
  <c r="P1494" i="1"/>
  <c r="N1494" i="1"/>
  <c r="P1486" i="1"/>
  <c r="N1486" i="1"/>
  <c r="P1478" i="1"/>
  <c r="N1478" i="1"/>
  <c r="P1470" i="1"/>
  <c r="N1470" i="1"/>
  <c r="P1462" i="1"/>
  <c r="N1462" i="1"/>
  <c r="P1454" i="1"/>
  <c r="N1454" i="1"/>
  <c r="P1446" i="1"/>
  <c r="N1446" i="1"/>
  <c r="P1438" i="1"/>
  <c r="N1438" i="1"/>
  <c r="P1430" i="1"/>
  <c r="N1430" i="1"/>
  <c r="N1422" i="1"/>
  <c r="P1422" i="1"/>
  <c r="P1414" i="1"/>
  <c r="N1414" i="1"/>
  <c r="P1406" i="1"/>
  <c r="N1406" i="1"/>
  <c r="P1398" i="1"/>
  <c r="N1398" i="1"/>
  <c r="P1390" i="1"/>
  <c r="N1390" i="1"/>
  <c r="P1382" i="1"/>
  <c r="N1382" i="1"/>
  <c r="P1374" i="1"/>
  <c r="N1374" i="1"/>
  <c r="P1366" i="1"/>
  <c r="N1366" i="1"/>
  <c r="P1358" i="1"/>
  <c r="N1358" i="1"/>
  <c r="P1350" i="1"/>
  <c r="N1350" i="1"/>
  <c r="P1342" i="1"/>
  <c r="N1342" i="1"/>
  <c r="P1334" i="1"/>
  <c r="N1334" i="1"/>
  <c r="P1326" i="1"/>
  <c r="N1326" i="1"/>
  <c r="P1318" i="1"/>
  <c r="N1318" i="1"/>
  <c r="P1310" i="1"/>
  <c r="N1310" i="1"/>
  <c r="P1302" i="1"/>
  <c r="N1302" i="1"/>
  <c r="P1294" i="1"/>
  <c r="N1294" i="1"/>
  <c r="P1286" i="1"/>
  <c r="N1286" i="1"/>
  <c r="P1278" i="1"/>
  <c r="N1278" i="1"/>
  <c r="P1270" i="1"/>
  <c r="N1270" i="1"/>
  <c r="P1262" i="1"/>
  <c r="N1262" i="1"/>
  <c r="N1254" i="1"/>
  <c r="P1254" i="1"/>
  <c r="P1246" i="1"/>
  <c r="N1246" i="1"/>
  <c r="P1238" i="1"/>
  <c r="N1238" i="1"/>
  <c r="P1230" i="1"/>
  <c r="N1230" i="1"/>
  <c r="P1222" i="1"/>
  <c r="N1222" i="1"/>
  <c r="P1214" i="1"/>
  <c r="N1214" i="1"/>
  <c r="P1206" i="1"/>
  <c r="N1206" i="1"/>
  <c r="P1198" i="1"/>
  <c r="N1198" i="1"/>
  <c r="P1190" i="1"/>
  <c r="N1190" i="1"/>
  <c r="P1182" i="1"/>
  <c r="N1182" i="1"/>
  <c r="P1174" i="1"/>
  <c r="N1174" i="1"/>
  <c r="P1158" i="1"/>
  <c r="N1158" i="1"/>
  <c r="P1150" i="1"/>
  <c r="N1150" i="1"/>
  <c r="P1142" i="1"/>
  <c r="N1142" i="1"/>
  <c r="P1134" i="1"/>
  <c r="N1134" i="1"/>
  <c r="P1110" i="1"/>
  <c r="N1110" i="1"/>
  <c r="P1094" i="1"/>
  <c r="N1094" i="1"/>
  <c r="P1086" i="1"/>
  <c r="N1086" i="1"/>
  <c r="P1078" i="1"/>
  <c r="N1078" i="1"/>
  <c r="P1070" i="1"/>
  <c r="N1070" i="1"/>
  <c r="P1046" i="1"/>
  <c r="N1046" i="1"/>
  <c r="P1038" i="1"/>
  <c r="N1038" i="1"/>
  <c r="P1030" i="1"/>
  <c r="N1030" i="1"/>
  <c r="P1022" i="1"/>
  <c r="N1022" i="1"/>
  <c r="P1014" i="1"/>
  <c r="N1014" i="1"/>
  <c r="P1006" i="1"/>
  <c r="N1006" i="1"/>
  <c r="P982" i="1"/>
  <c r="N982" i="1"/>
  <c r="P974" i="1"/>
  <c r="N974" i="1"/>
  <c r="P966" i="1"/>
  <c r="N966" i="1"/>
  <c r="P958" i="1"/>
  <c r="N958" i="1"/>
  <c r="P950" i="1"/>
  <c r="N950" i="1"/>
  <c r="P942" i="1"/>
  <c r="N942" i="1"/>
  <c r="P918" i="1"/>
  <c r="N918" i="1"/>
  <c r="P910" i="1"/>
  <c r="N910" i="1"/>
  <c r="P902" i="1"/>
  <c r="N902" i="1"/>
  <c r="P894" i="1"/>
  <c r="N894" i="1"/>
  <c r="P886" i="1"/>
  <c r="N886" i="1"/>
  <c r="P878" i="1"/>
  <c r="N878" i="1"/>
  <c r="P854" i="1"/>
  <c r="N854" i="1"/>
  <c r="P846" i="1"/>
  <c r="N846" i="1"/>
  <c r="P838" i="1"/>
  <c r="N838" i="1"/>
  <c r="P830" i="1"/>
  <c r="N830" i="1"/>
  <c r="P822" i="1"/>
  <c r="N822" i="1"/>
  <c r="P814" i="1"/>
  <c r="N814" i="1"/>
  <c r="P790" i="1"/>
  <c r="N790" i="1"/>
  <c r="P782" i="1"/>
  <c r="N782" i="1"/>
  <c r="P774" i="1"/>
  <c r="N774" i="1"/>
  <c r="P766" i="1"/>
  <c r="N766" i="1"/>
  <c r="P758" i="1"/>
  <c r="N758" i="1"/>
  <c r="P750" i="1"/>
  <c r="N750" i="1"/>
  <c r="P726" i="1"/>
  <c r="N726" i="1"/>
  <c r="P718" i="1"/>
  <c r="N718" i="1"/>
  <c r="P710" i="1"/>
  <c r="N710" i="1"/>
  <c r="P702" i="1"/>
  <c r="N702" i="1"/>
  <c r="P694" i="1"/>
  <c r="N694" i="1"/>
  <c r="P686" i="1"/>
  <c r="N686" i="1"/>
  <c r="P670" i="1"/>
  <c r="N670" i="1"/>
  <c r="P662" i="1"/>
  <c r="N662" i="1"/>
  <c r="P654" i="1"/>
  <c r="N654" i="1"/>
  <c r="P638" i="1"/>
  <c r="N638" i="1"/>
  <c r="P630" i="1"/>
  <c r="N630" i="1"/>
  <c r="P622" i="1"/>
  <c r="N622" i="1"/>
  <c r="P606" i="1"/>
  <c r="N606" i="1"/>
  <c r="P598" i="1"/>
  <c r="N598" i="1"/>
  <c r="P590" i="1"/>
  <c r="N590" i="1"/>
  <c r="P574" i="1"/>
  <c r="N574" i="1"/>
  <c r="P566" i="1"/>
  <c r="N566" i="1"/>
  <c r="P558" i="1"/>
  <c r="N558" i="1"/>
  <c r="P542" i="1"/>
  <c r="N542" i="1"/>
  <c r="P534" i="1"/>
  <c r="N534" i="1"/>
  <c r="P526" i="1"/>
  <c r="N526" i="1"/>
  <c r="P510" i="1"/>
  <c r="N510" i="1"/>
  <c r="P502" i="1"/>
  <c r="N502" i="1"/>
  <c r="P494" i="1"/>
  <c r="N494" i="1"/>
  <c r="P478" i="1"/>
  <c r="N478" i="1"/>
  <c r="P470" i="1"/>
  <c r="N470" i="1"/>
  <c r="P462" i="1"/>
  <c r="N462" i="1"/>
  <c r="P454" i="1"/>
  <c r="N454" i="1"/>
  <c r="P446" i="1"/>
  <c r="N446" i="1"/>
  <c r="P430" i="1"/>
  <c r="N430" i="1"/>
  <c r="P422" i="1"/>
  <c r="N422" i="1"/>
  <c r="P414" i="1"/>
  <c r="N414" i="1"/>
  <c r="P406" i="1"/>
  <c r="N406" i="1"/>
  <c r="P398" i="1"/>
  <c r="N398" i="1"/>
  <c r="P390" i="1"/>
  <c r="N390" i="1"/>
  <c r="P374" i="1"/>
  <c r="N374" i="1"/>
  <c r="P358" i="1"/>
  <c r="N358" i="1"/>
  <c r="P350" i="1"/>
  <c r="N350" i="1"/>
  <c r="P342" i="1"/>
  <c r="N342" i="1"/>
  <c r="P334" i="1"/>
  <c r="N334" i="1"/>
  <c r="P326" i="1"/>
  <c r="N326" i="1"/>
  <c r="P318" i="1"/>
  <c r="N318" i="1"/>
  <c r="P302" i="1"/>
  <c r="N302" i="1"/>
  <c r="P294" i="1"/>
  <c r="N294" i="1"/>
  <c r="P286" i="1"/>
  <c r="N286" i="1"/>
  <c r="P278" i="1"/>
  <c r="N278" i="1"/>
  <c r="P270" i="1"/>
  <c r="N270" i="1"/>
  <c r="P262" i="1"/>
  <c r="N262" i="1"/>
  <c r="P246" i="1"/>
  <c r="N246" i="1"/>
  <c r="P230" i="1"/>
  <c r="N230" i="1"/>
  <c r="P222" i="1"/>
  <c r="N222" i="1"/>
  <c r="P214" i="1"/>
  <c r="N214" i="1"/>
  <c r="P206" i="1"/>
  <c r="N206" i="1"/>
  <c r="P198" i="1"/>
  <c r="N198" i="1"/>
  <c r="P190" i="1"/>
  <c r="N190" i="1"/>
  <c r="P182" i="1"/>
  <c r="N182" i="1"/>
  <c r="P174" i="1"/>
  <c r="N174" i="1"/>
  <c r="P166" i="1"/>
  <c r="N166" i="1"/>
  <c r="P158" i="1"/>
  <c r="N158" i="1"/>
  <c r="P150" i="1"/>
  <c r="N150" i="1"/>
  <c r="P142" i="1"/>
  <c r="N142" i="1"/>
  <c r="P134" i="1"/>
  <c r="N134" i="1"/>
  <c r="P126" i="1"/>
  <c r="N126" i="1"/>
  <c r="P118" i="1"/>
  <c r="N118" i="1"/>
  <c r="P102" i="1"/>
  <c r="N102" i="1"/>
  <c r="P86" i="1"/>
  <c r="N86" i="1"/>
  <c r="P70" i="1"/>
  <c r="N70" i="1"/>
  <c r="P54" i="1"/>
  <c r="N54" i="1"/>
  <c r="N46" i="1"/>
  <c r="P46" i="1"/>
  <c r="P38" i="1"/>
  <c r="N38" i="1"/>
  <c r="P30" i="1"/>
  <c r="N30" i="1"/>
  <c r="P22" i="1"/>
  <c r="N22" i="1"/>
  <c r="P14" i="1"/>
  <c r="N14" i="1"/>
  <c r="N6" i="1"/>
  <c r="P6" i="1"/>
  <c r="N2377" i="1"/>
  <c r="P2151" i="1"/>
  <c r="P2528" i="1"/>
  <c r="N2528" i="1"/>
  <c r="P2448" i="1"/>
  <c r="N2448" i="1"/>
  <c r="P2392" i="1"/>
  <c r="N2392" i="1"/>
  <c r="P2336" i="1"/>
  <c r="N2336" i="1"/>
  <c r="P2288" i="1"/>
  <c r="N2288" i="1"/>
  <c r="P2232" i="1"/>
  <c r="N2232" i="1"/>
  <c r="P2176" i="1"/>
  <c r="N2176" i="1"/>
  <c r="P2120" i="1"/>
  <c r="N2120" i="1"/>
  <c r="P2064" i="1"/>
  <c r="N2064" i="1"/>
  <c r="P2000" i="1"/>
  <c r="N2000" i="1"/>
  <c r="P1944" i="1"/>
  <c r="N1944" i="1"/>
  <c r="P1904" i="1"/>
  <c r="N1904" i="1"/>
  <c r="P1848" i="1"/>
  <c r="N1848" i="1"/>
  <c r="P1792" i="1"/>
  <c r="N1792" i="1"/>
  <c r="P1728" i="1"/>
  <c r="N1728" i="1"/>
  <c r="P1656" i="1"/>
  <c r="N1656" i="1"/>
  <c r="P1536" i="1"/>
  <c r="N1536" i="1"/>
  <c r="P1480" i="1"/>
  <c r="N1480" i="1"/>
  <c r="P1424" i="1"/>
  <c r="N1424" i="1"/>
  <c r="P1376" i="1"/>
  <c r="N1376" i="1"/>
  <c r="P1328" i="1"/>
  <c r="N1328" i="1"/>
  <c r="P1272" i="1"/>
  <c r="N1272" i="1"/>
  <c r="P1216" i="1"/>
  <c r="N1216" i="1"/>
  <c r="P1160" i="1"/>
  <c r="N1160" i="1"/>
  <c r="P1088" i="1"/>
  <c r="N1088" i="1"/>
  <c r="P1032" i="1"/>
  <c r="N1032" i="1"/>
  <c r="P968" i="1"/>
  <c r="N968" i="1"/>
  <c r="P912" i="1"/>
  <c r="N912" i="1"/>
  <c r="P776" i="1"/>
  <c r="N776" i="1"/>
  <c r="P728" i="1"/>
  <c r="N728" i="1"/>
  <c r="P632" i="1"/>
  <c r="N632" i="1"/>
  <c r="P592" i="1"/>
  <c r="N592" i="1"/>
  <c r="P528" i="1"/>
  <c r="N528" i="1"/>
  <c r="P472" i="1"/>
  <c r="N472" i="1"/>
  <c r="P400" i="1"/>
  <c r="N400" i="1"/>
  <c r="P344" i="1"/>
  <c r="N344" i="1"/>
  <c r="P272" i="1"/>
  <c r="N272" i="1"/>
  <c r="P216" i="1"/>
  <c r="N216" i="1"/>
  <c r="P160" i="1"/>
  <c r="N160" i="1"/>
  <c r="P112" i="1"/>
  <c r="N112" i="1"/>
  <c r="P56" i="1"/>
  <c r="N56" i="1"/>
  <c r="P16" i="1"/>
  <c r="N16" i="1"/>
  <c r="P2489" i="1"/>
  <c r="N2489" i="1"/>
  <c r="P2383" i="1"/>
  <c r="N2383" i="1"/>
  <c r="P2087" i="1"/>
  <c r="N2087" i="1"/>
  <c r="P2023" i="1"/>
  <c r="N2023" i="1"/>
  <c r="P1948" i="1"/>
  <c r="N1948" i="1"/>
  <c r="P1845" i="1"/>
  <c r="N1845" i="1"/>
  <c r="N1767" i="1"/>
  <c r="P1767" i="1"/>
  <c r="P1692" i="1"/>
  <c r="N1692" i="1"/>
  <c r="P1602" i="1"/>
  <c r="N1602" i="1"/>
  <c r="P1527" i="1"/>
  <c r="N1527" i="1"/>
  <c r="P1399" i="1"/>
  <c r="N1399" i="1"/>
  <c r="P1316" i="1"/>
  <c r="N1316" i="1"/>
  <c r="P1207" i="1"/>
  <c r="N1207" i="1"/>
  <c r="P1062" i="1"/>
  <c r="N1062" i="1"/>
  <c r="P843" i="1"/>
  <c r="N843" i="1"/>
  <c r="P529" i="1"/>
  <c r="N529" i="1"/>
  <c r="P1127" i="1"/>
  <c r="N1127" i="1"/>
  <c r="P1087" i="1"/>
  <c r="N1087" i="1"/>
  <c r="P1055" i="1"/>
  <c r="N1055" i="1"/>
  <c r="P1007" i="1"/>
  <c r="N1007" i="1"/>
  <c r="P975" i="1"/>
  <c r="N975" i="1"/>
  <c r="P959" i="1"/>
  <c r="N959" i="1"/>
  <c r="P935" i="1"/>
  <c r="N935" i="1"/>
  <c r="P919" i="1"/>
  <c r="N919" i="1"/>
  <c r="P903" i="1"/>
  <c r="N903" i="1"/>
  <c r="P887" i="1"/>
  <c r="N887" i="1"/>
  <c r="P871" i="1"/>
  <c r="N871" i="1"/>
  <c r="P855" i="1"/>
  <c r="N855" i="1"/>
  <c r="P831" i="1"/>
  <c r="N831" i="1"/>
  <c r="P807" i="1"/>
  <c r="N807" i="1"/>
  <c r="P783" i="1"/>
  <c r="N783" i="1"/>
  <c r="P759" i="1"/>
  <c r="N759" i="1"/>
  <c r="P703" i="1"/>
  <c r="N703" i="1"/>
  <c r="P679" i="1"/>
  <c r="N679" i="1"/>
  <c r="P655" i="1"/>
  <c r="N655" i="1"/>
  <c r="P631" i="1"/>
  <c r="N631" i="1"/>
  <c r="P607" i="1"/>
  <c r="N607" i="1"/>
  <c r="P583" i="1"/>
  <c r="N583" i="1"/>
  <c r="P559" i="1"/>
  <c r="N559" i="1"/>
  <c r="P527" i="1"/>
  <c r="N527" i="1"/>
  <c r="P503" i="1"/>
  <c r="N503" i="1"/>
  <c r="P479" i="1"/>
  <c r="N479" i="1"/>
  <c r="P455" i="1"/>
  <c r="N455" i="1"/>
  <c r="P431" i="1"/>
  <c r="N431" i="1"/>
  <c r="P399" i="1"/>
  <c r="N399" i="1"/>
  <c r="P375" i="1"/>
  <c r="N375" i="1"/>
  <c r="P327" i="1"/>
  <c r="N327" i="1"/>
  <c r="P311" i="1"/>
  <c r="N311" i="1"/>
  <c r="P255" i="1"/>
  <c r="N255" i="1"/>
  <c r="P231" i="1"/>
  <c r="N231" i="1"/>
  <c r="P207" i="1"/>
  <c r="N207" i="1"/>
  <c r="P183" i="1"/>
  <c r="N183" i="1"/>
  <c r="P159" i="1"/>
  <c r="N159" i="1"/>
  <c r="P135" i="1"/>
  <c r="N135" i="1"/>
  <c r="P111" i="1"/>
  <c r="N111" i="1"/>
  <c r="P71" i="1"/>
  <c r="N71" i="1"/>
  <c r="P47" i="1"/>
  <c r="N47" i="1"/>
  <c r="P23" i="1"/>
  <c r="N23" i="1"/>
  <c r="P2506" i="1"/>
  <c r="N2506" i="1"/>
  <c r="P1165" i="1"/>
  <c r="N1165" i="1"/>
  <c r="P1149" i="1"/>
  <c r="N1149" i="1"/>
  <c r="P1141" i="1"/>
  <c r="N1141" i="1"/>
  <c r="P1133" i="1"/>
  <c r="N1133" i="1"/>
  <c r="P1125" i="1"/>
  <c r="N1125" i="1"/>
  <c r="P1101" i="1"/>
  <c r="N1101" i="1"/>
  <c r="P1085" i="1"/>
  <c r="N1085" i="1"/>
  <c r="P1077" i="1"/>
  <c r="N1077" i="1"/>
  <c r="P1069" i="1"/>
  <c r="N1069" i="1"/>
  <c r="P1061" i="1"/>
  <c r="N1061" i="1"/>
  <c r="P1037" i="1"/>
  <c r="N1037" i="1"/>
  <c r="P1029" i="1"/>
  <c r="N1029" i="1"/>
  <c r="P1021" i="1"/>
  <c r="N1021" i="1"/>
  <c r="P1013" i="1"/>
  <c r="N1013" i="1"/>
  <c r="P1005" i="1"/>
  <c r="N1005" i="1"/>
  <c r="P997" i="1"/>
  <c r="N997" i="1"/>
  <c r="P973" i="1"/>
  <c r="N973" i="1"/>
  <c r="P965" i="1"/>
  <c r="N965" i="1"/>
  <c r="P957" i="1"/>
  <c r="N957" i="1"/>
  <c r="P949" i="1"/>
  <c r="N949" i="1"/>
  <c r="P941" i="1"/>
  <c r="N941" i="1"/>
  <c r="P933" i="1"/>
  <c r="N933" i="1"/>
  <c r="P909" i="1"/>
  <c r="N909" i="1"/>
  <c r="P901" i="1"/>
  <c r="N901" i="1"/>
  <c r="P893" i="1"/>
  <c r="N893" i="1"/>
  <c r="P885" i="1"/>
  <c r="N885" i="1"/>
  <c r="P877" i="1"/>
  <c r="N877" i="1"/>
  <c r="P869" i="1"/>
  <c r="N869" i="1"/>
  <c r="P845" i="1"/>
  <c r="N845" i="1"/>
  <c r="P837" i="1"/>
  <c r="N837" i="1"/>
  <c r="P829" i="1"/>
  <c r="N829" i="1"/>
  <c r="P821" i="1"/>
  <c r="N821" i="1"/>
  <c r="P813" i="1"/>
  <c r="N813" i="1"/>
  <c r="P805" i="1"/>
  <c r="N805" i="1"/>
  <c r="P781" i="1"/>
  <c r="N781" i="1"/>
  <c r="P773" i="1"/>
  <c r="N773" i="1"/>
  <c r="P765" i="1"/>
  <c r="N765" i="1"/>
  <c r="P757" i="1"/>
  <c r="N757" i="1"/>
  <c r="P749" i="1"/>
  <c r="N749" i="1"/>
  <c r="P741" i="1"/>
  <c r="N741" i="1"/>
  <c r="P717" i="1"/>
  <c r="N717" i="1"/>
  <c r="P709" i="1"/>
  <c r="N709" i="1"/>
  <c r="P701" i="1"/>
  <c r="N701" i="1"/>
  <c r="P693" i="1"/>
  <c r="N693" i="1"/>
  <c r="P685" i="1"/>
  <c r="N685" i="1"/>
  <c r="P669" i="1"/>
  <c r="N669" i="1"/>
  <c r="P661" i="1"/>
  <c r="N661" i="1"/>
  <c r="P653" i="1"/>
  <c r="N653" i="1"/>
  <c r="P637" i="1"/>
  <c r="N637" i="1"/>
  <c r="P629" i="1"/>
  <c r="N629" i="1"/>
  <c r="P621" i="1"/>
  <c r="N621" i="1"/>
  <c r="P605" i="1"/>
  <c r="N605" i="1"/>
  <c r="P597" i="1"/>
  <c r="N597" i="1"/>
  <c r="P589" i="1"/>
  <c r="N589" i="1"/>
  <c r="P573" i="1"/>
  <c r="N573" i="1"/>
  <c r="P565" i="1"/>
  <c r="N565" i="1"/>
  <c r="P557" i="1"/>
  <c r="N557" i="1"/>
  <c r="P541" i="1"/>
  <c r="N541" i="1"/>
  <c r="P533" i="1"/>
  <c r="N533" i="1"/>
  <c r="P525" i="1"/>
  <c r="N525" i="1"/>
  <c r="P509" i="1"/>
  <c r="N509" i="1"/>
  <c r="P501" i="1"/>
  <c r="N501" i="1"/>
  <c r="P493" i="1"/>
  <c r="N493" i="1"/>
  <c r="P477" i="1"/>
  <c r="N477" i="1"/>
  <c r="P469" i="1"/>
  <c r="N469" i="1"/>
  <c r="P461" i="1"/>
  <c r="N461" i="1"/>
  <c r="P453" i="1"/>
  <c r="N453" i="1"/>
  <c r="P445" i="1"/>
  <c r="N445" i="1"/>
  <c r="P429" i="1"/>
  <c r="N429" i="1"/>
  <c r="P421" i="1"/>
  <c r="N421" i="1"/>
  <c r="P413" i="1"/>
  <c r="N413" i="1"/>
  <c r="P405" i="1"/>
  <c r="N405" i="1"/>
  <c r="P397" i="1"/>
  <c r="N397" i="1"/>
  <c r="P389" i="1"/>
  <c r="N389" i="1"/>
  <c r="P373" i="1"/>
  <c r="N373" i="1"/>
  <c r="P357" i="1"/>
  <c r="N357" i="1"/>
  <c r="P349" i="1"/>
  <c r="N349" i="1"/>
  <c r="P341" i="1"/>
  <c r="N341" i="1"/>
  <c r="P333" i="1"/>
  <c r="N333" i="1"/>
  <c r="P325" i="1"/>
  <c r="N325" i="1"/>
  <c r="P317" i="1"/>
  <c r="N317" i="1"/>
  <c r="P301" i="1"/>
  <c r="N301" i="1"/>
  <c r="P293" i="1"/>
  <c r="N293" i="1"/>
  <c r="P285" i="1"/>
  <c r="N285" i="1"/>
  <c r="P277" i="1"/>
  <c r="N277" i="1"/>
  <c r="P269" i="1"/>
  <c r="N269" i="1"/>
  <c r="P261" i="1"/>
  <c r="N261" i="1"/>
  <c r="P245" i="1"/>
  <c r="N245" i="1"/>
  <c r="P229" i="1"/>
  <c r="N229" i="1"/>
  <c r="P221" i="1"/>
  <c r="N221" i="1"/>
  <c r="P213" i="1"/>
  <c r="N213" i="1"/>
  <c r="P205" i="1"/>
  <c r="N205" i="1"/>
  <c r="P197" i="1"/>
  <c r="N197" i="1"/>
  <c r="P189" i="1"/>
  <c r="N189" i="1"/>
  <c r="P173" i="1"/>
  <c r="N173" i="1"/>
  <c r="P165" i="1"/>
  <c r="N165" i="1"/>
  <c r="P157" i="1"/>
  <c r="N157" i="1"/>
  <c r="P149" i="1"/>
  <c r="N149" i="1"/>
  <c r="P141" i="1"/>
  <c r="N141" i="1"/>
  <c r="P133" i="1"/>
  <c r="N133" i="1"/>
  <c r="P125" i="1"/>
  <c r="N125" i="1"/>
  <c r="P117" i="1"/>
  <c r="N117" i="1"/>
  <c r="P109" i="1"/>
  <c r="N109" i="1"/>
  <c r="P101" i="1"/>
  <c r="N101" i="1"/>
  <c r="P93" i="1"/>
  <c r="N93" i="1"/>
  <c r="P85" i="1"/>
  <c r="N85" i="1"/>
  <c r="P69" i="1"/>
  <c r="N69" i="1"/>
  <c r="P53" i="1"/>
  <c r="N53" i="1"/>
  <c r="P37" i="1"/>
  <c r="N37" i="1"/>
  <c r="P21" i="1"/>
  <c r="N21" i="1"/>
  <c r="P13" i="1"/>
  <c r="N13" i="1"/>
  <c r="P5" i="1"/>
  <c r="N5" i="1"/>
  <c r="N2248" i="1"/>
  <c r="N1959" i="1"/>
  <c r="P2504" i="1"/>
  <c r="N2504" i="1"/>
  <c r="P2456" i="1"/>
  <c r="N2456" i="1"/>
  <c r="P2408" i="1"/>
  <c r="N2408" i="1"/>
  <c r="P2352" i="1"/>
  <c r="N2352" i="1"/>
  <c r="P2304" i="1"/>
  <c r="N2304" i="1"/>
  <c r="P2256" i="1"/>
  <c r="N2256" i="1"/>
  <c r="P2200" i="1"/>
  <c r="N2200" i="1"/>
  <c r="P2136" i="1"/>
  <c r="N2136" i="1"/>
  <c r="P2088" i="1"/>
  <c r="N2088" i="1"/>
  <c r="P2032" i="1"/>
  <c r="N2032" i="1"/>
  <c r="P1968" i="1"/>
  <c r="N1968" i="1"/>
  <c r="P1912" i="1"/>
  <c r="N1912" i="1"/>
  <c r="P1856" i="1"/>
  <c r="N1856" i="1"/>
  <c r="P1800" i="1"/>
  <c r="N1800" i="1"/>
  <c r="P1744" i="1"/>
  <c r="N1744" i="1"/>
  <c r="P1664" i="1"/>
  <c r="N1664" i="1"/>
  <c r="P1616" i="1"/>
  <c r="N1616" i="1"/>
  <c r="P1576" i="1"/>
  <c r="N1576" i="1"/>
  <c r="P1528" i="1"/>
  <c r="N1528" i="1"/>
  <c r="P1472" i="1"/>
  <c r="N1472" i="1"/>
  <c r="P1416" i="1"/>
  <c r="N1416" i="1"/>
  <c r="P1352" i="1"/>
  <c r="N1352" i="1"/>
  <c r="P1296" i="1"/>
  <c r="N1296" i="1"/>
  <c r="P1232" i="1"/>
  <c r="N1232" i="1"/>
  <c r="P1176" i="1"/>
  <c r="N1176" i="1"/>
  <c r="P1096" i="1"/>
  <c r="N1096" i="1"/>
  <c r="P1024" i="1"/>
  <c r="N1024" i="1"/>
  <c r="P960" i="1"/>
  <c r="N960" i="1"/>
  <c r="P904" i="1"/>
  <c r="N904" i="1"/>
  <c r="P848" i="1"/>
  <c r="N848" i="1"/>
  <c r="P792" i="1"/>
  <c r="N792" i="1"/>
  <c r="P680" i="1"/>
  <c r="N680" i="1"/>
  <c r="P616" i="1"/>
  <c r="N616" i="1"/>
  <c r="P560" i="1"/>
  <c r="N560" i="1"/>
  <c r="P512" i="1"/>
  <c r="N512" i="1"/>
  <c r="P456" i="1"/>
  <c r="N456" i="1"/>
  <c r="P408" i="1"/>
  <c r="N408" i="1"/>
  <c r="P368" i="1"/>
  <c r="N368" i="1"/>
  <c r="P304" i="1"/>
  <c r="N304" i="1"/>
  <c r="P240" i="1"/>
  <c r="N240" i="1"/>
  <c r="P184" i="1"/>
  <c r="N184" i="1"/>
  <c r="P128" i="1"/>
  <c r="N128" i="1"/>
  <c r="P88" i="1"/>
  <c r="N88" i="1"/>
  <c r="P48" i="1"/>
  <c r="N48" i="1"/>
  <c r="P2534" i="1"/>
  <c r="N2534" i="1"/>
  <c r="P2479" i="1"/>
  <c r="N2479" i="1"/>
  <c r="P2434" i="1"/>
  <c r="N2434" i="1"/>
  <c r="P2351" i="1"/>
  <c r="N2351" i="1"/>
  <c r="P2293" i="1"/>
  <c r="N2293" i="1"/>
  <c r="P2254" i="1"/>
  <c r="N2254" i="1"/>
  <c r="P2204" i="1"/>
  <c r="N2204" i="1"/>
  <c r="P2126" i="1"/>
  <c r="N2126" i="1"/>
  <c r="N2062" i="1"/>
  <c r="P2062" i="1"/>
  <c r="P2012" i="1"/>
  <c r="N2012" i="1"/>
  <c r="N1934" i="1"/>
  <c r="P1934" i="1"/>
  <c r="P1870" i="1"/>
  <c r="N1870" i="1"/>
  <c r="P1794" i="1"/>
  <c r="N1794" i="1"/>
  <c r="P1717" i="1"/>
  <c r="N1717" i="1"/>
  <c r="P1639" i="1"/>
  <c r="N1639" i="1"/>
  <c r="P1559" i="1"/>
  <c r="N1559" i="1"/>
  <c r="P1444" i="1"/>
  <c r="N1444" i="1"/>
  <c r="P1357" i="1"/>
  <c r="N1357" i="1"/>
  <c r="P1293" i="1"/>
  <c r="N1293" i="1"/>
  <c r="P1188" i="1"/>
  <c r="N1188" i="1"/>
  <c r="P1091" i="1"/>
  <c r="N1091" i="1"/>
  <c r="P916" i="1"/>
  <c r="N916" i="1"/>
  <c r="P733" i="1"/>
  <c r="N733" i="1"/>
  <c r="P613" i="1"/>
  <c r="N613" i="1"/>
  <c r="P437" i="1"/>
  <c r="N437" i="1"/>
  <c r="P266" i="1"/>
  <c r="N266" i="1"/>
  <c r="P77" i="1"/>
  <c r="N77" i="1"/>
  <c r="N1117" i="1"/>
  <c r="P1167" i="1"/>
  <c r="N1167" i="1"/>
  <c r="P1135" i="1"/>
  <c r="N1135" i="1"/>
  <c r="P1111" i="1"/>
  <c r="N1111" i="1"/>
  <c r="P1071" i="1"/>
  <c r="N1071" i="1"/>
  <c r="P1039" i="1"/>
  <c r="N1039" i="1"/>
  <c r="P1023" i="1"/>
  <c r="N1023" i="1"/>
  <c r="P991" i="1"/>
  <c r="N991" i="1"/>
  <c r="N951" i="1"/>
  <c r="P951" i="1"/>
  <c r="P743" i="1"/>
  <c r="N743" i="1"/>
  <c r="P1156" i="1"/>
  <c r="N1156" i="1"/>
  <c r="P1140" i="1"/>
  <c r="N1140" i="1"/>
  <c r="P1132" i="1"/>
  <c r="N1132" i="1"/>
  <c r="P1124" i="1"/>
  <c r="N1124" i="1"/>
  <c r="P1116" i="1"/>
  <c r="N1116" i="1"/>
  <c r="P1092" i="1"/>
  <c r="N1092" i="1"/>
  <c r="P1076" i="1"/>
  <c r="N1076" i="1"/>
  <c r="P1068" i="1"/>
  <c r="N1068" i="1"/>
  <c r="P1060" i="1"/>
  <c r="N1060" i="1"/>
  <c r="P1052" i="1"/>
  <c r="N1052" i="1"/>
  <c r="P1028" i="1"/>
  <c r="N1028" i="1"/>
  <c r="P1020" i="1"/>
  <c r="N1020" i="1"/>
  <c r="P1012" i="1"/>
  <c r="N1012" i="1"/>
  <c r="P1004" i="1"/>
  <c r="N1004" i="1"/>
  <c r="N996" i="1"/>
  <c r="P996" i="1"/>
  <c r="P988" i="1"/>
  <c r="N988" i="1"/>
  <c r="P964" i="1"/>
  <c r="N964" i="1"/>
  <c r="P956" i="1"/>
  <c r="N956" i="1"/>
  <c r="P948" i="1"/>
  <c r="N948" i="1"/>
  <c r="P940" i="1"/>
  <c r="N940" i="1"/>
  <c r="P932" i="1"/>
  <c r="N932" i="1"/>
  <c r="P924" i="1"/>
  <c r="N924" i="1"/>
  <c r="P900" i="1"/>
  <c r="N900" i="1"/>
  <c r="P892" i="1"/>
  <c r="N892" i="1"/>
  <c r="P884" i="1"/>
  <c r="N884" i="1"/>
  <c r="P876" i="1"/>
  <c r="N876" i="1"/>
  <c r="P868" i="1"/>
  <c r="N868" i="1"/>
  <c r="P860" i="1"/>
  <c r="N860" i="1"/>
  <c r="P836" i="1"/>
  <c r="N836" i="1"/>
  <c r="P828" i="1"/>
  <c r="N828" i="1"/>
  <c r="P820" i="1"/>
  <c r="N820" i="1"/>
  <c r="P812" i="1"/>
  <c r="N812" i="1"/>
  <c r="P804" i="1"/>
  <c r="N804" i="1"/>
  <c r="P796" i="1"/>
  <c r="N796" i="1"/>
  <c r="P772" i="1"/>
  <c r="N772" i="1"/>
  <c r="P764" i="1"/>
  <c r="N764" i="1"/>
  <c r="P756" i="1"/>
  <c r="N756" i="1"/>
  <c r="P748" i="1"/>
  <c r="N748" i="1"/>
  <c r="P740" i="1"/>
  <c r="N740" i="1"/>
  <c r="P732" i="1"/>
  <c r="N732" i="1"/>
  <c r="P708" i="1"/>
  <c r="N708" i="1"/>
  <c r="P700" i="1"/>
  <c r="N700" i="1"/>
  <c r="P692" i="1"/>
  <c r="N692" i="1"/>
  <c r="P684" i="1"/>
  <c r="N684" i="1"/>
  <c r="P676" i="1"/>
  <c r="N676" i="1"/>
  <c r="P660" i="1"/>
  <c r="N660" i="1"/>
  <c r="P652" i="1"/>
  <c r="N652" i="1"/>
  <c r="P644" i="1"/>
  <c r="N644" i="1"/>
  <c r="P628" i="1"/>
  <c r="N628" i="1"/>
  <c r="P620" i="1"/>
  <c r="N620" i="1"/>
  <c r="P612" i="1"/>
  <c r="N612" i="1"/>
  <c r="P596" i="1"/>
  <c r="N596" i="1"/>
  <c r="P588" i="1"/>
  <c r="N588" i="1"/>
  <c r="P580" i="1"/>
  <c r="N580" i="1"/>
  <c r="P564" i="1"/>
  <c r="N564" i="1"/>
  <c r="P556" i="1"/>
  <c r="N556" i="1"/>
  <c r="P548" i="1"/>
  <c r="N548" i="1"/>
  <c r="P532" i="1"/>
  <c r="N532" i="1"/>
  <c r="P524" i="1"/>
  <c r="N524" i="1"/>
  <c r="P516" i="1"/>
  <c r="N516" i="1"/>
  <c r="P500" i="1"/>
  <c r="N500" i="1"/>
  <c r="P492" i="1"/>
  <c r="N492" i="1"/>
  <c r="P484" i="1"/>
  <c r="N484" i="1"/>
  <c r="P468" i="1"/>
  <c r="N468" i="1"/>
  <c r="P460" i="1"/>
  <c r="N460" i="1"/>
  <c r="P444" i="1"/>
  <c r="N444" i="1"/>
  <c r="P436" i="1"/>
  <c r="N436" i="1"/>
  <c r="P428" i="1"/>
  <c r="N428" i="1"/>
  <c r="P420" i="1"/>
  <c r="N420" i="1"/>
  <c r="P412" i="1"/>
  <c r="N412" i="1"/>
  <c r="P404" i="1"/>
  <c r="N404" i="1"/>
  <c r="P388" i="1"/>
  <c r="N388" i="1"/>
  <c r="P380" i="1"/>
  <c r="N380" i="1"/>
  <c r="P372" i="1"/>
  <c r="N372" i="1"/>
  <c r="P364" i="1"/>
  <c r="N364" i="1"/>
  <c r="P356" i="1"/>
  <c r="N356" i="1"/>
  <c r="P348" i="1"/>
  <c r="N348" i="1"/>
  <c r="P332" i="1"/>
  <c r="N332" i="1"/>
  <c r="P316" i="1"/>
  <c r="N316" i="1"/>
  <c r="P308" i="1"/>
  <c r="N308" i="1"/>
  <c r="P300" i="1"/>
  <c r="N300" i="1"/>
  <c r="P292" i="1"/>
  <c r="N292" i="1"/>
  <c r="P284" i="1"/>
  <c r="N284" i="1"/>
  <c r="P276" i="1"/>
  <c r="N276" i="1"/>
  <c r="P260" i="1"/>
  <c r="N260" i="1"/>
  <c r="P252" i="1"/>
  <c r="N252" i="1"/>
  <c r="P244" i="1"/>
  <c r="N244" i="1"/>
  <c r="P236" i="1"/>
  <c r="N236" i="1"/>
  <c r="P228" i="1"/>
  <c r="N228" i="1"/>
  <c r="P220" i="1"/>
  <c r="N220" i="1"/>
  <c r="P204" i="1"/>
  <c r="N204" i="1"/>
  <c r="P188" i="1"/>
  <c r="N188" i="1"/>
  <c r="P172" i="1"/>
  <c r="N172" i="1"/>
  <c r="P156" i="1"/>
  <c r="N156" i="1"/>
  <c r="P140" i="1"/>
  <c r="N140" i="1"/>
  <c r="P132" i="1"/>
  <c r="N132" i="1"/>
  <c r="P124" i="1"/>
  <c r="N124" i="1"/>
  <c r="P116" i="1"/>
  <c r="N116" i="1"/>
  <c r="P108" i="1"/>
  <c r="N108" i="1"/>
  <c r="P100" i="1"/>
  <c r="N100" i="1"/>
  <c r="P92" i="1"/>
  <c r="N92" i="1"/>
  <c r="P84" i="1"/>
  <c r="N84" i="1"/>
  <c r="P76" i="1"/>
  <c r="N76" i="1"/>
  <c r="P68" i="1"/>
  <c r="N68" i="1"/>
  <c r="P60" i="1"/>
  <c r="N60" i="1"/>
  <c r="P52" i="1"/>
  <c r="N52" i="1"/>
  <c r="P44" i="1"/>
  <c r="N44" i="1"/>
  <c r="P36" i="1"/>
  <c r="N36" i="1"/>
  <c r="P28" i="1"/>
  <c r="N28" i="1"/>
  <c r="P20" i="1"/>
  <c r="N20" i="1"/>
  <c r="P12" i="1"/>
  <c r="N12" i="1"/>
  <c r="P4" i="1"/>
  <c r="N4" i="1"/>
  <c r="P635" i="1"/>
  <c r="N635" i="1"/>
  <c r="P507" i="1"/>
  <c r="N507" i="1"/>
  <c r="P237" i="1"/>
  <c r="N237" i="1"/>
  <c r="P110" i="1"/>
  <c r="N110" i="1"/>
  <c r="P42" i="1"/>
  <c r="N42" i="1"/>
  <c r="N1937" i="1"/>
  <c r="P2496" i="1"/>
  <c r="N2496" i="1"/>
  <c r="P2440" i="1"/>
  <c r="N2440" i="1"/>
  <c r="P2384" i="1"/>
  <c r="N2384" i="1"/>
  <c r="P2328" i="1"/>
  <c r="N2328" i="1"/>
  <c r="P2272" i="1"/>
  <c r="N2272" i="1"/>
  <c r="P2216" i="1"/>
  <c r="N2216" i="1"/>
  <c r="P2160" i="1"/>
  <c r="N2160" i="1"/>
  <c r="P2104" i="1"/>
  <c r="N2104" i="1"/>
  <c r="P2048" i="1"/>
  <c r="N2048" i="1"/>
  <c r="P1984" i="1"/>
  <c r="N1984" i="1"/>
  <c r="P1928" i="1"/>
  <c r="N1928" i="1"/>
  <c r="P1872" i="1"/>
  <c r="N1872" i="1"/>
  <c r="P1808" i="1"/>
  <c r="N1808" i="1"/>
  <c r="P1752" i="1"/>
  <c r="N1752" i="1"/>
  <c r="P1696" i="1"/>
  <c r="N1696" i="1"/>
  <c r="P1648" i="1"/>
  <c r="N1648" i="1"/>
  <c r="P1608" i="1"/>
  <c r="N1608" i="1"/>
  <c r="P1568" i="1"/>
  <c r="N1568" i="1"/>
  <c r="P1504" i="1"/>
  <c r="N1504" i="1"/>
  <c r="P1448" i="1"/>
  <c r="N1448" i="1"/>
  <c r="P1392" i="1"/>
  <c r="N1392" i="1"/>
  <c r="P1344" i="1"/>
  <c r="N1344" i="1"/>
  <c r="P1288" i="1"/>
  <c r="N1288" i="1"/>
  <c r="P1240" i="1"/>
  <c r="N1240" i="1"/>
  <c r="P1184" i="1"/>
  <c r="N1184" i="1"/>
  <c r="P1080" i="1"/>
  <c r="N1080" i="1"/>
  <c r="P952" i="1"/>
  <c r="N952" i="1"/>
  <c r="P864" i="1"/>
  <c r="N864" i="1"/>
  <c r="P800" i="1"/>
  <c r="N800" i="1"/>
  <c r="P696" i="1"/>
  <c r="N696" i="1"/>
  <c r="P656" i="1"/>
  <c r="N656" i="1"/>
  <c r="P600" i="1"/>
  <c r="N600" i="1"/>
  <c r="P544" i="1"/>
  <c r="N544" i="1"/>
  <c r="P488" i="1"/>
  <c r="N488" i="1"/>
  <c r="P432" i="1"/>
  <c r="N432" i="1"/>
  <c r="P376" i="1"/>
  <c r="N376" i="1"/>
  <c r="P320" i="1"/>
  <c r="N320" i="1"/>
  <c r="P264" i="1"/>
  <c r="N264" i="1"/>
  <c r="P208" i="1"/>
  <c r="N208" i="1"/>
  <c r="P152" i="1"/>
  <c r="N152" i="1"/>
  <c r="P96" i="1"/>
  <c r="N96" i="1"/>
  <c r="P32" i="1"/>
  <c r="N32" i="1"/>
  <c r="P2507" i="1"/>
  <c r="N2507" i="1"/>
  <c r="P2443" i="1"/>
  <c r="N2443" i="1"/>
  <c r="P2395" i="1"/>
  <c r="N2395" i="1"/>
  <c r="P2318" i="1"/>
  <c r="N2318" i="1"/>
  <c r="P2229" i="1"/>
  <c r="N2229" i="1"/>
  <c r="P2165" i="1"/>
  <c r="N2165" i="1"/>
  <c r="P2076" i="1"/>
  <c r="N2076" i="1"/>
  <c r="N1998" i="1"/>
  <c r="P1998" i="1"/>
  <c r="P1909" i="1"/>
  <c r="N1909" i="1"/>
  <c r="P1831" i="1"/>
  <c r="N1831" i="1"/>
  <c r="P1730" i="1"/>
  <c r="N1730" i="1"/>
  <c r="P1628" i="1"/>
  <c r="N1628" i="1"/>
  <c r="P1485" i="1"/>
  <c r="N1485" i="1"/>
  <c r="P1271" i="1"/>
  <c r="N1271" i="1"/>
  <c r="P485" i="1"/>
  <c r="N485" i="1"/>
  <c r="P1151" i="1"/>
  <c r="N1151" i="1"/>
  <c r="P1095" i="1"/>
  <c r="N1095" i="1"/>
  <c r="P1031" i="1"/>
  <c r="N1031" i="1"/>
  <c r="P727" i="1"/>
  <c r="N727" i="1"/>
  <c r="P2315" i="1"/>
  <c r="N2315" i="1"/>
  <c r="P2299" i="1"/>
  <c r="N2299" i="1"/>
  <c r="P2283" i="1"/>
  <c r="N2283" i="1"/>
  <c r="P2267" i="1"/>
  <c r="N2267" i="1"/>
  <c r="P2259" i="1"/>
  <c r="N2259" i="1"/>
  <c r="P2243" i="1"/>
  <c r="N2243" i="1"/>
  <c r="P2235" i="1"/>
  <c r="N2235" i="1"/>
  <c r="P2227" i="1"/>
  <c r="N2227" i="1"/>
  <c r="P2219" i="1"/>
  <c r="N2219" i="1"/>
  <c r="P2211" i="1"/>
  <c r="N2211" i="1"/>
  <c r="P2203" i="1"/>
  <c r="N2203" i="1"/>
  <c r="P2187" i="1"/>
  <c r="N2187" i="1"/>
  <c r="P2179" i="1"/>
  <c r="N2179" i="1"/>
  <c r="P2163" i="1"/>
  <c r="N2163" i="1"/>
  <c r="P2147" i="1"/>
  <c r="N2147" i="1"/>
  <c r="P2131" i="1"/>
  <c r="N2131" i="1"/>
  <c r="P2115" i="1"/>
  <c r="N2115" i="1"/>
  <c r="P2099" i="1"/>
  <c r="N2099" i="1"/>
  <c r="P2091" i="1"/>
  <c r="N2091" i="1"/>
  <c r="P2075" i="1"/>
  <c r="N2075" i="1"/>
  <c r="P2067" i="1"/>
  <c r="N2067" i="1"/>
  <c r="P2059" i="1"/>
  <c r="N2059" i="1"/>
  <c r="P2051" i="1"/>
  <c r="N2051" i="1"/>
  <c r="P2035" i="1"/>
  <c r="N2035" i="1"/>
  <c r="P2027" i="1"/>
  <c r="N2027" i="1"/>
  <c r="P2019" i="1"/>
  <c r="N2019" i="1"/>
  <c r="P2011" i="1"/>
  <c r="N2011" i="1"/>
  <c r="P2003" i="1"/>
  <c r="N2003" i="1"/>
  <c r="P1995" i="1"/>
  <c r="N1995" i="1"/>
  <c r="P1987" i="1"/>
  <c r="N1987" i="1"/>
  <c r="P1979" i="1"/>
  <c r="N1979" i="1"/>
  <c r="P1971" i="1"/>
  <c r="N1971" i="1"/>
  <c r="P1963" i="1"/>
  <c r="N1963" i="1"/>
  <c r="P1955" i="1"/>
  <c r="N1955" i="1"/>
  <c r="P1947" i="1"/>
  <c r="N1947" i="1"/>
  <c r="P1939" i="1"/>
  <c r="N1939" i="1"/>
  <c r="P1931" i="1"/>
  <c r="N1931" i="1"/>
  <c r="P1923" i="1"/>
  <c r="N1923" i="1"/>
  <c r="P1915" i="1"/>
  <c r="N1915" i="1"/>
  <c r="P1907" i="1"/>
  <c r="N1907" i="1"/>
  <c r="P1899" i="1"/>
  <c r="N1899" i="1"/>
  <c r="P1891" i="1"/>
  <c r="N1891" i="1"/>
  <c r="P1883" i="1"/>
  <c r="N1883" i="1"/>
  <c r="P1875" i="1"/>
  <c r="N1875" i="1"/>
  <c r="P1867" i="1"/>
  <c r="N1867" i="1"/>
  <c r="P1859" i="1"/>
  <c r="N1859" i="1"/>
  <c r="P1851" i="1"/>
  <c r="N1851" i="1"/>
  <c r="P1843" i="1"/>
  <c r="N1843" i="1"/>
  <c r="P1835" i="1"/>
  <c r="N1835" i="1"/>
  <c r="P1827" i="1"/>
  <c r="N1827" i="1"/>
  <c r="P1819" i="1"/>
  <c r="N1819" i="1"/>
  <c r="P1811" i="1"/>
  <c r="N1811" i="1"/>
  <c r="P1803" i="1"/>
  <c r="N1803" i="1"/>
  <c r="P1795" i="1"/>
  <c r="N1795" i="1"/>
  <c r="P1787" i="1"/>
  <c r="N1787" i="1"/>
  <c r="P1779" i="1"/>
  <c r="N1779" i="1"/>
  <c r="P1771" i="1"/>
  <c r="N1771" i="1"/>
  <c r="P1763" i="1"/>
  <c r="N1763" i="1"/>
  <c r="P1755" i="1"/>
  <c r="N1755" i="1"/>
  <c r="P1747" i="1"/>
  <c r="N1747" i="1"/>
  <c r="P1739" i="1"/>
  <c r="N1739" i="1"/>
  <c r="P1731" i="1"/>
  <c r="N1731" i="1"/>
  <c r="P1723" i="1"/>
  <c r="N1723" i="1"/>
  <c r="P1715" i="1"/>
  <c r="N1715" i="1"/>
  <c r="P1707" i="1"/>
  <c r="N1707" i="1"/>
  <c r="P1699" i="1"/>
  <c r="N1699" i="1"/>
  <c r="P1691" i="1"/>
  <c r="N1691" i="1"/>
  <c r="P1683" i="1"/>
  <c r="N1683" i="1"/>
  <c r="P1675" i="1"/>
  <c r="N1675" i="1"/>
  <c r="P1667" i="1"/>
  <c r="N1667" i="1"/>
  <c r="P1659" i="1"/>
  <c r="N1659" i="1"/>
  <c r="P1651" i="1"/>
  <c r="N1651" i="1"/>
  <c r="P1643" i="1"/>
  <c r="N1643" i="1"/>
  <c r="P1635" i="1"/>
  <c r="N1635" i="1"/>
  <c r="P1627" i="1"/>
  <c r="N1627" i="1"/>
  <c r="P1619" i="1"/>
  <c r="N1619" i="1"/>
  <c r="P1611" i="1"/>
  <c r="N1611" i="1"/>
  <c r="P1603" i="1"/>
  <c r="N1603" i="1"/>
  <c r="P1595" i="1"/>
  <c r="N1595" i="1"/>
  <c r="P1587" i="1"/>
  <c r="N1587" i="1"/>
  <c r="P1579" i="1"/>
  <c r="N1579" i="1"/>
  <c r="P1571" i="1"/>
  <c r="N1571" i="1"/>
  <c r="P1563" i="1"/>
  <c r="N1563" i="1"/>
  <c r="P1555" i="1"/>
  <c r="N1555" i="1"/>
  <c r="P1547" i="1"/>
  <c r="N1547" i="1"/>
  <c r="P1539" i="1"/>
  <c r="N1539" i="1"/>
  <c r="P1531" i="1"/>
  <c r="N1531" i="1"/>
  <c r="P1523" i="1"/>
  <c r="N1523" i="1"/>
  <c r="P1515" i="1"/>
  <c r="N1515" i="1"/>
  <c r="P1507" i="1"/>
  <c r="N1507" i="1"/>
  <c r="P1499" i="1"/>
  <c r="N1499" i="1"/>
  <c r="P1491" i="1"/>
  <c r="N1491" i="1"/>
  <c r="P1483" i="1"/>
  <c r="N1483" i="1"/>
  <c r="P1475" i="1"/>
  <c r="N1475" i="1"/>
  <c r="P1467" i="1"/>
  <c r="N1467" i="1"/>
  <c r="P1459" i="1"/>
  <c r="N1459" i="1"/>
  <c r="P1451" i="1"/>
  <c r="N1451" i="1"/>
  <c r="P1443" i="1"/>
  <c r="N1443" i="1"/>
  <c r="P1435" i="1"/>
  <c r="N1435" i="1"/>
  <c r="P1427" i="1"/>
  <c r="N1427" i="1"/>
  <c r="P1419" i="1"/>
  <c r="N1419" i="1"/>
  <c r="P1411" i="1"/>
  <c r="N1411" i="1"/>
  <c r="P1403" i="1"/>
  <c r="N1403" i="1"/>
  <c r="P1395" i="1"/>
  <c r="N1395" i="1"/>
  <c r="P1387" i="1"/>
  <c r="N1387" i="1"/>
  <c r="P1379" i="1"/>
  <c r="N1379" i="1"/>
  <c r="P1371" i="1"/>
  <c r="N1371" i="1"/>
  <c r="N1363" i="1"/>
  <c r="P1363" i="1"/>
  <c r="P1355" i="1"/>
  <c r="N1355" i="1"/>
  <c r="P1347" i="1"/>
  <c r="N1347" i="1"/>
  <c r="P1339" i="1"/>
  <c r="N1339" i="1"/>
  <c r="P1331" i="1"/>
  <c r="N1331" i="1"/>
  <c r="P1323" i="1"/>
  <c r="N1323" i="1"/>
  <c r="P1315" i="1"/>
  <c r="N1315" i="1"/>
  <c r="P1307" i="1"/>
  <c r="N1307" i="1"/>
  <c r="P1299" i="1"/>
  <c r="N1299" i="1"/>
  <c r="P1291" i="1"/>
  <c r="N1291" i="1"/>
  <c r="P1283" i="1"/>
  <c r="N1283" i="1"/>
  <c r="P1275" i="1"/>
  <c r="N1275" i="1"/>
  <c r="P1267" i="1"/>
  <c r="N1267" i="1"/>
  <c r="P1259" i="1"/>
  <c r="N1259" i="1"/>
  <c r="P1251" i="1"/>
  <c r="N1251" i="1"/>
  <c r="P1243" i="1"/>
  <c r="N1243" i="1"/>
  <c r="P1235" i="1"/>
  <c r="N1235" i="1"/>
  <c r="P1227" i="1"/>
  <c r="N1227" i="1"/>
  <c r="P1219" i="1"/>
  <c r="N1219" i="1"/>
  <c r="P1211" i="1"/>
  <c r="N1211" i="1"/>
  <c r="P1203" i="1"/>
  <c r="N1203" i="1"/>
  <c r="P1195" i="1"/>
  <c r="N1195" i="1"/>
  <c r="P1187" i="1"/>
  <c r="N1187" i="1"/>
  <c r="P1179" i="1"/>
  <c r="N1179" i="1"/>
  <c r="P1171" i="1"/>
  <c r="N1171" i="1"/>
  <c r="P1147" i="1"/>
  <c r="N1147" i="1"/>
  <c r="P1131" i="1"/>
  <c r="N1131" i="1"/>
  <c r="P1123" i="1"/>
  <c r="N1123" i="1"/>
  <c r="P1115" i="1"/>
  <c r="N1115" i="1"/>
  <c r="P1107" i="1"/>
  <c r="N1107" i="1"/>
  <c r="P1083" i="1"/>
  <c r="N1083" i="1"/>
  <c r="P1075" i="1"/>
  <c r="N1075" i="1"/>
  <c r="P1067" i="1"/>
  <c r="N1067" i="1"/>
  <c r="P1059" i="1"/>
  <c r="N1059" i="1"/>
  <c r="P1051" i="1"/>
  <c r="N1051" i="1"/>
  <c r="P1043" i="1"/>
  <c r="N1043" i="1"/>
  <c r="P1019" i="1"/>
  <c r="N1019" i="1"/>
  <c r="P1011" i="1"/>
  <c r="N1011" i="1"/>
  <c r="P1003" i="1"/>
  <c r="N1003" i="1"/>
  <c r="P995" i="1"/>
  <c r="N995" i="1"/>
  <c r="P987" i="1"/>
  <c r="N987" i="1"/>
  <c r="P979" i="1"/>
  <c r="N979" i="1"/>
  <c r="P955" i="1"/>
  <c r="N955" i="1"/>
  <c r="P947" i="1"/>
  <c r="N947" i="1"/>
  <c r="P939" i="1"/>
  <c r="N939" i="1"/>
  <c r="P931" i="1"/>
  <c r="N931" i="1"/>
  <c r="P923" i="1"/>
  <c r="N923" i="1"/>
  <c r="P915" i="1"/>
  <c r="N915" i="1"/>
  <c r="P891" i="1"/>
  <c r="N891" i="1"/>
  <c r="P883" i="1"/>
  <c r="N883" i="1"/>
  <c r="P875" i="1"/>
  <c r="N875" i="1"/>
  <c r="P867" i="1"/>
  <c r="N867" i="1"/>
  <c r="P859" i="1"/>
  <c r="N859" i="1"/>
  <c r="P851" i="1"/>
  <c r="N851" i="1"/>
  <c r="P827" i="1"/>
  <c r="N827" i="1"/>
  <c r="P819" i="1"/>
  <c r="N819" i="1"/>
  <c r="P811" i="1"/>
  <c r="N811" i="1"/>
  <c r="P803" i="1"/>
  <c r="N803" i="1"/>
  <c r="P795" i="1"/>
  <c r="N795" i="1"/>
  <c r="P787" i="1"/>
  <c r="N787" i="1"/>
  <c r="P763" i="1"/>
  <c r="N763" i="1"/>
  <c r="P755" i="1"/>
  <c r="N755" i="1"/>
  <c r="P747" i="1"/>
  <c r="N747" i="1"/>
  <c r="P739" i="1"/>
  <c r="N739" i="1"/>
  <c r="P731" i="1"/>
  <c r="N731" i="1"/>
  <c r="P723" i="1"/>
  <c r="N723" i="1"/>
  <c r="P699" i="1"/>
  <c r="N699" i="1"/>
  <c r="P691" i="1"/>
  <c r="N691" i="1"/>
  <c r="P683" i="1"/>
  <c r="N683" i="1"/>
  <c r="P675" i="1"/>
  <c r="N675" i="1"/>
  <c r="P659" i="1"/>
  <c r="N659" i="1"/>
  <c r="P651" i="1"/>
  <c r="N651" i="1"/>
  <c r="P643" i="1"/>
  <c r="N643" i="1"/>
  <c r="P627" i="1"/>
  <c r="N627" i="1"/>
  <c r="P619" i="1"/>
  <c r="N619" i="1"/>
  <c r="P611" i="1"/>
  <c r="N611" i="1"/>
  <c r="P595" i="1"/>
  <c r="N595" i="1"/>
  <c r="P587" i="1"/>
  <c r="N587" i="1"/>
  <c r="P579" i="1"/>
  <c r="N579" i="1"/>
  <c r="P563" i="1"/>
  <c r="N563" i="1"/>
  <c r="P555" i="1"/>
  <c r="N555" i="1"/>
  <c r="P547" i="1"/>
  <c r="N547" i="1"/>
  <c r="P531" i="1"/>
  <c r="N531" i="1"/>
  <c r="P523" i="1"/>
  <c r="N523" i="1"/>
  <c r="P515" i="1"/>
  <c r="N515" i="1"/>
  <c r="P499" i="1"/>
  <c r="N499" i="1"/>
  <c r="P491" i="1"/>
  <c r="N491" i="1"/>
  <c r="P483" i="1"/>
  <c r="N483" i="1"/>
  <c r="P467" i="1"/>
  <c r="N467" i="1"/>
  <c r="P459" i="1"/>
  <c r="N459" i="1"/>
  <c r="P451" i="1"/>
  <c r="N451" i="1"/>
  <c r="P443" i="1"/>
  <c r="N443" i="1"/>
  <c r="P435" i="1"/>
  <c r="N435" i="1"/>
  <c r="P427" i="1"/>
  <c r="N427" i="1"/>
  <c r="P419" i="1"/>
  <c r="N419" i="1"/>
  <c r="P411" i="1"/>
  <c r="N411" i="1"/>
  <c r="P403" i="1"/>
  <c r="N403" i="1"/>
  <c r="P395" i="1"/>
  <c r="N395" i="1"/>
  <c r="P387" i="1"/>
  <c r="N387" i="1"/>
  <c r="P379" i="1"/>
  <c r="N379" i="1"/>
  <c r="P371" i="1"/>
  <c r="N371" i="1"/>
  <c r="P363" i="1"/>
  <c r="N363" i="1"/>
  <c r="P355" i="1"/>
  <c r="N355" i="1"/>
  <c r="P347" i="1"/>
  <c r="N347" i="1"/>
  <c r="P339" i="1"/>
  <c r="N339" i="1"/>
  <c r="P331" i="1"/>
  <c r="N331" i="1"/>
  <c r="P323" i="1"/>
  <c r="N323" i="1"/>
  <c r="P315" i="1"/>
  <c r="N315" i="1"/>
  <c r="P307" i="1"/>
  <c r="N307" i="1"/>
  <c r="P299" i="1"/>
  <c r="N299" i="1"/>
  <c r="P291" i="1"/>
  <c r="N291" i="1"/>
  <c r="P283" i="1"/>
  <c r="N283" i="1"/>
  <c r="P275" i="1"/>
  <c r="N275" i="1"/>
  <c r="P267" i="1"/>
  <c r="N267" i="1"/>
  <c r="P259" i="1"/>
  <c r="N259" i="1"/>
  <c r="P251" i="1"/>
  <c r="N251" i="1"/>
  <c r="P243" i="1"/>
  <c r="N243" i="1"/>
  <c r="P235" i="1"/>
  <c r="N235" i="1"/>
  <c r="P227" i="1"/>
  <c r="N227" i="1"/>
  <c r="P219" i="1"/>
  <c r="N219" i="1"/>
  <c r="P211" i="1"/>
  <c r="N211" i="1"/>
  <c r="P203" i="1"/>
  <c r="N203" i="1"/>
  <c r="P195" i="1"/>
  <c r="N195" i="1"/>
  <c r="P187" i="1"/>
  <c r="N187" i="1"/>
  <c r="P179" i="1"/>
  <c r="N179" i="1"/>
  <c r="P171" i="1"/>
  <c r="N171" i="1"/>
  <c r="P163" i="1"/>
  <c r="N163" i="1"/>
  <c r="P155" i="1"/>
  <c r="N155" i="1"/>
  <c r="P147" i="1"/>
  <c r="N147" i="1"/>
  <c r="P139" i="1"/>
  <c r="N139" i="1"/>
  <c r="P131" i="1"/>
  <c r="N131" i="1"/>
  <c r="P123" i="1"/>
  <c r="N123" i="1"/>
  <c r="P115" i="1"/>
  <c r="N115" i="1"/>
  <c r="P107" i="1"/>
  <c r="N107" i="1"/>
  <c r="P99" i="1"/>
  <c r="N99" i="1"/>
  <c r="P91" i="1"/>
  <c r="N91" i="1"/>
  <c r="P83" i="1"/>
  <c r="N83" i="1"/>
  <c r="P75" i="1"/>
  <c r="N75" i="1"/>
  <c r="P67" i="1"/>
  <c r="N67" i="1"/>
  <c r="P59" i="1"/>
  <c r="N59" i="1"/>
  <c r="P51" i="1"/>
  <c r="N51" i="1"/>
  <c r="P43" i="1"/>
  <c r="N43" i="1"/>
  <c r="P35" i="1"/>
  <c r="N35" i="1"/>
  <c r="P27" i="1"/>
  <c r="N27" i="1"/>
  <c r="P19" i="1"/>
  <c r="N19" i="1"/>
  <c r="P11" i="1"/>
  <c r="N11" i="1"/>
  <c r="P3" i="1"/>
  <c r="N3" i="1"/>
  <c r="N1689" i="1"/>
  <c r="P2488" i="1"/>
  <c r="N2488" i="1"/>
  <c r="P2432" i="1"/>
  <c r="N2432" i="1"/>
  <c r="P2376" i="1"/>
  <c r="N2376" i="1"/>
  <c r="P2192" i="1"/>
  <c r="N2192" i="1"/>
  <c r="P2128" i="1"/>
  <c r="N2128" i="1"/>
  <c r="P2072" i="1"/>
  <c r="N2072" i="1"/>
  <c r="P2016" i="1"/>
  <c r="N2016" i="1"/>
  <c r="P1952" i="1"/>
  <c r="N1952" i="1"/>
  <c r="P1880" i="1"/>
  <c r="N1880" i="1"/>
  <c r="P1824" i="1"/>
  <c r="N1824" i="1"/>
  <c r="P1776" i="1"/>
  <c r="N1776" i="1"/>
  <c r="P1736" i="1"/>
  <c r="N1736" i="1"/>
  <c r="P1680" i="1"/>
  <c r="N1680" i="1"/>
  <c r="P1640" i="1"/>
  <c r="N1640" i="1"/>
  <c r="P1592" i="1"/>
  <c r="N1592" i="1"/>
  <c r="P1552" i="1"/>
  <c r="N1552" i="1"/>
  <c r="P1496" i="1"/>
  <c r="N1496" i="1"/>
  <c r="P1440" i="1"/>
  <c r="N1440" i="1"/>
  <c r="P1384" i="1"/>
  <c r="N1384" i="1"/>
  <c r="P1320" i="1"/>
  <c r="N1320" i="1"/>
  <c r="P1256" i="1"/>
  <c r="N1256" i="1"/>
  <c r="P1208" i="1"/>
  <c r="N1208" i="1"/>
  <c r="P1152" i="1"/>
  <c r="N1152" i="1"/>
  <c r="P1040" i="1"/>
  <c r="N1040" i="1"/>
  <c r="P976" i="1"/>
  <c r="N976" i="1"/>
  <c r="P888" i="1"/>
  <c r="N888" i="1"/>
  <c r="P832" i="1"/>
  <c r="N832" i="1"/>
  <c r="P768" i="1"/>
  <c r="N768" i="1"/>
  <c r="P712" i="1"/>
  <c r="N712" i="1"/>
  <c r="P640" i="1"/>
  <c r="N640" i="1"/>
  <c r="P584" i="1"/>
  <c r="N584" i="1"/>
  <c r="P536" i="1"/>
  <c r="N536" i="1"/>
  <c r="P480" i="1"/>
  <c r="N480" i="1"/>
  <c r="N424" i="1"/>
  <c r="P424" i="1"/>
  <c r="P352" i="1"/>
  <c r="N352" i="1"/>
  <c r="P312" i="1"/>
  <c r="N312" i="1"/>
  <c r="P256" i="1"/>
  <c r="N256" i="1"/>
  <c r="P200" i="1"/>
  <c r="N200" i="1"/>
  <c r="P144" i="1"/>
  <c r="N144" i="1"/>
  <c r="P80" i="1"/>
  <c r="N80" i="1"/>
  <c r="P40" i="1"/>
  <c r="N40" i="1"/>
  <c r="P2516" i="1"/>
  <c r="N2516" i="1"/>
  <c r="P2461" i="1"/>
  <c r="N2461" i="1"/>
  <c r="P2405" i="1"/>
  <c r="N2405" i="1"/>
  <c r="P2331" i="1"/>
  <c r="N2331" i="1"/>
  <c r="P2268" i="1"/>
  <c r="N2268" i="1"/>
  <c r="P2178" i="1"/>
  <c r="N2178" i="1"/>
  <c r="P1884" i="1"/>
  <c r="N1884" i="1"/>
  <c r="P1806" i="1"/>
  <c r="N1806" i="1"/>
  <c r="P1756" i="1"/>
  <c r="N1756" i="1"/>
  <c r="P1678" i="1"/>
  <c r="N1678" i="1"/>
  <c r="P1614" i="1"/>
  <c r="N1614" i="1"/>
  <c r="P1543" i="1"/>
  <c r="N1543" i="1"/>
  <c r="P1380" i="1"/>
  <c r="N1380" i="1"/>
  <c r="P953" i="1"/>
  <c r="N953" i="1"/>
  <c r="P770" i="1"/>
  <c r="N770" i="1"/>
  <c r="P657" i="1"/>
  <c r="N657" i="1"/>
  <c r="P322" i="1"/>
  <c r="N322" i="1"/>
  <c r="P1143" i="1"/>
  <c r="N1143" i="1"/>
  <c r="P1103" i="1"/>
  <c r="N1103" i="1"/>
  <c r="P1063" i="1"/>
  <c r="N1063" i="1"/>
  <c r="P999" i="1"/>
  <c r="N999" i="1"/>
  <c r="P735" i="1"/>
  <c r="N735" i="1"/>
  <c r="P2323" i="1"/>
  <c r="N2323" i="1"/>
  <c r="P2307" i="1"/>
  <c r="N2307" i="1"/>
  <c r="P2291" i="1"/>
  <c r="N2291" i="1"/>
  <c r="P2275" i="1"/>
  <c r="N2275" i="1"/>
  <c r="P2251" i="1"/>
  <c r="N2251" i="1"/>
  <c r="P2171" i="1"/>
  <c r="N2171" i="1"/>
  <c r="P2155" i="1"/>
  <c r="N2155" i="1"/>
  <c r="P2139" i="1"/>
  <c r="N2139" i="1"/>
  <c r="P2123" i="1"/>
  <c r="N2123" i="1"/>
  <c r="P2107" i="1"/>
  <c r="N2107" i="1"/>
  <c r="P2083" i="1"/>
  <c r="N2083" i="1"/>
  <c r="P2043" i="1"/>
  <c r="N2043" i="1"/>
  <c r="P1570" i="1"/>
  <c r="N1570" i="1"/>
  <c r="P1562" i="1"/>
  <c r="N1562" i="1"/>
  <c r="P1554" i="1"/>
  <c r="N1554" i="1"/>
  <c r="P1546" i="1"/>
  <c r="N1546" i="1"/>
  <c r="P1538" i="1"/>
  <c r="N1538" i="1"/>
  <c r="P1530" i="1"/>
  <c r="N1530" i="1"/>
  <c r="P1522" i="1"/>
  <c r="N1522" i="1"/>
  <c r="P1514" i="1"/>
  <c r="N1514" i="1"/>
  <c r="P1506" i="1"/>
  <c r="N1506" i="1"/>
  <c r="P1498" i="1"/>
  <c r="N1498" i="1"/>
  <c r="P1490" i="1"/>
  <c r="N1490" i="1"/>
  <c r="P1482" i="1"/>
  <c r="N1482" i="1"/>
  <c r="P1474" i="1"/>
  <c r="N1474" i="1"/>
  <c r="P1466" i="1"/>
  <c r="N1466" i="1"/>
  <c r="P1458" i="1"/>
  <c r="N1458" i="1"/>
  <c r="P1450" i="1"/>
  <c r="N1450" i="1"/>
  <c r="P1442" i="1"/>
  <c r="N1442" i="1"/>
  <c r="P1434" i="1"/>
  <c r="N1434" i="1"/>
  <c r="P1426" i="1"/>
  <c r="N1426" i="1"/>
  <c r="P1418" i="1"/>
  <c r="N1418" i="1"/>
  <c r="P1410" i="1"/>
  <c r="N1410" i="1"/>
  <c r="P1402" i="1"/>
  <c r="N1402" i="1"/>
  <c r="P1394" i="1"/>
  <c r="N1394" i="1"/>
  <c r="P1386" i="1"/>
  <c r="N1386" i="1"/>
  <c r="P1378" i="1"/>
  <c r="N1378" i="1"/>
  <c r="P1370" i="1"/>
  <c r="N1370" i="1"/>
  <c r="P1362" i="1"/>
  <c r="N1362" i="1"/>
  <c r="P1354" i="1"/>
  <c r="N1354" i="1"/>
  <c r="P1346" i="1"/>
  <c r="N1346" i="1"/>
  <c r="P1338" i="1"/>
  <c r="N1338" i="1"/>
  <c r="P1330" i="1"/>
  <c r="N1330" i="1"/>
  <c r="P1322" i="1"/>
  <c r="N1322" i="1"/>
  <c r="P1314" i="1"/>
  <c r="N1314" i="1"/>
  <c r="P1306" i="1"/>
  <c r="N1306" i="1"/>
  <c r="P1298" i="1"/>
  <c r="N1298" i="1"/>
  <c r="P1290" i="1"/>
  <c r="N1290" i="1"/>
  <c r="P1282" i="1"/>
  <c r="N1282" i="1"/>
  <c r="P1274" i="1"/>
  <c r="N1274" i="1"/>
  <c r="P1266" i="1"/>
  <c r="N1266" i="1"/>
  <c r="P1258" i="1"/>
  <c r="N1258" i="1"/>
  <c r="P1250" i="1"/>
  <c r="N1250" i="1"/>
  <c r="P1242" i="1"/>
  <c r="N1242" i="1"/>
  <c r="P1234" i="1"/>
  <c r="N1234" i="1"/>
  <c r="P1226" i="1"/>
  <c r="N1226" i="1"/>
  <c r="P1218" i="1"/>
  <c r="N1218" i="1"/>
  <c r="P1210" i="1"/>
  <c r="N1210" i="1"/>
  <c r="P1202" i="1"/>
  <c r="N1202" i="1"/>
  <c r="P1194" i="1"/>
  <c r="N1194" i="1"/>
  <c r="P1186" i="1"/>
  <c r="N1186" i="1"/>
  <c r="P1178" i="1"/>
  <c r="N1178" i="1"/>
  <c r="P1170" i="1"/>
  <c r="N1170" i="1"/>
  <c r="P1162" i="1"/>
  <c r="N1162" i="1"/>
  <c r="P1138" i="1"/>
  <c r="N1138" i="1"/>
  <c r="P1122" i="1"/>
  <c r="N1122" i="1"/>
  <c r="P1114" i="1"/>
  <c r="N1114" i="1"/>
  <c r="P1106" i="1"/>
  <c r="N1106" i="1"/>
  <c r="P1098" i="1"/>
  <c r="N1098" i="1"/>
  <c r="P1074" i="1"/>
  <c r="N1074" i="1"/>
  <c r="P1066" i="1"/>
  <c r="N1066" i="1"/>
  <c r="P1058" i="1"/>
  <c r="N1058" i="1"/>
  <c r="P1050" i="1"/>
  <c r="N1050" i="1"/>
  <c r="P1042" i="1"/>
  <c r="N1042" i="1"/>
  <c r="P1034" i="1"/>
  <c r="N1034" i="1"/>
  <c r="P1010" i="1"/>
  <c r="N1010" i="1"/>
  <c r="P1002" i="1"/>
  <c r="N1002" i="1"/>
  <c r="P994" i="1"/>
  <c r="N994" i="1"/>
  <c r="P986" i="1"/>
  <c r="N986" i="1"/>
  <c r="P978" i="1"/>
  <c r="N978" i="1"/>
  <c r="P970" i="1"/>
  <c r="N970" i="1"/>
  <c r="P946" i="1"/>
  <c r="N946" i="1"/>
  <c r="P938" i="1"/>
  <c r="N938" i="1"/>
  <c r="P930" i="1"/>
  <c r="N930" i="1"/>
  <c r="P922" i="1"/>
  <c r="N922" i="1"/>
  <c r="P914" i="1"/>
  <c r="N914" i="1"/>
  <c r="P906" i="1"/>
  <c r="N906" i="1"/>
  <c r="P882" i="1"/>
  <c r="N882" i="1"/>
  <c r="P874" i="1"/>
  <c r="N874" i="1"/>
  <c r="P866" i="1"/>
  <c r="N866" i="1"/>
  <c r="P858" i="1"/>
  <c r="N858" i="1"/>
  <c r="P850" i="1"/>
  <c r="N850" i="1"/>
  <c r="P842" i="1"/>
  <c r="N842" i="1"/>
  <c r="P818" i="1"/>
  <c r="N818" i="1"/>
  <c r="P810" i="1"/>
  <c r="N810" i="1"/>
  <c r="P802" i="1"/>
  <c r="N802" i="1"/>
  <c r="P794" i="1"/>
  <c r="N794" i="1"/>
  <c r="P786" i="1"/>
  <c r="N786" i="1"/>
  <c r="P778" i="1"/>
  <c r="N778" i="1"/>
  <c r="P754" i="1"/>
  <c r="N754" i="1"/>
  <c r="P746" i="1"/>
  <c r="N746" i="1"/>
  <c r="P738" i="1"/>
  <c r="N738" i="1"/>
  <c r="P730" i="1"/>
  <c r="N730" i="1"/>
  <c r="P722" i="1"/>
  <c r="N722" i="1"/>
  <c r="P714" i="1"/>
  <c r="N714" i="1"/>
  <c r="P690" i="1"/>
  <c r="N690" i="1"/>
  <c r="P682" i="1"/>
  <c r="N682" i="1"/>
  <c r="P674" i="1"/>
  <c r="N674" i="1"/>
  <c r="P666" i="1"/>
  <c r="N666" i="1"/>
  <c r="P650" i="1"/>
  <c r="N650" i="1"/>
  <c r="P642" i="1"/>
  <c r="N642" i="1"/>
  <c r="P634" i="1"/>
  <c r="N634" i="1"/>
  <c r="P618" i="1"/>
  <c r="N618" i="1"/>
  <c r="P610" i="1"/>
  <c r="N610" i="1"/>
  <c r="P602" i="1"/>
  <c r="N602" i="1"/>
  <c r="P586" i="1"/>
  <c r="N586" i="1"/>
  <c r="P578" i="1"/>
  <c r="N578" i="1"/>
  <c r="P570" i="1"/>
  <c r="N570" i="1"/>
  <c r="P554" i="1"/>
  <c r="N554" i="1"/>
  <c r="P546" i="1"/>
  <c r="N546" i="1"/>
  <c r="P538" i="1"/>
  <c r="N538" i="1"/>
  <c r="P522" i="1"/>
  <c r="N522" i="1"/>
  <c r="P514" i="1"/>
  <c r="N514" i="1"/>
  <c r="P506" i="1"/>
  <c r="N506" i="1"/>
  <c r="P490" i="1"/>
  <c r="N490" i="1"/>
  <c r="P482" i="1"/>
  <c r="N482" i="1"/>
  <c r="P474" i="1"/>
  <c r="N474" i="1"/>
  <c r="P458" i="1"/>
  <c r="N458" i="1"/>
  <c r="P442" i="1"/>
  <c r="N442" i="1"/>
  <c r="P434" i="1"/>
  <c r="N434" i="1"/>
  <c r="P426" i="1"/>
  <c r="N426" i="1"/>
  <c r="P418" i="1"/>
  <c r="N418" i="1"/>
  <c r="P410" i="1"/>
  <c r="N410" i="1"/>
  <c r="P402" i="1"/>
  <c r="N402" i="1"/>
  <c r="P386" i="1"/>
  <c r="N386" i="1"/>
  <c r="P378" i="1"/>
  <c r="N378" i="1"/>
  <c r="P370" i="1"/>
  <c r="N370" i="1"/>
  <c r="P362" i="1"/>
  <c r="N362" i="1"/>
  <c r="P354" i="1"/>
  <c r="N354" i="1"/>
  <c r="P346" i="1"/>
  <c r="N346" i="1"/>
  <c r="P330" i="1"/>
  <c r="N330" i="1"/>
  <c r="P314" i="1"/>
  <c r="N314" i="1"/>
  <c r="P306" i="1"/>
  <c r="N306" i="1"/>
  <c r="P298" i="1"/>
  <c r="N298" i="1"/>
  <c r="P290" i="1"/>
  <c r="N290" i="1"/>
  <c r="P282" i="1"/>
  <c r="N282" i="1"/>
  <c r="P274" i="1"/>
  <c r="N274" i="1"/>
  <c r="P258" i="1"/>
  <c r="N258" i="1"/>
  <c r="P250" i="1"/>
  <c r="N250" i="1"/>
  <c r="P242" i="1"/>
  <c r="N242" i="1"/>
  <c r="P234" i="1"/>
  <c r="N234" i="1"/>
  <c r="P226" i="1"/>
  <c r="N226" i="1"/>
  <c r="P218" i="1"/>
  <c r="N218" i="1"/>
  <c r="P202" i="1"/>
  <c r="N202" i="1"/>
  <c r="P186" i="1"/>
  <c r="N186" i="1"/>
  <c r="P178" i="1"/>
  <c r="N178" i="1"/>
  <c r="P170" i="1"/>
  <c r="N170" i="1"/>
  <c r="P154" i="1"/>
  <c r="N154" i="1"/>
  <c r="P138" i="1"/>
  <c r="N138" i="1"/>
  <c r="P122" i="1"/>
  <c r="N122" i="1"/>
  <c r="N106" i="1"/>
  <c r="P106" i="1"/>
  <c r="P98" i="1"/>
  <c r="N98" i="1"/>
  <c r="P90" i="1"/>
  <c r="N90" i="1"/>
  <c r="P82" i="1"/>
  <c r="N82" i="1"/>
  <c r="P74" i="1"/>
  <c r="N74" i="1"/>
  <c r="P66" i="1"/>
  <c r="N66" i="1"/>
  <c r="P58" i="1"/>
  <c r="N58" i="1"/>
  <c r="P50" i="1"/>
  <c r="N50" i="1"/>
  <c r="P34" i="1"/>
  <c r="N34" i="1"/>
  <c r="P26" i="1"/>
  <c r="N26" i="1"/>
  <c r="P18" i="1"/>
  <c r="N18" i="1"/>
  <c r="N2330" i="1"/>
  <c r="N2195" i="1"/>
  <c r="P2520" i="1"/>
  <c r="N2520" i="1"/>
  <c r="P2464" i="1"/>
  <c r="N2464" i="1"/>
  <c r="P2400" i="1"/>
  <c r="N2400" i="1"/>
  <c r="P2344" i="1"/>
  <c r="N2344" i="1"/>
  <c r="P2296" i="1"/>
  <c r="N2296" i="1"/>
  <c r="P2240" i="1"/>
  <c r="N2240" i="1"/>
  <c r="P2168" i="1"/>
  <c r="N2168" i="1"/>
  <c r="P2112" i="1"/>
  <c r="N2112" i="1"/>
  <c r="P2056" i="1"/>
  <c r="N2056" i="1"/>
  <c r="P2008" i="1"/>
  <c r="N2008" i="1"/>
  <c r="P1960" i="1"/>
  <c r="N1960" i="1"/>
  <c r="P1896" i="1"/>
  <c r="N1896" i="1"/>
  <c r="P1832" i="1"/>
  <c r="N1832" i="1"/>
  <c r="P1768" i="1"/>
  <c r="N1768" i="1"/>
  <c r="P1704" i="1"/>
  <c r="N1704" i="1"/>
  <c r="P1560" i="1"/>
  <c r="N1560" i="1"/>
  <c r="P1512" i="1"/>
  <c r="N1512" i="1"/>
  <c r="P1464" i="1"/>
  <c r="N1464" i="1"/>
  <c r="P1408" i="1"/>
  <c r="N1408" i="1"/>
  <c r="P1360" i="1"/>
  <c r="N1360" i="1"/>
  <c r="P1304" i="1"/>
  <c r="N1304" i="1"/>
  <c r="P1248" i="1"/>
  <c r="N1248" i="1"/>
  <c r="P1192" i="1"/>
  <c r="N1192" i="1"/>
  <c r="P1120" i="1"/>
  <c r="N1120" i="1"/>
  <c r="P1048" i="1"/>
  <c r="N1048" i="1"/>
  <c r="P984" i="1"/>
  <c r="N984" i="1"/>
  <c r="P928" i="1"/>
  <c r="N928" i="1"/>
  <c r="P824" i="1"/>
  <c r="N824" i="1"/>
  <c r="N760" i="1"/>
  <c r="P760" i="1"/>
  <c r="P704" i="1"/>
  <c r="N704" i="1"/>
  <c r="P648" i="1"/>
  <c r="N648" i="1"/>
  <c r="P576" i="1"/>
  <c r="N576" i="1"/>
  <c r="P520" i="1"/>
  <c r="N520" i="1"/>
  <c r="P464" i="1"/>
  <c r="N464" i="1"/>
  <c r="P416" i="1"/>
  <c r="N416" i="1"/>
  <c r="P360" i="1"/>
  <c r="N360" i="1"/>
  <c r="P288" i="1"/>
  <c r="N288" i="1"/>
  <c r="P232" i="1"/>
  <c r="N232" i="1"/>
  <c r="P168" i="1"/>
  <c r="N168" i="1"/>
  <c r="P104" i="1"/>
  <c r="N104" i="1"/>
  <c r="P2373" i="1"/>
  <c r="N2373" i="1"/>
  <c r="P146" i="1"/>
  <c r="N146" i="1"/>
  <c r="P2409" i="1"/>
  <c r="N2409" i="1"/>
  <c r="P2401" i="1"/>
  <c r="N2401" i="1"/>
  <c r="P2393" i="1"/>
  <c r="N2393" i="1"/>
  <c r="P2385" i="1"/>
  <c r="N2385" i="1"/>
  <c r="P2369" i="1"/>
  <c r="N2369" i="1"/>
  <c r="P2361" i="1"/>
  <c r="N2361" i="1"/>
  <c r="P2353" i="1"/>
  <c r="N2353" i="1"/>
  <c r="P2345" i="1"/>
  <c r="N2345" i="1"/>
  <c r="P2337" i="1"/>
  <c r="N2337" i="1"/>
  <c r="P2329" i="1"/>
  <c r="N2329" i="1"/>
  <c r="P2321" i="1"/>
  <c r="N2321" i="1"/>
  <c r="P2313" i="1"/>
  <c r="N2313" i="1"/>
  <c r="P2297" i="1"/>
  <c r="N2297" i="1"/>
  <c r="P2289" i="1"/>
  <c r="N2289" i="1"/>
  <c r="P2273" i="1"/>
  <c r="N2273" i="1"/>
  <c r="P2265" i="1"/>
  <c r="N2265" i="1"/>
  <c r="P2257" i="1"/>
  <c r="N2257" i="1"/>
  <c r="P2249" i="1"/>
  <c r="N2249" i="1"/>
  <c r="P2241" i="1"/>
  <c r="N2241" i="1"/>
  <c r="P2233" i="1"/>
  <c r="N2233" i="1"/>
  <c r="P2225" i="1"/>
  <c r="N2225" i="1"/>
  <c r="P2217" i="1"/>
  <c r="N2217" i="1"/>
  <c r="P2209" i="1"/>
  <c r="N2209" i="1"/>
  <c r="P2201" i="1"/>
  <c r="N2201" i="1"/>
  <c r="P2193" i="1"/>
  <c r="N2193" i="1"/>
  <c r="P2185" i="1"/>
  <c r="N2185" i="1"/>
  <c r="P2177" i="1"/>
  <c r="N2177" i="1"/>
  <c r="P2169" i="1"/>
  <c r="N2169" i="1"/>
  <c r="P2161" i="1"/>
  <c r="N2161" i="1"/>
  <c r="P2153" i="1"/>
  <c r="N2153" i="1"/>
  <c r="P2145" i="1"/>
  <c r="N2145" i="1"/>
  <c r="P2137" i="1"/>
  <c r="N2137" i="1"/>
  <c r="P2121" i="1"/>
  <c r="N2121" i="1"/>
  <c r="P2113" i="1"/>
  <c r="N2113" i="1"/>
  <c r="P2105" i="1"/>
  <c r="N2105" i="1"/>
  <c r="P2097" i="1"/>
  <c r="N2097" i="1"/>
  <c r="P2089" i="1"/>
  <c r="N2089" i="1"/>
  <c r="P2081" i="1"/>
  <c r="N2081" i="1"/>
  <c r="P2073" i="1"/>
  <c r="N2073" i="1"/>
  <c r="P2065" i="1"/>
  <c r="N2065" i="1"/>
  <c r="P2057" i="1"/>
  <c r="N2057" i="1"/>
  <c r="P2049" i="1"/>
  <c r="N2049" i="1"/>
  <c r="P2041" i="1"/>
  <c r="N2041" i="1"/>
  <c r="P2033" i="1"/>
  <c r="N2033" i="1"/>
  <c r="P2025" i="1"/>
  <c r="N2025" i="1"/>
  <c r="P2017" i="1"/>
  <c r="N2017" i="1"/>
  <c r="P2009" i="1"/>
  <c r="N2009" i="1"/>
  <c r="P2001" i="1"/>
  <c r="N2001" i="1"/>
  <c r="P1993" i="1"/>
  <c r="N1993" i="1"/>
  <c r="P1985" i="1"/>
  <c r="N1985" i="1"/>
  <c r="P1977" i="1"/>
  <c r="N1977" i="1"/>
  <c r="P1969" i="1"/>
  <c r="N1969" i="1"/>
  <c r="P1961" i="1"/>
  <c r="N1961" i="1"/>
  <c r="P1953" i="1"/>
  <c r="N1953" i="1"/>
  <c r="P1945" i="1"/>
  <c r="N1945" i="1"/>
  <c r="P1929" i="1"/>
  <c r="N1929" i="1"/>
  <c r="P1921" i="1"/>
  <c r="N1921" i="1"/>
  <c r="P1913" i="1"/>
  <c r="N1913" i="1"/>
  <c r="P1905" i="1"/>
  <c r="N1905" i="1"/>
  <c r="P1897" i="1"/>
  <c r="N1897" i="1"/>
  <c r="P1889" i="1"/>
  <c r="N1889" i="1"/>
  <c r="P1881" i="1"/>
  <c r="N1881" i="1"/>
  <c r="P1873" i="1"/>
  <c r="N1873" i="1"/>
  <c r="P1865" i="1"/>
  <c r="N1865" i="1"/>
  <c r="P1857" i="1"/>
  <c r="N1857" i="1"/>
  <c r="P1849" i="1"/>
  <c r="N1849" i="1"/>
  <c r="P1841" i="1"/>
  <c r="N1841" i="1"/>
  <c r="P1833" i="1"/>
  <c r="N1833" i="1"/>
  <c r="P1825" i="1"/>
  <c r="N1825" i="1"/>
  <c r="P1817" i="1"/>
  <c r="N1817" i="1"/>
  <c r="P1809" i="1"/>
  <c r="N1809" i="1"/>
  <c r="P1801" i="1"/>
  <c r="N1801" i="1"/>
  <c r="P1793" i="1"/>
  <c r="N1793" i="1"/>
  <c r="P1785" i="1"/>
  <c r="N1785" i="1"/>
  <c r="P1777" i="1"/>
  <c r="N1777" i="1"/>
  <c r="P1769" i="1"/>
  <c r="N1769" i="1"/>
  <c r="P1761" i="1"/>
  <c r="N1761" i="1"/>
  <c r="P1753" i="1"/>
  <c r="N1753" i="1"/>
  <c r="P1745" i="1"/>
  <c r="N1745" i="1"/>
  <c r="P1737" i="1"/>
  <c r="N1737" i="1"/>
  <c r="P1729" i="1"/>
  <c r="N1729" i="1"/>
  <c r="P1721" i="1"/>
  <c r="N1721" i="1"/>
  <c r="P1713" i="1"/>
  <c r="N1713" i="1"/>
  <c r="P1705" i="1"/>
  <c r="N1705" i="1"/>
  <c r="P1697" i="1"/>
  <c r="N1697" i="1"/>
  <c r="P1681" i="1"/>
  <c r="N1681" i="1"/>
  <c r="P1673" i="1"/>
  <c r="N1673" i="1"/>
  <c r="P1665" i="1"/>
  <c r="N1665" i="1"/>
  <c r="P1657" i="1"/>
  <c r="N1657" i="1"/>
  <c r="P1649" i="1"/>
  <c r="N1649" i="1"/>
  <c r="P1641" i="1"/>
  <c r="N1641" i="1"/>
  <c r="P1633" i="1"/>
  <c r="N1633" i="1"/>
  <c r="P1625" i="1"/>
  <c r="N1625" i="1"/>
  <c r="P1617" i="1"/>
  <c r="N1617" i="1"/>
  <c r="P1609" i="1"/>
  <c r="N1609" i="1"/>
  <c r="P1601" i="1"/>
  <c r="N1601" i="1"/>
  <c r="P1593" i="1"/>
  <c r="N1593" i="1"/>
  <c r="P1585" i="1"/>
  <c r="N1585" i="1"/>
  <c r="P1577" i="1"/>
  <c r="N1577" i="1"/>
  <c r="P1569" i="1"/>
  <c r="N1569" i="1"/>
  <c r="P1561" i="1"/>
  <c r="N1561" i="1"/>
  <c r="P1553" i="1"/>
  <c r="N1553" i="1"/>
  <c r="P1545" i="1"/>
  <c r="N1545" i="1"/>
  <c r="P1537" i="1"/>
  <c r="N1537" i="1"/>
  <c r="P1529" i="1"/>
  <c r="N1529" i="1"/>
  <c r="P1521" i="1"/>
  <c r="N1521" i="1"/>
  <c r="P1513" i="1"/>
  <c r="N1513" i="1"/>
  <c r="P1505" i="1"/>
  <c r="N1505" i="1"/>
  <c r="P1497" i="1"/>
  <c r="N1497" i="1"/>
  <c r="P1489" i="1"/>
  <c r="N1489" i="1"/>
  <c r="P1481" i="1"/>
  <c r="N1481" i="1"/>
  <c r="P1473" i="1"/>
  <c r="N1473" i="1"/>
  <c r="P1465" i="1"/>
  <c r="N1465" i="1"/>
  <c r="P1457" i="1"/>
  <c r="N1457" i="1"/>
  <c r="P1449" i="1"/>
  <c r="N1449" i="1"/>
  <c r="P1441" i="1"/>
  <c r="N1441" i="1"/>
  <c r="P1433" i="1"/>
  <c r="N1433" i="1"/>
  <c r="P1425" i="1"/>
  <c r="N1425" i="1"/>
  <c r="P1417" i="1"/>
  <c r="N1417" i="1"/>
  <c r="P1409" i="1"/>
  <c r="N1409" i="1"/>
  <c r="P1401" i="1"/>
  <c r="N1401" i="1"/>
  <c r="P1393" i="1"/>
  <c r="N1393" i="1"/>
  <c r="P1385" i="1"/>
  <c r="N1385" i="1"/>
  <c r="P1377" i="1"/>
  <c r="N1377" i="1"/>
  <c r="P1369" i="1"/>
  <c r="N1369" i="1"/>
  <c r="P1361" i="1"/>
  <c r="N1361" i="1"/>
  <c r="P1353" i="1"/>
  <c r="N1353" i="1"/>
  <c r="P1345" i="1"/>
  <c r="N1345" i="1"/>
  <c r="P1337" i="1"/>
  <c r="N1337" i="1"/>
  <c r="P1329" i="1"/>
  <c r="N1329" i="1"/>
  <c r="P1321" i="1"/>
  <c r="N1321" i="1"/>
  <c r="P1313" i="1"/>
  <c r="N1313" i="1"/>
  <c r="P1305" i="1"/>
  <c r="N1305" i="1"/>
  <c r="P1297" i="1"/>
  <c r="N1297" i="1"/>
  <c r="P1289" i="1"/>
  <c r="N1289" i="1"/>
  <c r="P1281" i="1"/>
  <c r="N1281" i="1"/>
  <c r="P1273" i="1"/>
  <c r="N1273" i="1"/>
  <c r="P1265" i="1"/>
  <c r="N1265" i="1"/>
  <c r="P1257" i="1"/>
  <c r="N1257" i="1"/>
  <c r="P1249" i="1"/>
  <c r="N1249" i="1"/>
  <c r="P1241" i="1"/>
  <c r="N1241" i="1"/>
  <c r="P1233" i="1"/>
  <c r="N1233" i="1"/>
  <c r="P1225" i="1"/>
  <c r="N1225" i="1"/>
  <c r="P1217" i="1"/>
  <c r="N1217" i="1"/>
  <c r="P1209" i="1"/>
  <c r="N1209" i="1"/>
  <c r="P1201" i="1"/>
  <c r="N1201" i="1"/>
  <c r="P1193" i="1"/>
  <c r="N1193" i="1"/>
  <c r="P1185" i="1"/>
  <c r="N1185" i="1"/>
  <c r="P1177" i="1"/>
  <c r="N1177" i="1"/>
  <c r="P1169" i="1"/>
  <c r="N1169" i="1"/>
  <c r="P1161" i="1"/>
  <c r="N1161" i="1"/>
  <c r="P1153" i="1"/>
  <c r="N1153" i="1"/>
  <c r="P1129" i="1"/>
  <c r="N1129" i="1"/>
  <c r="P1113" i="1"/>
  <c r="N1113" i="1"/>
  <c r="P1105" i="1"/>
  <c r="N1105" i="1"/>
  <c r="P1097" i="1"/>
  <c r="N1097" i="1"/>
  <c r="P1089" i="1"/>
  <c r="N1089" i="1"/>
  <c r="P1065" i="1"/>
  <c r="N1065" i="1"/>
  <c r="P1057" i="1"/>
  <c r="N1057" i="1"/>
  <c r="P1049" i="1"/>
  <c r="N1049" i="1"/>
  <c r="P1041" i="1"/>
  <c r="N1041" i="1"/>
  <c r="P1033" i="1"/>
  <c r="N1033" i="1"/>
  <c r="P1025" i="1"/>
  <c r="N1025" i="1"/>
  <c r="P1001" i="1"/>
  <c r="N1001" i="1"/>
  <c r="P993" i="1"/>
  <c r="N993" i="1"/>
  <c r="P985" i="1"/>
  <c r="N985" i="1"/>
  <c r="P977" i="1"/>
  <c r="N977" i="1"/>
  <c r="P969" i="1"/>
  <c r="N969" i="1"/>
  <c r="P961" i="1"/>
  <c r="N961" i="1"/>
  <c r="P937" i="1"/>
  <c r="N937" i="1"/>
  <c r="P929" i="1"/>
  <c r="N929" i="1"/>
  <c r="P921" i="1"/>
  <c r="N921" i="1"/>
  <c r="P913" i="1"/>
  <c r="N913" i="1"/>
  <c r="P905" i="1"/>
  <c r="N905" i="1"/>
  <c r="P897" i="1"/>
  <c r="N897" i="1"/>
  <c r="P873" i="1"/>
  <c r="N873" i="1"/>
  <c r="P865" i="1"/>
  <c r="N865" i="1"/>
  <c r="P857" i="1"/>
  <c r="N857" i="1"/>
  <c r="P849" i="1"/>
  <c r="N849" i="1"/>
  <c r="P841" i="1"/>
  <c r="N841" i="1"/>
  <c r="P833" i="1"/>
  <c r="N833" i="1"/>
  <c r="P809" i="1"/>
  <c r="N809" i="1"/>
  <c r="P801" i="1"/>
  <c r="N801" i="1"/>
  <c r="P793" i="1"/>
  <c r="N793" i="1"/>
  <c r="P785" i="1"/>
  <c r="N785" i="1"/>
  <c r="P777" i="1"/>
  <c r="N777" i="1"/>
  <c r="P769" i="1"/>
  <c r="N769" i="1"/>
  <c r="P745" i="1"/>
  <c r="N745" i="1"/>
  <c r="P737" i="1"/>
  <c r="N737" i="1"/>
  <c r="P729" i="1"/>
  <c r="N729" i="1"/>
  <c r="P721" i="1"/>
  <c r="N721" i="1"/>
  <c r="P713" i="1"/>
  <c r="N713" i="1"/>
  <c r="P705" i="1"/>
  <c r="N705" i="1"/>
  <c r="P681" i="1"/>
  <c r="N681" i="1"/>
  <c r="P673" i="1"/>
  <c r="N673" i="1"/>
  <c r="P665" i="1"/>
  <c r="N665" i="1"/>
  <c r="P649" i="1"/>
  <c r="N649" i="1"/>
  <c r="P641" i="1"/>
  <c r="N641" i="1"/>
  <c r="P633" i="1"/>
  <c r="N633" i="1"/>
  <c r="P617" i="1"/>
  <c r="N617" i="1"/>
  <c r="P609" i="1"/>
  <c r="N609" i="1"/>
  <c r="P601" i="1"/>
  <c r="N601" i="1"/>
  <c r="P585" i="1"/>
  <c r="N585" i="1"/>
  <c r="P577" i="1"/>
  <c r="N577" i="1"/>
  <c r="P569" i="1"/>
  <c r="N569" i="1"/>
  <c r="P553" i="1"/>
  <c r="N553" i="1"/>
  <c r="P545" i="1"/>
  <c r="N545" i="1"/>
  <c r="P537" i="1"/>
  <c r="N537" i="1"/>
  <c r="P521" i="1"/>
  <c r="N521" i="1"/>
  <c r="P513" i="1"/>
  <c r="N513" i="1"/>
  <c r="P505" i="1"/>
  <c r="N505" i="1"/>
  <c r="P489" i="1"/>
  <c r="N489" i="1"/>
  <c r="P481" i="1"/>
  <c r="N481" i="1"/>
  <c r="P473" i="1"/>
  <c r="N473" i="1"/>
  <c r="P457" i="1"/>
  <c r="N457" i="1"/>
  <c r="P449" i="1"/>
  <c r="N449" i="1"/>
  <c r="P441" i="1"/>
  <c r="N441" i="1"/>
  <c r="P433" i="1"/>
  <c r="N433" i="1"/>
  <c r="P417" i="1"/>
  <c r="N417" i="1"/>
  <c r="P401" i="1"/>
  <c r="N401" i="1"/>
  <c r="P393" i="1"/>
  <c r="N393" i="1"/>
  <c r="P385" i="1"/>
  <c r="N385" i="1"/>
  <c r="P377" i="1"/>
  <c r="N377" i="1"/>
  <c r="P369" i="1"/>
  <c r="N369" i="1"/>
  <c r="P361" i="1"/>
  <c r="N361" i="1"/>
  <c r="P345" i="1"/>
  <c r="N345" i="1"/>
  <c r="P337" i="1"/>
  <c r="N337" i="1"/>
  <c r="P329" i="1"/>
  <c r="N329" i="1"/>
  <c r="P321" i="1"/>
  <c r="N321" i="1"/>
  <c r="P313" i="1"/>
  <c r="N313" i="1"/>
  <c r="P305" i="1"/>
  <c r="N305" i="1"/>
  <c r="P289" i="1"/>
  <c r="N289" i="1"/>
  <c r="P273" i="1"/>
  <c r="N273" i="1"/>
  <c r="P265" i="1"/>
  <c r="N265" i="1"/>
  <c r="P257" i="1"/>
  <c r="N257" i="1"/>
  <c r="P249" i="1"/>
  <c r="N249" i="1"/>
  <c r="P241" i="1"/>
  <c r="N241" i="1"/>
  <c r="P233" i="1"/>
  <c r="N233" i="1"/>
  <c r="P217" i="1"/>
  <c r="N217" i="1"/>
  <c r="P209" i="1"/>
  <c r="N209" i="1"/>
  <c r="P201" i="1"/>
  <c r="N201" i="1"/>
  <c r="P193" i="1"/>
  <c r="N193" i="1"/>
  <c r="P185" i="1"/>
  <c r="N185" i="1"/>
  <c r="P177" i="1"/>
  <c r="N177" i="1"/>
  <c r="P169" i="1"/>
  <c r="N169" i="1"/>
  <c r="P161" i="1"/>
  <c r="N161" i="1"/>
  <c r="P153" i="1"/>
  <c r="N153" i="1"/>
  <c r="P145" i="1"/>
  <c r="N145" i="1"/>
  <c r="P137" i="1"/>
  <c r="N137" i="1"/>
  <c r="P129" i="1"/>
  <c r="N129" i="1"/>
  <c r="P121" i="1"/>
  <c r="N121" i="1"/>
  <c r="P113" i="1"/>
  <c r="N113" i="1"/>
  <c r="P105" i="1"/>
  <c r="N105" i="1"/>
  <c r="P97" i="1"/>
  <c r="N97" i="1"/>
  <c r="P89" i="1"/>
  <c r="N89" i="1"/>
  <c r="P81" i="1"/>
  <c r="N81" i="1"/>
  <c r="P73" i="1"/>
  <c r="N73" i="1"/>
  <c r="P65" i="1"/>
  <c r="N65" i="1"/>
  <c r="P57" i="1"/>
  <c r="N57" i="1"/>
  <c r="P49" i="1"/>
  <c r="N49" i="1"/>
  <c r="P41" i="1"/>
  <c r="N41" i="1"/>
  <c r="P33" i="1"/>
  <c r="N33" i="1"/>
  <c r="P17" i="1"/>
  <c r="N17" i="1"/>
  <c r="P2" i="1"/>
  <c r="N2" i="1"/>
  <c r="P10" i="1"/>
  <c r="N10" i="1"/>
  <c r="N1229" i="1"/>
</calcChain>
</file>

<file path=xl/sharedStrings.xml><?xml version="1.0" encoding="utf-8"?>
<sst xmlns="http://schemas.openxmlformats.org/spreadsheetml/2006/main" count="2557" uniqueCount="2557">
  <si>
    <t>created_at</t>
  </si>
  <si>
    <t>latitude</t>
  </si>
  <si>
    <t>longitude</t>
  </si>
  <si>
    <t>elevation</t>
  </si>
  <si>
    <t>status</t>
  </si>
  <si>
    <t>2023-02-06T15:37:32+07:00</t>
  </si>
  <si>
    <t>2023-02-07T08:39:18+07:00</t>
  </si>
  <si>
    <t>2023-02-07T08:39:39+07:00</t>
  </si>
  <si>
    <t>2023-02-07T08:40:19+07:00</t>
  </si>
  <si>
    <t>2023-02-07T08:40:39+07:00</t>
  </si>
  <si>
    <t>2023-02-07T08:40:59+07:00</t>
  </si>
  <si>
    <t>2023-02-07T08:41:59+07:00</t>
  </si>
  <si>
    <t>2023-02-07T08:42:19+07:00</t>
  </si>
  <si>
    <t>2023-02-07T08:43:01+07:00</t>
  </si>
  <si>
    <t>2023-02-08T12:26:48+07:00</t>
  </si>
  <si>
    <t>2023-02-08T15:00:17+07:00</t>
  </si>
  <si>
    <t>2023-02-11T09:37:02+07:00</t>
  </si>
  <si>
    <t>2023-03-28T12:17:57+07:00</t>
  </si>
  <si>
    <t>2023-03-28T12:18:17+07:00</t>
  </si>
  <si>
    <t>2023-03-28T12:19:12+07:00</t>
  </si>
  <si>
    <t>2023-03-28T12:19:32+07:00</t>
  </si>
  <si>
    <t>2023-03-28T12:19:52+07:00</t>
  </si>
  <si>
    <t>2023-03-28T12:20:12+07:00</t>
  </si>
  <si>
    <t>2023-03-28T12:22:28+07:00</t>
  </si>
  <si>
    <t>2023-03-28T12:22:48+07:00</t>
  </si>
  <si>
    <t>2023-03-28T12:23:08+07:00</t>
  </si>
  <si>
    <t>2023-03-28T12:23:33+07:00</t>
  </si>
  <si>
    <t>2023-08-12T08:41:31+07:00</t>
  </si>
  <si>
    <t>2023-08-12T08:41:52+07:00</t>
  </si>
  <si>
    <t>2023-08-12T08:42:15+07:00</t>
  </si>
  <si>
    <t>2023-08-12T08:42:50+07:00</t>
  </si>
  <si>
    <t>2023-08-12T08:43:10+07:00</t>
  </si>
  <si>
    <t>2023-08-12T08:43:30+07:00</t>
  </si>
  <si>
    <t>2023-08-12T08:43:51+07:00</t>
  </si>
  <si>
    <t>2023-08-12T08:44:10+07:00</t>
  </si>
  <si>
    <t>2023-08-12T08:44:30+07:00</t>
  </si>
  <si>
    <t>2023-08-12T08:44:50+07:00</t>
  </si>
  <si>
    <t>2023-08-12T08:45:10+07:00</t>
  </si>
  <si>
    <t>2023-08-12T08:45:31+07:00</t>
  </si>
  <si>
    <t>2023-08-12T08:45:51+07:00</t>
  </si>
  <si>
    <t>2023-08-12T08:46:10+07:00</t>
  </si>
  <si>
    <t>2023-08-12T08:46:31+07:00</t>
  </si>
  <si>
    <t>2023-08-12T08:46:50+07:00</t>
  </si>
  <si>
    <t>2023-08-12T08:47:10+07:00</t>
  </si>
  <si>
    <t>2023-08-12T08:47:32+07:00</t>
  </si>
  <si>
    <t>2023-08-12T08:47:55+07:00</t>
  </si>
  <si>
    <t>2023-08-12T08:48:20+07:00</t>
  </si>
  <si>
    <t>2023-08-12T08:48:35+07:00</t>
  </si>
  <si>
    <t>2023-08-12T08:49:11+07:00</t>
  </si>
  <si>
    <t>2023-08-12T08:49:31+07:00</t>
  </si>
  <si>
    <t>2023-08-12T08:49:51+07:00</t>
  </si>
  <si>
    <t>2023-08-12T08:50:11+07:00</t>
  </si>
  <si>
    <t>2023-08-12T08:50:33+07:00</t>
  </si>
  <si>
    <t>2023-08-12T08:51:12+07:00</t>
  </si>
  <si>
    <t>2023-08-12T08:51:32+07:00</t>
  </si>
  <si>
    <t>2023-08-12T08:51:52+07:00</t>
  </si>
  <si>
    <t>2023-08-12T08:52:16+07:00</t>
  </si>
  <si>
    <t>2023-08-12T08:53:31+07:00</t>
  </si>
  <si>
    <t>2023-08-12T08:53:51+07:00</t>
  </si>
  <si>
    <t>2023-08-12T08:54:12+07:00</t>
  </si>
  <si>
    <t>2023-08-12T08:54:31+07:00</t>
  </si>
  <si>
    <t>2023-08-12T08:55:02+07:00</t>
  </si>
  <si>
    <t>2023-08-12T08:55:31+07:00</t>
  </si>
  <si>
    <t>2023-08-12T08:55:54+07:00</t>
  </si>
  <si>
    <t>2023-08-12T08:56:12+07:00</t>
  </si>
  <si>
    <t>2023-08-12T08:56:31+07:00</t>
  </si>
  <si>
    <t>2023-08-12T08:57:11+07:00</t>
  </si>
  <si>
    <t>2023-08-12T08:58:12+07:00</t>
  </si>
  <si>
    <t>2023-08-12T08:58:52+07:00</t>
  </si>
  <si>
    <t>2023-08-12T08:59:12+07:00</t>
  </si>
  <si>
    <t>2023-08-12T08:59:51+07:00</t>
  </si>
  <si>
    <t>2023-08-12T09:00:32+07:00</t>
  </si>
  <si>
    <t>2023-08-12T09:01:12+07:00</t>
  </si>
  <si>
    <t>2023-08-12T09:01:52+07:00</t>
  </si>
  <si>
    <t>2023-08-12T09:02:32+07:00</t>
  </si>
  <si>
    <t>2023-08-12T09:03:11+07:00</t>
  </si>
  <si>
    <t>2023-08-12T09:04:11+07:00</t>
  </si>
  <si>
    <t>2023-08-12T09:04:32+07:00</t>
  </si>
  <si>
    <t>2023-08-12T09:05:32+07:00</t>
  </si>
  <si>
    <t>2023-08-12T09:06:01+07:00</t>
  </si>
  <si>
    <t>2023-08-12T09:06:16+07:00</t>
  </si>
  <si>
    <t>2023-08-12T09:06:31+07:00</t>
  </si>
  <si>
    <t>2023-08-12T09:06:52+07:00</t>
  </si>
  <si>
    <t>2023-08-12T09:07:20+07:00</t>
  </si>
  <si>
    <t>2023-08-12T09:07:53+07:00</t>
  </si>
  <si>
    <t>2023-08-12T09:08:13+07:00</t>
  </si>
  <si>
    <t>2023-08-12T09:08:31+07:00</t>
  </si>
  <si>
    <t>2023-08-12T09:09:13+07:00</t>
  </si>
  <si>
    <t>2023-08-12T09:10:00+07:00</t>
  </si>
  <si>
    <t>2023-08-12T09:10:39+07:00</t>
  </si>
  <si>
    <t>2023-08-12T09:49:00+07:00</t>
  </si>
  <si>
    <t>2023-08-12T09:49:40+07:00</t>
  </si>
  <si>
    <t>2023-08-12T09:50:01+07:00</t>
  </si>
  <si>
    <t>2023-08-12T09:50:20+07:00</t>
  </si>
  <si>
    <t>2023-08-12T09:50:40+07:00</t>
  </si>
  <si>
    <t>2023-08-12T09:51:01+07:00</t>
  </si>
  <si>
    <t>2023-08-12T09:52:40+07:00</t>
  </si>
  <si>
    <t>2023-08-12T09:53:01+07:00</t>
  </si>
  <si>
    <t>2023-08-12T09:53:21+07:00</t>
  </si>
  <si>
    <t>2023-08-12T09:53:44+07:00</t>
  </si>
  <si>
    <t>2023-08-12T09:54:44+07:00</t>
  </si>
  <si>
    <t>2023-08-12T09:55:01+07:00</t>
  </si>
  <si>
    <t>2023-08-12T10:00:04+07:00</t>
  </si>
  <si>
    <t>2023-08-12T10:00:22+07:00</t>
  </si>
  <si>
    <t>2023-08-12T10:00:43+07:00</t>
  </si>
  <si>
    <t>2023-08-12T10:01:03+07:00</t>
  </si>
  <si>
    <t>2023-08-12T10:01:22+07:00</t>
  </si>
  <si>
    <t>2023-08-12T10:01:43+07:00</t>
  </si>
  <si>
    <t>2023-08-12T10:02:22+07:00</t>
  </si>
  <si>
    <t>2023-08-12T10:03:02+07:00</t>
  </si>
  <si>
    <t>2023-08-12T10:03:24+07:00</t>
  </si>
  <si>
    <t>2023-08-12T10:03:43+07:00</t>
  </si>
  <si>
    <t>2023-08-12T10:04:22+07:00</t>
  </si>
  <si>
    <t>2023-08-12T10:04:43+07:00</t>
  </si>
  <si>
    <t>2023-08-12T10:05:43+07:00</t>
  </si>
  <si>
    <t>2023-08-12T10:06:03+07:00</t>
  </si>
  <si>
    <t>2023-08-12T10:06:22+07:00</t>
  </si>
  <si>
    <t>2023-08-12T10:07:23+07:00</t>
  </si>
  <si>
    <t>2023-08-12T10:07:43+07:00</t>
  </si>
  <si>
    <t>2023-08-12T10:08:02+07:00</t>
  </si>
  <si>
    <t>2023-08-12T10:08:22+07:00</t>
  </si>
  <si>
    <t>2023-08-12T10:09:22+07:00</t>
  </si>
  <si>
    <t>2023-08-12T10:11:04+07:00</t>
  </si>
  <si>
    <t>2023-08-12T10:11:22+07:00</t>
  </si>
  <si>
    <t>2023-08-12T10:11:43+07:00</t>
  </si>
  <si>
    <t>2023-08-12T10:12:24+07:00</t>
  </si>
  <si>
    <t>2023-08-12T10:12:43+07:00</t>
  </si>
  <si>
    <t>2023-08-12T10:14:02+07:00</t>
  </si>
  <si>
    <t>2023-08-12T10:14:22+07:00</t>
  </si>
  <si>
    <t>2023-08-12T10:14:43+07:00</t>
  </si>
  <si>
    <t>2023-08-12T10:15:02+07:00</t>
  </si>
  <si>
    <t>2023-08-12T10:16:43+07:00</t>
  </si>
  <si>
    <t>2023-08-12T10:17:44+07:00</t>
  </si>
  <si>
    <t>2023-08-12T10:18:02+07:00</t>
  </si>
  <si>
    <t>2023-08-12T10:18:44+07:00</t>
  </si>
  <si>
    <t>2023-08-12T10:19:03+07:00</t>
  </si>
  <si>
    <t>2023-08-12T10:19:22+07:00</t>
  </si>
  <si>
    <t>2023-08-12T10:19:43+07:00</t>
  </si>
  <si>
    <t>2023-08-12T10:20:06+07:00</t>
  </si>
  <si>
    <t>2023-08-12T10:20:43+07:00</t>
  </si>
  <si>
    <t>2023-08-12T10:21:04+07:00</t>
  </si>
  <si>
    <t>2023-08-12T10:21:22+07:00</t>
  </si>
  <si>
    <t>2023-08-12T10:21:43+07:00</t>
  </si>
  <si>
    <t>2023-08-12T10:23:28+07:00</t>
  </si>
  <si>
    <t>2023-08-12T10:24:24+07:00</t>
  </si>
  <si>
    <t>2023-08-12T10:25:23+07:00</t>
  </si>
  <si>
    <t>2023-08-12T10:25:44+07:00</t>
  </si>
  <si>
    <t>2023-08-12T10:26:05+07:00</t>
  </si>
  <si>
    <t>2023-08-12T10:26:32+07:00</t>
  </si>
  <si>
    <t>2023-08-12T10:27:04+07:00</t>
  </si>
  <si>
    <t>2023-08-12T10:27:44+07:00</t>
  </si>
  <si>
    <t>2023-08-12T10:28:44+07:00</t>
  </si>
  <si>
    <t>2023-08-12T19:52:25+07:00</t>
  </si>
  <si>
    <t>2023-08-12T19:52:45+07:00</t>
  </si>
  <si>
    <t>2023-08-12T19:53:05+07:00</t>
  </si>
  <si>
    <t>2023-08-12T19:53:25+07:00</t>
  </si>
  <si>
    <t>2023-08-12T19:53:45+07:00</t>
  </si>
  <si>
    <t>2023-08-12T19:54:05+07:00</t>
  </si>
  <si>
    <t>2023-08-12T19:54:25+07:00</t>
  </si>
  <si>
    <t>2023-08-12T19:54:45+07:00</t>
  </si>
  <si>
    <t>2023-08-12T19:55:05+07:00</t>
  </si>
  <si>
    <t>2023-08-12T19:55:27+07:00</t>
  </si>
  <si>
    <t>2023-08-12T19:55:47+07:00</t>
  </si>
  <si>
    <t>2023-08-12T19:56:07+07:00</t>
  </si>
  <si>
    <t>2023-08-12T19:56:27+07:00</t>
  </si>
  <si>
    <t>2023-08-12T19:56:47+07:00</t>
  </si>
  <si>
    <t>2023-08-12T19:57:07+07:00</t>
  </si>
  <si>
    <t>2023-08-12T19:57:27+07:00</t>
  </si>
  <si>
    <t>2023-08-12T19:57:47+07:00</t>
  </si>
  <si>
    <t>2023-08-12T19:58:07+07:00</t>
  </si>
  <si>
    <t>2023-08-12T19:58:27+07:00</t>
  </si>
  <si>
    <t>2023-08-12T19:58:47+07:00</t>
  </si>
  <si>
    <t>2023-08-12T19:59:07+07:00</t>
  </si>
  <si>
    <t>2023-08-12T19:59:27+07:00</t>
  </si>
  <si>
    <t>2023-08-12T19:59:47+07:00</t>
  </si>
  <si>
    <t>2023-08-12T20:00:07+07:00</t>
  </si>
  <si>
    <t>2023-08-12T20:00:27+07:00</t>
  </si>
  <si>
    <t>2023-08-12T20:00:47+07:00</t>
  </si>
  <si>
    <t>2023-08-12T20:01:07+07:00</t>
  </si>
  <si>
    <t>2023-08-12T20:01:27+07:00</t>
  </si>
  <si>
    <t>2023-08-12T20:01:47+07:00</t>
  </si>
  <si>
    <t>2023-08-12T20:02:07+07:00</t>
  </si>
  <si>
    <t>2023-08-12T20:02:28+07:00</t>
  </si>
  <si>
    <t>2023-08-12T20:02:47+07:00</t>
  </si>
  <si>
    <t>2023-08-12T20:03:07+07:00</t>
  </si>
  <si>
    <t>2023-08-12T20:03:27+07:00</t>
  </si>
  <si>
    <t>2023-08-12T20:03:47+07:00</t>
  </si>
  <si>
    <t>2023-08-12T20:04:07+07:00</t>
  </si>
  <si>
    <t>2023-08-12T20:04:27+07:00</t>
  </si>
  <si>
    <t>2023-08-12T20:04:47+07:00</t>
  </si>
  <si>
    <t>2023-08-12T20:05:07+07:00</t>
  </si>
  <si>
    <t>2023-08-12T20:05:27+07:00</t>
  </si>
  <si>
    <t>2023-08-12T20:05:47+07:00</t>
  </si>
  <si>
    <t>2023-08-12T20:06:07+07:00</t>
  </si>
  <si>
    <t>2023-08-12T20:06:27+07:00</t>
  </si>
  <si>
    <t>2023-08-12T20:06:47+07:00</t>
  </si>
  <si>
    <t>2023-08-12T20:07:07+07:00</t>
  </si>
  <si>
    <t>2023-08-12T20:07:27+07:00</t>
  </si>
  <si>
    <t>2023-08-12T20:07:47+07:00</t>
  </si>
  <si>
    <t>2023-08-12T20:08:07+07:00</t>
  </si>
  <si>
    <t>2023-08-12T20:08:27+07:00</t>
  </si>
  <si>
    <t>2023-08-12T20:08:47+07:00</t>
  </si>
  <si>
    <t>2023-08-12T20:09:07+07:00</t>
  </si>
  <si>
    <t>2023-08-12T20:09:27+07:00</t>
  </si>
  <si>
    <t>2023-08-12T20:09:47+07:00</t>
  </si>
  <si>
    <t>2023-08-12T20:10:07+07:00</t>
  </si>
  <si>
    <t>2023-08-12T20:10:27+07:00</t>
  </si>
  <si>
    <t>2023-08-12T20:10:47+07:00</t>
  </si>
  <si>
    <t>2023-08-12T20:11:07+07:00</t>
  </si>
  <si>
    <t>2023-08-12T20:11:27+07:00</t>
  </si>
  <si>
    <t>2023-08-12T20:11:47+07:00</t>
  </si>
  <si>
    <t>2023-08-12T20:12:07+07:00</t>
  </si>
  <si>
    <t>2023-08-12T20:12:27+07:00</t>
  </si>
  <si>
    <t>2023-08-12T20:12:47+07:00</t>
  </si>
  <si>
    <t>2023-08-12T20:13:07+07:00</t>
  </si>
  <si>
    <t>2023-08-12T20:13:27+07:00</t>
  </si>
  <si>
    <t>2023-08-12T20:13:47+07:00</t>
  </si>
  <si>
    <t>2023-08-12T20:14:07+07:00</t>
  </si>
  <si>
    <t>2023-08-12T20:14:27+07:00</t>
  </si>
  <si>
    <t>2023-08-12T20:14:47+07:00</t>
  </si>
  <si>
    <t>2023-08-12T20:15:07+07:00</t>
  </si>
  <si>
    <t>2023-08-12T20:15:27+07:00</t>
  </si>
  <si>
    <t>2023-08-12T20:15:47+07:00</t>
  </si>
  <si>
    <t>2023-08-12T20:16:07+07:00</t>
  </si>
  <si>
    <t>2023-08-12T20:16:27+07:00</t>
  </si>
  <si>
    <t>2023-08-12T20:16:47+07:00</t>
  </si>
  <si>
    <t>2023-08-12T20:17:07+07:00</t>
  </si>
  <si>
    <t>2023-08-12T20:17:27+07:00</t>
  </si>
  <si>
    <t>2023-08-12T20:17:47+07:00</t>
  </si>
  <si>
    <t>2023-08-12T20:18:07+07:00</t>
  </si>
  <si>
    <t>2023-08-12T20:18:27+07:00</t>
  </si>
  <si>
    <t>2023-08-12T20:18:48+07:00</t>
  </si>
  <si>
    <t>2023-08-12T20:19:07+07:00</t>
  </si>
  <si>
    <t>2023-08-12T20:19:27+07:00</t>
  </si>
  <si>
    <t>2023-08-12T20:19:47+07:00</t>
  </si>
  <si>
    <t>2023-08-12T20:20:07+07:00</t>
  </si>
  <si>
    <t>2023-08-12T20:20:27+07:00</t>
  </si>
  <si>
    <t>2023-08-12T20:20:47+07:00</t>
  </si>
  <si>
    <t>2023-08-12T20:21:07+07:00</t>
  </si>
  <si>
    <t>2023-08-12T20:21:27+07:00</t>
  </si>
  <si>
    <t>2023-08-12T20:21:47+07:00</t>
  </si>
  <si>
    <t>2023-08-12T20:22:07+07:00</t>
  </si>
  <si>
    <t>2023-08-12T20:22:27+07:00</t>
  </si>
  <si>
    <t>2023-08-12T20:22:47+07:00</t>
  </si>
  <si>
    <t>2023-08-12T20:23:07+07:00</t>
  </si>
  <si>
    <t>2023-08-12T20:23:27+07:00</t>
  </si>
  <si>
    <t>2023-08-12T20:23:47+07:00</t>
  </si>
  <si>
    <t>2023-08-12T20:24:07+07:00</t>
  </si>
  <si>
    <t>2023-08-12T20:24:27+07:00</t>
  </si>
  <si>
    <t>2023-08-12T20:24:47+07:00</t>
  </si>
  <si>
    <t>2023-08-12T20:25:07+07:00</t>
  </si>
  <si>
    <t>2023-08-12T20:25:27+07:00</t>
  </si>
  <si>
    <t>2023-08-12T20:25:47+07:00</t>
  </si>
  <si>
    <t>2023-08-12T20:26:07+07:00</t>
  </si>
  <si>
    <t>2023-08-12T20:26:27+07:00</t>
  </si>
  <si>
    <t>2023-08-12T20:26:47+07:00</t>
  </si>
  <si>
    <t>2023-08-12T20:27:07+07:00</t>
  </si>
  <si>
    <t>2023-08-12T20:27:27+07:00</t>
  </si>
  <si>
    <t>2023-08-12T20:27:47+07:00</t>
  </si>
  <si>
    <t>2023-08-12T20:28:07+07:00</t>
  </si>
  <si>
    <t>2023-08-12T20:28:27+07:00</t>
  </si>
  <si>
    <t>2023-08-12T20:28:47+07:00</t>
  </si>
  <si>
    <t>2023-08-12T20:29:07+07:00</t>
  </si>
  <si>
    <t>2023-08-12T20:29:27+07:00</t>
  </si>
  <si>
    <t>2023-08-12T20:29:47+07:00</t>
  </si>
  <si>
    <t>2023-08-12T20:30:07+07:00</t>
  </si>
  <si>
    <t>2023-08-12T20:30:27+07:00</t>
  </si>
  <si>
    <t>2023-08-12T20:30:47+07:00</t>
  </si>
  <si>
    <t>2023-08-12T20:31:07+07:00</t>
  </si>
  <si>
    <t>2023-08-12T20:31:27+07:00</t>
  </si>
  <si>
    <t>2023-08-12T20:31:47+07:00</t>
  </si>
  <si>
    <t>2023-08-12T20:32:07+07:00</t>
  </si>
  <si>
    <t>2023-08-12T20:32:27+07:00</t>
  </si>
  <si>
    <t>2023-08-12T20:32:47+07:00</t>
  </si>
  <si>
    <t>2023-08-12T20:33:07+07:00</t>
  </si>
  <si>
    <t>2023-08-12T20:33:27+07:00</t>
  </si>
  <si>
    <t>2023-08-12T20:33:47+07:00</t>
  </si>
  <si>
    <t>2023-08-12T20:34:07+07:00</t>
  </si>
  <si>
    <t>2023-08-12T20:34:27+07:00</t>
  </si>
  <si>
    <t>2023-08-12T20:34:47+07:00</t>
  </si>
  <si>
    <t>2023-08-12T20:35:07+07:00</t>
  </si>
  <si>
    <t>2023-08-12T20:35:27+07:00</t>
  </si>
  <si>
    <t>2023-08-12T20:35:47+07:00</t>
  </si>
  <si>
    <t>2023-08-12T20:36:07+07:00</t>
  </si>
  <si>
    <t>2023-08-12T20:36:27+07:00</t>
  </si>
  <si>
    <t>2023-08-12T20:36:47+07:00</t>
  </si>
  <si>
    <t>2023-08-12T20:37:07+07:00</t>
  </si>
  <si>
    <t>2023-08-12T20:37:27+07:00</t>
  </si>
  <si>
    <t>2023-08-12T20:37:47+07:00</t>
  </si>
  <si>
    <t>2023-08-12T20:38:07+07:00</t>
  </si>
  <si>
    <t>2023-08-12T20:38:27+07:00</t>
  </si>
  <si>
    <t>2023-08-12T20:38:47+07:00</t>
  </si>
  <si>
    <t>2023-08-12T20:39:07+07:00</t>
  </si>
  <si>
    <t>2023-08-12T20:39:27+07:00</t>
  </si>
  <si>
    <t>2023-08-12T20:39:47+07:00</t>
  </si>
  <si>
    <t>2023-08-12T20:40:07+07:00</t>
  </si>
  <si>
    <t>2023-08-12T20:40:27+07:00</t>
  </si>
  <si>
    <t>2023-08-12T20:40:47+07:00</t>
  </si>
  <si>
    <t>2023-08-12T20:41:07+07:00</t>
  </si>
  <si>
    <t>2023-08-12T20:41:27+07:00</t>
  </si>
  <si>
    <t>2023-08-12T20:41:47+07:00</t>
  </si>
  <si>
    <t>2023-08-12T20:42:07+07:00</t>
  </si>
  <si>
    <t>2023-08-12T20:42:27+07:00</t>
  </si>
  <si>
    <t>2023-08-12T20:42:47+07:00</t>
  </si>
  <si>
    <t>2023-08-12T20:43:07+07:00</t>
  </si>
  <si>
    <t>2023-08-12T20:43:27+07:00</t>
  </si>
  <si>
    <t>2023-08-12T20:43:47+07:00</t>
  </si>
  <si>
    <t>2023-08-12T20:44:07+07:00</t>
  </si>
  <si>
    <t>2023-08-12T20:44:27+07:00</t>
  </si>
  <si>
    <t>2023-08-12T20:44:47+07:00</t>
  </si>
  <si>
    <t>2023-08-12T20:45:07+07:00</t>
  </si>
  <si>
    <t>2023-08-12T20:45:27+07:00</t>
  </si>
  <si>
    <t>2023-08-12T20:45:47+07:00</t>
  </si>
  <si>
    <t>2023-08-12T20:46:07+07:00</t>
  </si>
  <si>
    <t>2023-08-12T20:46:27+07:00</t>
  </si>
  <si>
    <t>2023-08-12T20:46:47+07:00</t>
  </si>
  <si>
    <t>2023-08-12T20:47:07+07:00</t>
  </si>
  <si>
    <t>2023-08-12T20:47:27+07:00</t>
  </si>
  <si>
    <t>2023-08-12T20:47:47+07:00</t>
  </si>
  <si>
    <t>2023-08-12T20:48:07+07:00</t>
  </si>
  <si>
    <t>2023-08-12T20:48:27+07:00</t>
  </si>
  <si>
    <t>2023-08-12T20:48:47+07:00</t>
  </si>
  <si>
    <t>2023-08-12T20:49:07+07:00</t>
  </si>
  <si>
    <t>2023-08-12T20:49:27+07:00</t>
  </si>
  <si>
    <t>2023-08-12T20:49:47+07:00</t>
  </si>
  <si>
    <t>2023-08-12T20:50:07+07:00</t>
  </si>
  <si>
    <t>2023-08-12T20:50:27+07:00</t>
  </si>
  <si>
    <t>2023-08-12T20:50:47+07:00</t>
  </si>
  <si>
    <t>2023-08-12T20:51:07+07:00</t>
  </si>
  <si>
    <t>2023-08-12T20:51:27+07:00</t>
  </si>
  <si>
    <t>2023-08-12T20:51:47+07:00</t>
  </si>
  <si>
    <t>2023-08-12T20:52:07+07:00</t>
  </si>
  <si>
    <t>2023-08-12T20:52:27+07:00</t>
  </si>
  <si>
    <t>2023-08-12T20:52:47+07:00</t>
  </si>
  <si>
    <t>2023-08-12T20:53:07+07:00</t>
  </si>
  <si>
    <t>2023-08-12T20:53:27+07:00</t>
  </si>
  <si>
    <t>2023-08-12T20:53:47+07:00</t>
  </si>
  <si>
    <t>2023-08-12T20:54:07+07:00</t>
  </si>
  <si>
    <t>2023-08-12T20:54:27+07:00</t>
  </si>
  <si>
    <t>2023-08-12T20:54:47+07:00</t>
  </si>
  <si>
    <t>2023-08-12T20:55:07+07:00</t>
  </si>
  <si>
    <t>2023-08-12T20:55:27+07:00</t>
  </si>
  <si>
    <t>2023-08-12T20:55:47+07:00</t>
  </si>
  <si>
    <t>2023-08-12T20:56:07+07:00</t>
  </si>
  <si>
    <t>2023-08-12T20:56:27+07:00</t>
  </si>
  <si>
    <t>2023-08-12T20:56:47+07:00</t>
  </si>
  <si>
    <t>2023-08-12T20:57:07+07:00</t>
  </si>
  <si>
    <t>2023-08-12T20:57:27+07:00</t>
  </si>
  <si>
    <t>2023-08-12T20:57:47+07:00</t>
  </si>
  <si>
    <t>2023-08-12T20:58:08+07:00</t>
  </si>
  <si>
    <t>2023-08-12T20:58:27+07:00</t>
  </si>
  <si>
    <t>2023-08-12T20:58:47+07:00</t>
  </si>
  <si>
    <t>2023-08-12T20:59:07+07:00</t>
  </si>
  <si>
    <t>2023-08-12T20:59:27+07:00</t>
  </si>
  <si>
    <t>2023-08-12T20:59:47+07:00</t>
  </si>
  <si>
    <t>2023-08-12T21:00:07+07:00</t>
  </si>
  <si>
    <t>2023-08-12T21:00:27+07:00</t>
  </si>
  <si>
    <t>2023-08-12T21:00:47+07:00</t>
  </si>
  <si>
    <t>2023-08-12T21:01:07+07:00</t>
  </si>
  <si>
    <t>2023-08-12T21:01:27+07:00</t>
  </si>
  <si>
    <t>2023-08-12T21:01:47+07:00</t>
  </si>
  <si>
    <t>2023-08-12T21:02:07+07:00</t>
  </si>
  <si>
    <t>2023-08-12T21:02:27+07:00</t>
  </si>
  <si>
    <t>2023-08-12T21:02:47+07:00</t>
  </si>
  <si>
    <t>2023-08-12T21:03:07+07:00</t>
  </si>
  <si>
    <t>2023-08-12T21:03:27+07:00</t>
  </si>
  <si>
    <t>2023-08-12T21:03:47+07:00</t>
  </si>
  <si>
    <t>2023-08-12T21:04:07+07:00</t>
  </si>
  <si>
    <t>2023-08-12T21:04:27+07:00</t>
  </si>
  <si>
    <t>2023-08-12T21:04:47+07:00</t>
  </si>
  <si>
    <t>2023-08-12T21:05:07+07:00</t>
  </si>
  <si>
    <t>2023-08-12T21:05:27+07:00</t>
  </si>
  <si>
    <t>2023-08-12T21:05:47+07:00</t>
  </si>
  <si>
    <t>2023-08-12T21:06:07+07:00</t>
  </si>
  <si>
    <t>2023-08-12T21:06:27+07:00</t>
  </si>
  <si>
    <t>2023-08-12T21:06:47+07:00</t>
  </si>
  <si>
    <t>2023-08-12T21:07:07+07:00</t>
  </si>
  <si>
    <t>2023-08-12T21:07:27+07:00</t>
  </si>
  <si>
    <t>2023-08-12T21:07:47+07:00</t>
  </si>
  <si>
    <t>2023-08-12T21:08:07+07:00</t>
  </si>
  <si>
    <t>2023-08-12T21:08:27+07:00</t>
  </si>
  <si>
    <t>2023-08-12T21:08:47+07:00</t>
  </si>
  <si>
    <t>2023-08-12T21:09:07+07:00</t>
  </si>
  <si>
    <t>2023-08-12T21:09:27+07:00</t>
  </si>
  <si>
    <t>2023-08-12T21:09:47+07:00</t>
  </si>
  <si>
    <t>2023-08-12T21:10:07+07:00</t>
  </si>
  <si>
    <t>2023-08-12T21:10:27+07:00</t>
  </si>
  <si>
    <t>2023-08-12T21:10:47+07:00</t>
  </si>
  <si>
    <t>2023-08-12T21:11:07+07:00</t>
  </si>
  <si>
    <t>2023-08-12T21:11:27+07:00</t>
  </si>
  <si>
    <t>2023-08-12T21:11:47+07:00</t>
  </si>
  <si>
    <t>2023-08-12T21:12:07+07:00</t>
  </si>
  <si>
    <t>2023-08-12T21:12:27+07:00</t>
  </si>
  <si>
    <t>2023-08-12T21:12:47+07:00</t>
  </si>
  <si>
    <t>2023-08-12T21:13:07+07:00</t>
  </si>
  <si>
    <t>2023-08-12T21:13:27+07:00</t>
  </si>
  <si>
    <t>2023-08-12T21:13:47+07:00</t>
  </si>
  <si>
    <t>2023-08-12T21:14:07+07:00</t>
  </si>
  <si>
    <t>2023-08-12T21:14:27+07:00</t>
  </si>
  <si>
    <t>2023-08-12T21:14:47+07:00</t>
  </si>
  <si>
    <t>2023-08-12T21:15:07+07:00</t>
  </si>
  <si>
    <t>2023-08-12T21:15:27+07:00</t>
  </si>
  <si>
    <t>2023-08-12T21:15:47+07:00</t>
  </si>
  <si>
    <t>2023-08-12T21:16:07+07:00</t>
  </si>
  <si>
    <t>2023-08-12T21:16:27+07:00</t>
  </si>
  <si>
    <t>2023-08-12T21:16:47+07:00</t>
  </si>
  <si>
    <t>2023-08-12T21:17:07+07:00</t>
  </si>
  <si>
    <t>2023-08-12T21:17:27+07:00</t>
  </si>
  <si>
    <t>2023-08-12T21:17:47+07:00</t>
  </si>
  <si>
    <t>2023-08-12T21:18:07+07:00</t>
  </si>
  <si>
    <t>2023-08-12T21:18:27+07:00</t>
  </si>
  <si>
    <t>2023-08-12T21:18:47+07:00</t>
  </si>
  <si>
    <t>2023-08-12T21:19:07+07:00</t>
  </si>
  <si>
    <t>2023-08-12T21:19:27+07:00</t>
  </si>
  <si>
    <t>2023-08-12T21:19:47+07:00</t>
  </si>
  <si>
    <t>2023-08-12T21:20:07+07:00</t>
  </si>
  <si>
    <t>2023-08-12T21:20:27+07:00</t>
  </si>
  <si>
    <t>2023-08-12T21:20:48+07:00</t>
  </si>
  <si>
    <t>2023-08-12T21:21:07+07:00</t>
  </si>
  <si>
    <t>2023-08-12T21:21:27+07:00</t>
  </si>
  <si>
    <t>2023-08-12T21:21:47+07:00</t>
  </si>
  <si>
    <t>2023-08-12T21:22:07+07:00</t>
  </si>
  <si>
    <t>2023-08-12T21:22:27+07:00</t>
  </si>
  <si>
    <t>2023-08-12T21:22:47+07:00</t>
  </si>
  <si>
    <t>2023-08-12T21:23:07+07:00</t>
  </si>
  <si>
    <t>2023-08-12T21:23:27+07:00</t>
  </si>
  <si>
    <t>2023-08-12T21:23:47+07:00</t>
  </si>
  <si>
    <t>2023-08-12T21:24:07+07:00</t>
  </si>
  <si>
    <t>2023-08-12T21:24:27+07:00</t>
  </si>
  <si>
    <t>2023-08-12T21:24:47+07:00</t>
  </si>
  <si>
    <t>2023-08-12T21:25:07+07:00</t>
  </si>
  <si>
    <t>2023-08-12T21:25:27+07:00</t>
  </si>
  <si>
    <t>2023-08-12T21:25:47+07:00</t>
  </si>
  <si>
    <t>2023-08-12T21:26:07+07:00</t>
  </si>
  <si>
    <t>2023-08-12T21:26:27+07:00</t>
  </si>
  <si>
    <t>2023-08-12T21:26:47+07:00</t>
  </si>
  <si>
    <t>2023-08-12T21:27:07+07:00</t>
  </si>
  <si>
    <t>2023-08-12T21:27:27+07:00</t>
  </si>
  <si>
    <t>2023-08-12T21:27:47+07:00</t>
  </si>
  <si>
    <t>2023-08-12T21:28:07+07:00</t>
  </si>
  <si>
    <t>2023-08-12T21:28:27+07:00</t>
  </si>
  <si>
    <t>2023-08-12T21:28:47+07:00</t>
  </si>
  <si>
    <t>2023-08-12T21:29:07+07:00</t>
  </si>
  <si>
    <t>2023-08-12T21:29:27+07:00</t>
  </si>
  <si>
    <t>2023-08-12T21:29:47+07:00</t>
  </si>
  <si>
    <t>2023-08-12T21:30:07+07:00</t>
  </si>
  <si>
    <t>2023-08-12T21:30:27+07:00</t>
  </si>
  <si>
    <t>2023-08-12T21:30:47+07:00</t>
  </si>
  <si>
    <t>2023-08-12T21:31:07+07:00</t>
  </si>
  <si>
    <t>2023-08-12T21:31:27+07:00</t>
  </si>
  <si>
    <t>2023-08-12T21:31:47+07:00</t>
  </si>
  <si>
    <t>2023-08-12T21:32:07+07:00</t>
  </si>
  <si>
    <t>2023-08-12T21:32:27+07:00</t>
  </si>
  <si>
    <t>2023-08-12T21:32:47+07:00</t>
  </si>
  <si>
    <t>2023-08-12T21:33:07+07:00</t>
  </si>
  <si>
    <t>2023-08-12T21:33:27+07:00</t>
  </si>
  <si>
    <t>2023-08-12T21:33:47+07:00</t>
  </si>
  <si>
    <t>2023-08-12T21:34:07+07:00</t>
  </si>
  <si>
    <t>2023-08-12T21:34:27+07:00</t>
  </si>
  <si>
    <t>2023-08-12T21:34:47+07:00</t>
  </si>
  <si>
    <t>2023-08-12T21:35:07+07:00</t>
  </si>
  <si>
    <t>2023-08-12T21:35:26+07:00</t>
  </si>
  <si>
    <t>2023-08-12T21:35:47+07:00</t>
  </si>
  <si>
    <t>2023-08-12T21:36:07+07:00</t>
  </si>
  <si>
    <t>2023-08-12T21:36:27+07:00</t>
  </si>
  <si>
    <t>2023-08-12T21:36:47+07:00</t>
  </si>
  <si>
    <t>2023-08-12T21:37:07+07:00</t>
  </si>
  <si>
    <t>2023-08-12T21:37:27+07:00</t>
  </si>
  <si>
    <t>2023-08-12T21:37:47+07:00</t>
  </si>
  <si>
    <t>2023-08-12T21:38:07+07:00</t>
  </si>
  <si>
    <t>2023-08-12T21:38:27+07:00</t>
  </si>
  <si>
    <t>2023-08-12T21:38:47+07:00</t>
  </si>
  <si>
    <t>2023-08-12T21:39:07+07:00</t>
  </si>
  <si>
    <t>2023-08-12T21:39:27+07:00</t>
  </si>
  <si>
    <t>2023-08-12T21:39:47+07:00</t>
  </si>
  <si>
    <t>2023-08-12T21:40:07+07:00</t>
  </si>
  <si>
    <t>2023-08-12T21:40:27+07:00</t>
  </si>
  <si>
    <t>2023-08-12T21:40:47+07:00</t>
  </si>
  <si>
    <t>2023-08-12T21:41:07+07:00</t>
  </si>
  <si>
    <t>2023-08-12T21:41:27+07:00</t>
  </si>
  <si>
    <t>2023-08-12T21:41:47+07:00</t>
  </si>
  <si>
    <t>2023-08-12T21:42:07+07:00</t>
  </si>
  <si>
    <t>2023-08-12T21:42:27+07:00</t>
  </si>
  <si>
    <t>2023-08-12T21:42:47+07:00</t>
  </si>
  <si>
    <t>2023-08-12T21:43:07+07:00</t>
  </si>
  <si>
    <t>2023-08-12T21:43:27+07:00</t>
  </si>
  <si>
    <t>2023-08-12T21:43:47+07:00</t>
  </si>
  <si>
    <t>2023-08-12T21:44:07+07:00</t>
  </si>
  <si>
    <t>2023-08-12T21:44:27+07:00</t>
  </si>
  <si>
    <t>2023-08-12T21:44:47+07:00</t>
  </si>
  <si>
    <t>2023-08-12T21:45:07+07:00</t>
  </si>
  <si>
    <t>2023-08-12T21:45:27+07:00</t>
  </si>
  <si>
    <t>2023-08-12T21:45:47+07:00</t>
  </si>
  <si>
    <t>2023-08-12T21:46:07+07:00</t>
  </si>
  <si>
    <t>2023-08-12T21:46:27+07:00</t>
  </si>
  <si>
    <t>2023-08-12T21:46:47+07:00</t>
  </si>
  <si>
    <t>2023-08-12T21:47:07+07:00</t>
  </si>
  <si>
    <t>2023-08-12T21:47:27+07:00</t>
  </si>
  <si>
    <t>2023-08-12T21:47:47+07:00</t>
  </si>
  <si>
    <t>2023-08-12T21:48:07+07:00</t>
  </si>
  <si>
    <t>2023-08-12T21:48:27+07:00</t>
  </si>
  <si>
    <t>2023-08-12T21:48:47+07:00</t>
  </si>
  <si>
    <t>2023-08-12T21:49:07+07:00</t>
  </si>
  <si>
    <t>2023-08-12T21:49:27+07:00</t>
  </si>
  <si>
    <t>2023-08-12T21:49:47+07:00</t>
  </si>
  <si>
    <t>2023-08-12T21:50:07+07:00</t>
  </si>
  <si>
    <t>2023-08-12T21:50:27+07:00</t>
  </si>
  <si>
    <t>2023-08-12T21:50:47+07:00</t>
  </si>
  <si>
    <t>2023-08-12T21:51:07+07:00</t>
  </si>
  <si>
    <t>2023-08-12T21:51:27+07:00</t>
  </si>
  <si>
    <t>2023-08-12T21:51:47+07:00</t>
  </si>
  <si>
    <t>2023-08-12T21:52:06+07:00</t>
  </si>
  <si>
    <t>2023-08-12T21:52:27+07:00</t>
  </si>
  <si>
    <t>2023-08-12T21:52:47+07:00</t>
  </si>
  <si>
    <t>2023-08-12T21:53:07+07:00</t>
  </si>
  <si>
    <t>2023-08-12T21:53:27+07:00</t>
  </si>
  <si>
    <t>2023-08-12T21:53:47+07:00</t>
  </si>
  <si>
    <t>2023-08-12T21:54:07+07:00</t>
  </si>
  <si>
    <t>2023-08-12T21:54:27+07:00</t>
  </si>
  <si>
    <t>2023-08-12T21:54:47+07:00</t>
  </si>
  <si>
    <t>2023-08-12T21:55:07+07:00</t>
  </si>
  <si>
    <t>2023-08-12T21:55:27+07:00</t>
  </si>
  <si>
    <t>2023-08-12T21:55:46+07:00</t>
  </si>
  <si>
    <t>2023-08-12T21:56:07+07:00</t>
  </si>
  <si>
    <t>2023-08-12T21:56:27+07:00</t>
  </si>
  <si>
    <t>2023-08-12T21:56:47+07:00</t>
  </si>
  <si>
    <t>2023-08-12T21:57:07+07:00</t>
  </si>
  <si>
    <t>2023-08-12T21:57:27+07:00</t>
  </si>
  <si>
    <t>2023-08-12T21:57:47+07:00</t>
  </si>
  <si>
    <t>2023-08-12T21:58:07+07:00</t>
  </si>
  <si>
    <t>2023-08-12T21:58:27+07:00</t>
  </si>
  <si>
    <t>2023-08-12T21:58:47+07:00</t>
  </si>
  <si>
    <t>2023-08-12T21:59:07+07:00</t>
  </si>
  <si>
    <t>2023-08-12T21:59:27+07:00</t>
  </si>
  <si>
    <t>2023-08-12T21:59:47+07:00</t>
  </si>
  <si>
    <t>2023-08-12T22:00:07+07:00</t>
  </si>
  <si>
    <t>2023-08-12T22:00:27+07:00</t>
  </si>
  <si>
    <t>2023-08-12T22:00:47+07:00</t>
  </si>
  <si>
    <t>2023-08-12T22:01:07+07:00</t>
  </si>
  <si>
    <t>2023-08-12T22:01:27+07:00</t>
  </si>
  <si>
    <t>2023-08-12T22:01:47+07:00</t>
  </si>
  <si>
    <t>2023-08-12T22:02:07+07:00</t>
  </si>
  <si>
    <t>2023-08-12T22:02:27+07:00</t>
  </si>
  <si>
    <t>2023-08-12T22:02:47+07:00</t>
  </si>
  <si>
    <t>2023-08-12T22:03:07+07:00</t>
  </si>
  <si>
    <t>2023-08-12T22:03:27+07:00</t>
  </si>
  <si>
    <t>2023-08-12T22:03:47+07:00</t>
  </si>
  <si>
    <t>2023-08-12T22:04:07+07:00</t>
  </si>
  <si>
    <t>2023-08-12T22:04:27+07:00</t>
  </si>
  <si>
    <t>2023-08-12T22:04:47+07:00</t>
  </si>
  <si>
    <t>2023-08-12T22:05:07+07:00</t>
  </si>
  <si>
    <t>2023-08-12T22:05:27+07:00</t>
  </si>
  <si>
    <t>2023-08-12T22:05:47+07:00</t>
  </si>
  <si>
    <t>2023-08-12T22:06:07+07:00</t>
  </si>
  <si>
    <t>2023-08-12T22:06:27+07:00</t>
  </si>
  <si>
    <t>2023-08-12T22:06:47+07:00</t>
  </si>
  <si>
    <t>2023-08-12T22:07:07+07:00</t>
  </si>
  <si>
    <t>2023-08-12T22:07:27+07:00</t>
  </si>
  <si>
    <t>2023-08-12T22:07:47+07:00</t>
  </si>
  <si>
    <t>2023-08-12T22:08:07+07:00</t>
  </si>
  <si>
    <t>2023-08-12T22:08:27+07:00</t>
  </si>
  <si>
    <t>2023-08-12T22:08:47+07:00</t>
  </si>
  <si>
    <t>2023-08-12T22:09:07+07:00</t>
  </si>
  <si>
    <t>2023-08-12T22:09:27+07:00</t>
  </si>
  <si>
    <t>2023-08-12T22:09:47+07:00</t>
  </si>
  <si>
    <t>2023-08-12T22:10:07+07:00</t>
  </si>
  <si>
    <t>2023-08-12T22:10:27+07:00</t>
  </si>
  <si>
    <t>2023-08-12T22:10:47+07:00</t>
  </si>
  <si>
    <t>2023-08-12T22:11:07+07:00</t>
  </si>
  <si>
    <t>2023-08-12T22:11:27+07:00</t>
  </si>
  <si>
    <t>2023-08-12T22:11:47+07:00</t>
  </si>
  <si>
    <t>2023-08-12T22:12:07+07:00</t>
  </si>
  <si>
    <t>2023-08-12T22:12:27+07:00</t>
  </si>
  <si>
    <t>2023-08-12T22:12:47+07:00</t>
  </si>
  <si>
    <t>2023-08-12T22:13:07+07:00</t>
  </si>
  <si>
    <t>2023-08-12T22:13:27+07:00</t>
  </si>
  <si>
    <t>2023-08-12T22:13:47+07:00</t>
  </si>
  <si>
    <t>2023-08-12T22:14:07+07:00</t>
  </si>
  <si>
    <t>2023-08-12T22:14:27+07:00</t>
  </si>
  <si>
    <t>2023-08-12T22:14:47+07:00</t>
  </si>
  <si>
    <t>2023-08-12T22:15:07+07:00</t>
  </si>
  <si>
    <t>2023-08-12T22:15:27+07:00</t>
  </si>
  <si>
    <t>2023-08-12T22:15:47+07:00</t>
  </si>
  <si>
    <t>2023-08-12T22:16:07+07:00</t>
  </si>
  <si>
    <t>2023-08-12T22:16:27+07:00</t>
  </si>
  <si>
    <t>2023-08-12T22:16:47+07:00</t>
  </si>
  <si>
    <t>2023-08-12T22:17:07+07:00</t>
  </si>
  <si>
    <t>2023-08-12T22:17:27+07:00</t>
  </si>
  <si>
    <t>2023-08-12T22:17:47+07:00</t>
  </si>
  <si>
    <t>2023-08-12T22:18:07+07:00</t>
  </si>
  <si>
    <t>2023-08-12T22:18:27+07:00</t>
  </si>
  <si>
    <t>2023-08-12T22:18:47+07:00</t>
  </si>
  <si>
    <t>2023-08-12T22:19:07+07:00</t>
  </si>
  <si>
    <t>2023-08-12T22:19:27+07:00</t>
  </si>
  <si>
    <t>2023-08-12T22:19:47+07:00</t>
  </si>
  <si>
    <t>2023-08-12T22:20:07+07:00</t>
  </si>
  <si>
    <t>2023-08-12T22:20:27+07:00</t>
  </si>
  <si>
    <t>2023-08-12T22:20:47+07:00</t>
  </si>
  <si>
    <t>2023-08-12T22:21:07+07:00</t>
  </si>
  <si>
    <t>2023-08-12T22:21:27+07:00</t>
  </si>
  <si>
    <t>2023-08-12T22:21:47+07:00</t>
  </si>
  <si>
    <t>2023-08-12T22:22:07+07:00</t>
  </si>
  <si>
    <t>2023-08-12T22:22:27+07:00</t>
  </si>
  <si>
    <t>2023-08-12T22:22:47+07:00</t>
  </si>
  <si>
    <t>2023-08-12T22:23:07+07:00</t>
  </si>
  <si>
    <t>2023-08-12T22:23:27+07:00</t>
  </si>
  <si>
    <t>2023-08-12T22:23:47+07:00</t>
  </si>
  <si>
    <t>2023-08-12T22:24:07+07:00</t>
  </si>
  <si>
    <t>2023-08-12T22:24:27+07:00</t>
  </si>
  <si>
    <t>2023-08-12T22:24:47+07:00</t>
  </si>
  <si>
    <t>2023-08-12T22:25:07+07:00</t>
  </si>
  <si>
    <t>2023-08-12T22:25:27+07:00</t>
  </si>
  <si>
    <t>2023-08-12T22:25:47+07:00</t>
  </si>
  <si>
    <t>2023-08-12T22:26:07+07:00</t>
  </si>
  <si>
    <t>2023-08-12T22:26:27+07:00</t>
  </si>
  <si>
    <t>2023-08-12T22:26:47+07:00</t>
  </si>
  <si>
    <t>2023-08-12T22:27:07+07:00</t>
  </si>
  <si>
    <t>2023-08-12T22:27:27+07:00</t>
  </si>
  <si>
    <t>2023-08-12T22:27:47+07:00</t>
  </si>
  <si>
    <t>2023-08-12T22:28:07+07:00</t>
  </si>
  <si>
    <t>2023-08-12T22:28:27+07:00</t>
  </si>
  <si>
    <t>2023-08-12T22:28:47+07:00</t>
  </si>
  <si>
    <t>2023-08-12T22:29:07+07:00</t>
  </si>
  <si>
    <t>2023-08-12T22:29:27+07:00</t>
  </si>
  <si>
    <t>2023-08-12T22:29:47+07:00</t>
  </si>
  <si>
    <t>2023-08-12T22:30:07+07:00</t>
  </si>
  <si>
    <t>2023-08-12T22:30:27+07:00</t>
  </si>
  <si>
    <t>2023-08-12T22:30:47+07:00</t>
  </si>
  <si>
    <t>2023-08-12T22:31:07+07:00</t>
  </si>
  <si>
    <t>2023-08-12T22:31:27+07:00</t>
  </si>
  <si>
    <t>2023-08-12T22:31:47+07:00</t>
  </si>
  <si>
    <t>2023-08-12T22:32:07+07:00</t>
  </si>
  <si>
    <t>2023-08-12T22:32:27+07:00</t>
  </si>
  <si>
    <t>2023-08-12T22:32:47+07:00</t>
  </si>
  <si>
    <t>2023-08-12T22:33:07+07:00</t>
  </si>
  <si>
    <t>2023-08-12T22:33:27+07:00</t>
  </si>
  <si>
    <t>2023-08-12T22:33:47+07:00</t>
  </si>
  <si>
    <t>2023-08-12T22:34:07+07:00</t>
  </si>
  <si>
    <t>2023-08-12T22:34:27+07:00</t>
  </si>
  <si>
    <t>2023-08-12T22:34:47+07:00</t>
  </si>
  <si>
    <t>2023-08-12T22:35:07+07:00</t>
  </si>
  <si>
    <t>2023-08-12T22:35:27+07:00</t>
  </si>
  <si>
    <t>2023-08-12T22:35:47+07:00</t>
  </si>
  <si>
    <t>2023-08-12T22:36:07+07:00</t>
  </si>
  <si>
    <t>2023-08-12T22:36:27+07:00</t>
  </si>
  <si>
    <t>2023-08-12T22:36:47+07:00</t>
  </si>
  <si>
    <t>2023-08-12T22:37:07+07:00</t>
  </si>
  <si>
    <t>2023-08-12T22:37:27+07:00</t>
  </si>
  <si>
    <t>2023-08-12T22:37:47+07:00</t>
  </si>
  <si>
    <t>2023-08-12T22:38:07+07:00</t>
  </si>
  <si>
    <t>2023-08-12T22:38:27+07:00</t>
  </si>
  <si>
    <t>2023-08-12T22:38:47+07:00</t>
  </si>
  <si>
    <t>2023-08-12T22:39:07+07:00</t>
  </si>
  <si>
    <t>2023-08-12T22:39:27+07:00</t>
  </si>
  <si>
    <t>2023-08-12T22:39:47+07:00</t>
  </si>
  <si>
    <t>2023-08-12T22:40:07+07:00</t>
  </si>
  <si>
    <t>2023-08-12T22:40:27+07:00</t>
  </si>
  <si>
    <t>2023-08-12T22:40:47+07:00</t>
  </si>
  <si>
    <t>2023-08-12T22:41:07+07:00</t>
  </si>
  <si>
    <t>2023-08-12T22:41:27+07:00</t>
  </si>
  <si>
    <t>2023-08-12T22:41:47+07:00</t>
  </si>
  <si>
    <t>2023-08-12T22:42:07+07:00</t>
  </si>
  <si>
    <t>2023-08-12T22:42:27+07:00</t>
  </si>
  <si>
    <t>2023-08-12T22:42:47+07:00</t>
  </si>
  <si>
    <t>2023-08-12T22:43:07+07:00</t>
  </si>
  <si>
    <t>2023-08-12T22:43:27+07:00</t>
  </si>
  <si>
    <t>2023-08-12T22:43:47+07:00</t>
  </si>
  <si>
    <t>2023-08-12T22:44:07+07:00</t>
  </si>
  <si>
    <t>2023-08-12T22:44:27+07:00</t>
  </si>
  <si>
    <t>2023-08-12T22:44:47+07:00</t>
  </si>
  <si>
    <t>2023-08-12T22:45:07+07:00</t>
  </si>
  <si>
    <t>2023-08-12T22:45:27+07:00</t>
  </si>
  <si>
    <t>2023-08-12T22:45:47+07:00</t>
  </si>
  <si>
    <t>2023-08-12T22:46:07+07:00</t>
  </si>
  <si>
    <t>2023-08-12T22:46:27+07:00</t>
  </si>
  <si>
    <t>2023-08-12T22:46:47+07:00</t>
  </si>
  <si>
    <t>2023-08-12T22:47:07+07:00</t>
  </si>
  <si>
    <t>2023-08-12T22:47:27+07:00</t>
  </si>
  <si>
    <t>2023-08-12T22:47:47+07:00</t>
  </si>
  <si>
    <t>2023-08-12T22:48:07+07:00</t>
  </si>
  <si>
    <t>2023-08-12T22:48:27+07:00</t>
  </si>
  <si>
    <t>2023-08-12T22:48:47+07:00</t>
  </si>
  <si>
    <t>2023-08-12T22:49:07+07:00</t>
  </si>
  <si>
    <t>2023-08-12T22:49:27+07:00</t>
  </si>
  <si>
    <t>2023-08-12T22:49:47+07:00</t>
  </si>
  <si>
    <t>2023-08-12T22:50:07+07:00</t>
  </si>
  <si>
    <t>2023-08-12T22:50:27+07:00</t>
  </si>
  <si>
    <t>2023-08-12T22:50:47+07:00</t>
  </si>
  <si>
    <t>2023-08-12T22:51:07+07:00</t>
  </si>
  <si>
    <t>2023-08-12T22:51:27+07:00</t>
  </si>
  <si>
    <t>2023-08-12T22:51:47+07:00</t>
  </si>
  <si>
    <t>2023-08-12T22:52:07+07:00</t>
  </si>
  <si>
    <t>2023-08-12T22:52:28+07:00</t>
  </si>
  <si>
    <t>2023-08-12T22:52:47+07:00</t>
  </si>
  <si>
    <t>2023-08-12T22:53:07+07:00</t>
  </si>
  <si>
    <t>2023-08-12T22:53:27+07:00</t>
  </si>
  <si>
    <t>2023-08-12T22:53:47+07:00</t>
  </si>
  <si>
    <t>2023-08-12T22:54:07+07:00</t>
  </si>
  <si>
    <t>2023-08-12T22:54:27+07:00</t>
  </si>
  <si>
    <t>2023-08-12T22:54:47+07:00</t>
  </si>
  <si>
    <t>2023-08-12T22:55:07+07:00</t>
  </si>
  <si>
    <t>2023-08-12T22:55:27+07:00</t>
  </si>
  <si>
    <t>2023-08-12T22:55:47+07:00</t>
  </si>
  <si>
    <t>2023-08-12T22:56:07+07:00</t>
  </si>
  <si>
    <t>2023-08-12T22:56:27+07:00</t>
  </si>
  <si>
    <t>2023-08-12T22:56:47+07:00</t>
  </si>
  <si>
    <t>2023-08-12T22:57:07+07:00</t>
  </si>
  <si>
    <t>2023-08-12T22:57:27+07:00</t>
  </si>
  <si>
    <t>2023-08-12T22:57:47+07:00</t>
  </si>
  <si>
    <t>2023-08-12T22:58:07+07:00</t>
  </si>
  <si>
    <t>2023-08-12T22:58:27+07:00</t>
  </si>
  <si>
    <t>2023-08-12T22:58:48+07:00</t>
  </si>
  <si>
    <t>2023-08-12T22:59:07+07:00</t>
  </si>
  <si>
    <t>2023-08-12T22:59:27+07:00</t>
  </si>
  <si>
    <t>2023-08-12T22:59:47+07:00</t>
  </si>
  <si>
    <t>2023-08-12T23:00:07+07:00</t>
  </si>
  <si>
    <t>2023-08-12T23:00:27+07:00</t>
  </si>
  <si>
    <t>2023-08-12T23:00:47+07:00</t>
  </si>
  <si>
    <t>2023-08-12T23:01:07+07:00</t>
  </si>
  <si>
    <t>2023-08-12T23:01:27+07:00</t>
  </si>
  <si>
    <t>2023-08-12T23:01:47+07:00</t>
  </si>
  <si>
    <t>2023-08-12T23:02:07+07:00</t>
  </si>
  <si>
    <t>2023-08-12T23:02:27+07:00</t>
  </si>
  <si>
    <t>2023-08-12T23:02:47+07:00</t>
  </si>
  <si>
    <t>2023-08-12T23:03:07+07:00</t>
  </si>
  <si>
    <t>2023-08-12T23:03:27+07:00</t>
  </si>
  <si>
    <t>2023-08-12T23:03:47+07:00</t>
  </si>
  <si>
    <t>2023-08-12T23:04:07+07:00</t>
  </si>
  <si>
    <t>2023-08-12T23:04:27+07:00</t>
  </si>
  <si>
    <t>2023-08-12T23:04:47+07:00</t>
  </si>
  <si>
    <t>2023-08-12T23:05:07+07:00</t>
  </si>
  <si>
    <t>2023-08-12T23:05:27+07:00</t>
  </si>
  <si>
    <t>2023-08-12T23:05:47+07:00</t>
  </si>
  <si>
    <t>2023-08-12T23:06:07+07:00</t>
  </si>
  <si>
    <t>2023-08-12T23:06:27+07:00</t>
  </si>
  <si>
    <t>2023-08-12T23:06:47+07:00</t>
  </si>
  <si>
    <t>2023-08-12T23:07:07+07:00</t>
  </si>
  <si>
    <t>2023-08-12T23:07:27+07:00</t>
  </si>
  <si>
    <t>2023-08-12T23:07:47+07:00</t>
  </si>
  <si>
    <t>2023-08-12T23:08:07+07:00</t>
  </si>
  <si>
    <t>2023-08-12T23:08:27+07:00</t>
  </si>
  <si>
    <t>2023-08-12T23:08:47+07:00</t>
  </si>
  <si>
    <t>2023-08-12T23:09:07+07:00</t>
  </si>
  <si>
    <t>2023-08-12T23:09:27+07:00</t>
  </si>
  <si>
    <t>2023-08-12T23:09:47+07:00</t>
  </si>
  <si>
    <t>2023-08-12T23:10:07+07:00</t>
  </si>
  <si>
    <t>2023-08-12T23:10:27+07:00</t>
  </si>
  <si>
    <t>2023-08-12T23:10:47+07:00</t>
  </si>
  <si>
    <t>2023-08-12T23:11:07+07:00</t>
  </si>
  <si>
    <t>2023-08-12T23:11:27+07:00</t>
  </si>
  <si>
    <t>2023-08-12T23:11:47+07:00</t>
  </si>
  <si>
    <t>2023-08-12T23:12:07+07:00</t>
  </si>
  <si>
    <t>2023-08-12T23:12:27+07:00</t>
  </si>
  <si>
    <t>2023-08-12T23:12:47+07:00</t>
  </si>
  <si>
    <t>2023-08-12T23:13:07+07:00</t>
  </si>
  <si>
    <t>2023-08-12T23:13:27+07:00</t>
  </si>
  <si>
    <t>2023-08-12T23:13:47+07:00</t>
  </si>
  <si>
    <t>2023-08-12T23:14:07+07:00</t>
  </si>
  <si>
    <t>2023-08-12T23:14:27+07:00</t>
  </si>
  <si>
    <t>2023-08-12T23:14:47+07:00</t>
  </si>
  <si>
    <t>2023-08-12T23:15:07+07:00</t>
  </si>
  <si>
    <t>2023-08-12T23:15:27+07:00</t>
  </si>
  <si>
    <t>2023-08-12T23:15:47+07:00</t>
  </si>
  <si>
    <t>2023-08-12T23:16:07+07:00</t>
  </si>
  <si>
    <t>2023-08-12T23:16:29+07:00</t>
  </si>
  <si>
    <t>2023-08-12T23:16:47+07:00</t>
  </si>
  <si>
    <t>2023-08-12T23:17:07+07:00</t>
  </si>
  <si>
    <t>2023-08-12T23:17:27+07:00</t>
  </si>
  <si>
    <t>2023-08-12T23:17:47+07:00</t>
  </si>
  <si>
    <t>2023-08-12T23:18:07+07:00</t>
  </si>
  <si>
    <t>2023-08-12T23:18:27+07:00</t>
  </si>
  <si>
    <t>2023-08-12T23:18:47+07:00</t>
  </si>
  <si>
    <t>2023-08-12T23:19:07+07:00</t>
  </si>
  <si>
    <t>2023-08-12T23:19:27+07:00</t>
  </si>
  <si>
    <t>2023-08-12T23:19:47+07:00</t>
  </si>
  <si>
    <t>2023-08-12T23:20:07+07:00</t>
  </si>
  <si>
    <t>2023-08-12T23:20:28+07:00</t>
  </si>
  <si>
    <t>2023-08-12T23:20:47+07:00</t>
  </si>
  <si>
    <t>2023-08-12T23:21:07+07:00</t>
  </si>
  <si>
    <t>2023-08-12T23:21:27+07:00</t>
  </si>
  <si>
    <t>2023-08-12T23:21:47+07:00</t>
  </si>
  <si>
    <t>2023-08-12T23:22:07+07:00</t>
  </si>
  <si>
    <t>2023-08-12T23:22:27+07:00</t>
  </si>
  <si>
    <t>2023-08-12T23:22:47+07:00</t>
  </si>
  <si>
    <t>2023-08-12T23:23:07+07:00</t>
  </si>
  <si>
    <t>2023-08-12T23:23:27+07:00</t>
  </si>
  <si>
    <t>2023-08-12T23:23:47+07:00</t>
  </si>
  <si>
    <t>2023-08-12T23:24:07+07:00</t>
  </si>
  <si>
    <t>2023-08-12T23:24:27+07:00</t>
  </si>
  <si>
    <t>2023-08-12T23:24:47+07:00</t>
  </si>
  <si>
    <t>2023-08-12T23:25:07+07:00</t>
  </si>
  <si>
    <t>2023-08-12T23:25:27+07:00</t>
  </si>
  <si>
    <t>2023-08-12T23:25:47+07:00</t>
  </si>
  <si>
    <t>2023-08-12T23:26:07+07:00</t>
  </si>
  <si>
    <t>2023-08-12T23:26:27+07:00</t>
  </si>
  <si>
    <t>2023-08-12T23:26:47+07:00</t>
  </si>
  <si>
    <t>2023-08-12T23:27:07+07:00</t>
  </si>
  <si>
    <t>2023-08-12T23:27:27+07:00</t>
  </si>
  <si>
    <t>2023-08-12T23:27:47+07:00</t>
  </si>
  <si>
    <t>2023-08-12T23:28:07+07:00</t>
  </si>
  <si>
    <t>2023-08-12T23:28:27+07:00</t>
  </si>
  <si>
    <t>2023-08-12T23:28:47+07:00</t>
  </si>
  <si>
    <t>2023-08-12T23:29:07+07:00</t>
  </si>
  <si>
    <t>2023-08-12T23:29:27+07:00</t>
  </si>
  <si>
    <t>2023-08-12T23:29:47+07:00</t>
  </si>
  <si>
    <t>2023-08-12T23:30:07+07:00</t>
  </si>
  <si>
    <t>2023-08-12T23:30:27+07:00</t>
  </si>
  <si>
    <t>2023-08-12T23:30:47+07:00</t>
  </si>
  <si>
    <t>2023-08-12T23:31:07+07:00</t>
  </si>
  <si>
    <t>2023-08-12T23:31:27+07:00</t>
  </si>
  <si>
    <t>2023-08-12T23:31:47+07:00</t>
  </si>
  <si>
    <t>2023-08-12T23:32:07+07:00</t>
  </si>
  <si>
    <t>2023-08-12T23:32:27+07:00</t>
  </si>
  <si>
    <t>2023-08-12T23:32:47+07:00</t>
  </si>
  <si>
    <t>2023-08-12T23:33:07+07:00</t>
  </si>
  <si>
    <t>2023-08-12T23:33:27+07:00</t>
  </si>
  <si>
    <t>2023-08-12T23:33:47+07:00</t>
  </si>
  <si>
    <t>2023-08-12T23:34:07+07:00</t>
  </si>
  <si>
    <t>2023-08-12T23:34:27+07:00</t>
  </si>
  <si>
    <t>2023-08-12T23:34:47+07:00</t>
  </si>
  <si>
    <t>2023-08-12T23:35:07+07:00</t>
  </si>
  <si>
    <t>2023-08-12T23:35:27+07:00</t>
  </si>
  <si>
    <t>2023-08-12T23:35:47+07:00</t>
  </si>
  <si>
    <t>2023-08-12T23:36:07+07:00</t>
  </si>
  <si>
    <t>2023-08-12T23:36:27+07:00</t>
  </si>
  <si>
    <t>2023-08-12T23:36:47+07:00</t>
  </si>
  <si>
    <t>2023-08-12T23:37:07+07:00</t>
  </si>
  <si>
    <t>2023-08-12T23:37:27+07:00</t>
  </si>
  <si>
    <t>2023-08-12T23:37:47+07:00</t>
  </si>
  <si>
    <t>2023-08-12T23:38:07+07:00</t>
  </si>
  <si>
    <t>2023-08-12T23:38:27+07:00</t>
  </si>
  <si>
    <t>2023-08-12T23:38:47+07:00</t>
  </si>
  <si>
    <t>2023-08-12T23:39:07+07:00</t>
  </si>
  <si>
    <t>2023-08-12T23:39:27+07:00</t>
  </si>
  <si>
    <t>2023-08-12T23:39:47+07:00</t>
  </si>
  <si>
    <t>2023-08-12T23:40:07+07:00</t>
  </si>
  <si>
    <t>2023-08-12T23:40:27+07:00</t>
  </si>
  <si>
    <t>2023-08-12T23:40:47+07:00</t>
  </si>
  <si>
    <t>2023-08-12T23:41:07+07:00</t>
  </si>
  <si>
    <t>2023-08-12T23:41:27+07:00</t>
  </si>
  <si>
    <t>2023-08-12T23:41:47+07:00</t>
  </si>
  <si>
    <t>2023-08-12T23:42:07+07:00</t>
  </si>
  <si>
    <t>2023-08-12T23:42:27+07:00</t>
  </si>
  <si>
    <t>2023-08-12T23:42:47+07:00</t>
  </si>
  <si>
    <t>2023-08-12T23:43:07+07:00</t>
  </si>
  <si>
    <t>2023-08-12T23:43:27+07:00</t>
  </si>
  <si>
    <t>2023-08-12T23:43:47+07:00</t>
  </si>
  <si>
    <t>2023-08-12T23:44:07+07:00</t>
  </si>
  <si>
    <t>2023-08-12T23:44:27+07:00</t>
  </si>
  <si>
    <t>2023-08-12T23:44:47+07:00</t>
  </si>
  <si>
    <t>2023-08-12T23:45:07+07:00</t>
  </si>
  <si>
    <t>2023-08-12T23:45:27+07:00</t>
  </si>
  <si>
    <t>2023-08-12T23:45:47+07:00</t>
  </si>
  <si>
    <t>2023-08-12T23:46:07+07:00</t>
  </si>
  <si>
    <t>2023-08-12T23:46:27+07:00</t>
  </si>
  <si>
    <t>2023-08-12T23:46:47+07:00</t>
  </si>
  <si>
    <t>2023-08-12T23:47:07+07:00</t>
  </si>
  <si>
    <t>2023-08-12T23:47:27+07:00</t>
  </si>
  <si>
    <t>2023-08-12T23:47:47+07:00</t>
  </si>
  <si>
    <t>2023-08-12T23:48:07+07:00</t>
  </si>
  <si>
    <t>2023-08-12T23:48:27+07:00</t>
  </si>
  <si>
    <t>2023-08-12T23:48:47+07:00</t>
  </si>
  <si>
    <t>2023-08-12T23:49:07+07:00</t>
  </si>
  <si>
    <t>2023-08-12T23:49:27+07:00</t>
  </si>
  <si>
    <t>2023-08-12T23:49:47+07:00</t>
  </si>
  <si>
    <t>2023-08-12T23:50:07+07:00</t>
  </si>
  <si>
    <t>2023-08-12T23:50:27+07:00</t>
  </si>
  <si>
    <t>2023-08-12T23:50:47+07:00</t>
  </si>
  <si>
    <t>2023-08-12T23:51:07+07:00</t>
  </si>
  <si>
    <t>2023-08-12T23:51:27+07:00</t>
  </si>
  <si>
    <t>2023-08-12T23:51:47+07:00</t>
  </si>
  <si>
    <t>2023-08-12T23:52:07+07:00</t>
  </si>
  <si>
    <t>2023-08-12T23:52:27+07:00</t>
  </si>
  <si>
    <t>2023-08-12T23:52:47+07:00</t>
  </si>
  <si>
    <t>2023-08-12T23:53:07+07:00</t>
  </si>
  <si>
    <t>2023-08-12T23:53:27+07:00</t>
  </si>
  <si>
    <t>2023-08-12T23:53:47+07:00</t>
  </si>
  <si>
    <t>2023-08-12T23:54:07+07:00</t>
  </si>
  <si>
    <t>2023-08-12T23:54:27+07:00</t>
  </si>
  <si>
    <t>2023-08-12T23:54:47+07:00</t>
  </si>
  <si>
    <t>2023-08-12T23:55:07+07:00</t>
  </si>
  <si>
    <t>2023-08-12T23:55:27+07:00</t>
  </si>
  <si>
    <t>2023-08-12T23:55:47+07:00</t>
  </si>
  <si>
    <t>2023-08-12T23:56:07+07:00</t>
  </si>
  <si>
    <t>2023-08-12T23:56:27+07:00</t>
  </si>
  <si>
    <t>2023-08-12T23:56:47+07:00</t>
  </si>
  <si>
    <t>2023-08-12T23:57:07+07:00</t>
  </si>
  <si>
    <t>2023-08-12T23:57:27+07:00</t>
  </si>
  <si>
    <t>2023-08-12T23:57:47+07:00</t>
  </si>
  <si>
    <t>2023-08-12T23:58:07+07:00</t>
  </si>
  <si>
    <t>2023-08-12T23:58:27+07:00</t>
  </si>
  <si>
    <t>2023-08-12T23:58:47+07:00</t>
  </si>
  <si>
    <t>2023-08-12T23:59:07+07:00</t>
  </si>
  <si>
    <t>2023-08-12T23:59:27+07:00</t>
  </si>
  <si>
    <t>2023-08-12T23:59:47+07:00</t>
  </si>
  <si>
    <t>2023-08-13T00:00:07+07:00</t>
  </si>
  <si>
    <t>2023-08-13T00:00:27+07:00</t>
  </si>
  <si>
    <t>2023-08-13T00:00:47+07:00</t>
  </si>
  <si>
    <t>2023-08-13T00:01:07+07:00</t>
  </si>
  <si>
    <t>2023-08-13T00:01:27+07:00</t>
  </si>
  <si>
    <t>2023-08-13T00:01:47+07:00</t>
  </si>
  <si>
    <t>2023-08-13T00:02:07+07:00</t>
  </si>
  <si>
    <t>2023-08-13T00:02:27+07:00</t>
  </si>
  <si>
    <t>2023-08-13T00:02:47+07:00</t>
  </si>
  <si>
    <t>2023-08-13T00:03:07+07:00</t>
  </si>
  <si>
    <t>2023-08-13T00:03:27+07:00</t>
  </si>
  <si>
    <t>2023-08-13T00:03:47+07:00</t>
  </si>
  <si>
    <t>2023-08-13T00:04:07+07:00</t>
  </si>
  <si>
    <t>2023-08-13T00:04:27+07:00</t>
  </si>
  <si>
    <t>2023-08-13T00:04:47+07:00</t>
  </si>
  <si>
    <t>2023-08-13T00:05:07+07:00</t>
  </si>
  <si>
    <t>2023-08-13T00:05:27+07:00</t>
  </si>
  <si>
    <t>2023-08-13T00:05:47+07:00</t>
  </si>
  <si>
    <t>2023-08-13T00:06:07+07:00</t>
  </si>
  <si>
    <t>2023-08-13T00:06:27+07:00</t>
  </si>
  <si>
    <t>2023-08-13T00:06:47+07:00</t>
  </si>
  <si>
    <t>2023-08-13T00:07:07+07:00</t>
  </si>
  <si>
    <t>2023-08-13T00:07:27+07:00</t>
  </si>
  <si>
    <t>2023-08-13T00:07:47+07:00</t>
  </si>
  <si>
    <t>2023-08-13T00:08:07+07:00</t>
  </si>
  <si>
    <t>2023-08-13T00:08:27+07:00</t>
  </si>
  <si>
    <t>2023-08-13T00:08:47+07:00</t>
  </si>
  <si>
    <t>2023-08-13T00:09:07+07:00</t>
  </si>
  <si>
    <t>2023-08-13T00:09:27+07:00</t>
  </si>
  <si>
    <t>2023-08-13T00:09:47+07:00</t>
  </si>
  <si>
    <t>2023-08-13T00:10:07+07:00</t>
  </si>
  <si>
    <t>2023-08-13T00:10:27+07:00</t>
  </si>
  <si>
    <t>2023-08-13T00:10:47+07:00</t>
  </si>
  <si>
    <t>2023-08-13T00:11:07+07:00</t>
  </si>
  <si>
    <t>2023-08-13T00:11:27+07:00</t>
  </si>
  <si>
    <t>2023-08-13T00:11:47+07:00</t>
  </si>
  <si>
    <t>2023-08-13T00:12:07+07:00</t>
  </si>
  <si>
    <t>2023-08-13T00:12:27+07:00</t>
  </si>
  <si>
    <t>2023-08-13T00:12:47+07:00</t>
  </si>
  <si>
    <t>2023-08-13T00:13:07+07:00</t>
  </si>
  <si>
    <t>2023-08-13T00:13:27+07:00</t>
  </si>
  <si>
    <t>2023-08-13T00:13:47+07:00</t>
  </si>
  <si>
    <t>2023-08-13T00:14:07+07:00</t>
  </si>
  <si>
    <t>2023-08-13T00:14:27+07:00</t>
  </si>
  <si>
    <t>2023-08-13T00:14:47+07:00</t>
  </si>
  <si>
    <t>2023-08-13T00:15:07+07:00</t>
  </si>
  <si>
    <t>2023-08-13T00:15:27+07:00</t>
  </si>
  <si>
    <t>2023-08-13T00:15:48+07:00</t>
  </si>
  <si>
    <t>2023-08-13T00:16:07+07:00</t>
  </si>
  <si>
    <t>2023-08-13T00:16:27+07:00</t>
  </si>
  <si>
    <t>2023-08-13T00:16:47+07:00</t>
  </si>
  <si>
    <t>2023-08-13T00:17:07+07:00</t>
  </si>
  <si>
    <t>2023-08-13T00:17:27+07:00</t>
  </si>
  <si>
    <t>2023-08-13T00:17:47+07:00</t>
  </si>
  <si>
    <t>2023-08-13T00:18:07+07:00</t>
  </si>
  <si>
    <t>2023-08-13T00:18:27+07:00</t>
  </si>
  <si>
    <t>2023-08-13T00:18:47+07:00</t>
  </si>
  <si>
    <t>2023-08-13T00:19:07+07:00</t>
  </si>
  <si>
    <t>2023-08-13T00:19:27+07:00</t>
  </si>
  <si>
    <t>2023-08-13T00:19:47+07:00</t>
  </si>
  <si>
    <t>2023-08-13T00:20:07+07:00</t>
  </si>
  <si>
    <t>2023-08-13T00:20:27+07:00</t>
  </si>
  <si>
    <t>2023-08-13T00:20:47+07:00</t>
  </si>
  <si>
    <t>2023-08-13T00:21:07+07:00</t>
  </si>
  <si>
    <t>2023-08-13T00:21:27+07:00</t>
  </si>
  <si>
    <t>2023-08-13T00:21:47+07:00</t>
  </si>
  <si>
    <t>2023-08-13T00:22:07+07:00</t>
  </si>
  <si>
    <t>2023-08-13T00:22:27+07:00</t>
  </si>
  <si>
    <t>2023-08-13T00:22:47+07:00</t>
  </si>
  <si>
    <t>2023-08-13T00:23:07+07:00</t>
  </si>
  <si>
    <t>2023-08-13T00:23:27+07:00</t>
  </si>
  <si>
    <t>2023-08-13T00:23:47+07:00</t>
  </si>
  <si>
    <t>2023-08-13T00:24:07+07:00</t>
  </si>
  <si>
    <t>2023-08-13T00:24:27+07:00</t>
  </si>
  <si>
    <t>2023-08-13T00:24:47+07:00</t>
  </si>
  <si>
    <t>2023-08-13T00:25:07+07:00</t>
  </si>
  <si>
    <t>2023-08-13T00:25:27+07:00</t>
  </si>
  <si>
    <t>2023-08-13T00:25:47+07:00</t>
  </si>
  <si>
    <t>2023-08-13T00:26:07+07:00</t>
  </si>
  <si>
    <t>2023-08-13T00:26:27+07:00</t>
  </si>
  <si>
    <t>2023-08-13T00:26:47+07:00</t>
  </si>
  <si>
    <t>2023-08-13T00:27:07+07:00</t>
  </si>
  <si>
    <t>2023-08-13T00:27:27+07:00</t>
  </si>
  <si>
    <t>2023-08-13T00:27:47+07:00</t>
  </si>
  <si>
    <t>2023-08-13T00:28:07+07:00</t>
  </si>
  <si>
    <t>2023-08-13T00:28:27+07:00</t>
  </si>
  <si>
    <t>2023-08-13T00:28:47+07:00</t>
  </si>
  <si>
    <t>2023-08-13T00:29:07+07:00</t>
  </si>
  <si>
    <t>2023-08-13T00:29:27+07:00</t>
  </si>
  <si>
    <t>2023-08-13T00:29:47+07:00</t>
  </si>
  <si>
    <t>2023-08-13T00:30:07+07:00</t>
  </si>
  <si>
    <t>2023-08-13T00:30:27+07:00</t>
  </si>
  <si>
    <t>2023-08-13T00:30:47+07:00</t>
  </si>
  <si>
    <t>2023-08-13T00:31:07+07:00</t>
  </si>
  <si>
    <t>2023-08-13T00:31:27+07:00</t>
  </si>
  <si>
    <t>2023-08-13T00:31:47+07:00</t>
  </si>
  <si>
    <t>2023-08-13T00:32:07+07:00</t>
  </si>
  <si>
    <t>2023-08-13T00:32:27+07:00</t>
  </si>
  <si>
    <t>2023-08-13T00:32:47+07:00</t>
  </si>
  <si>
    <t>2023-08-13T00:33:07+07:00</t>
  </si>
  <si>
    <t>2023-08-13T00:33:27+07:00</t>
  </si>
  <si>
    <t>2023-08-13T00:33:47+07:00</t>
  </si>
  <si>
    <t>2023-08-13T00:34:07+07:00</t>
  </si>
  <si>
    <t>2023-08-13T00:34:27+07:00</t>
  </si>
  <si>
    <t>2023-08-13T00:34:47+07:00</t>
  </si>
  <si>
    <t>2023-08-13T00:35:07+07:00</t>
  </si>
  <si>
    <t>2023-08-13T00:35:27+07:00</t>
  </si>
  <si>
    <t>2023-08-13T00:35:47+07:00</t>
  </si>
  <si>
    <t>2023-08-13T00:36:07+07:00</t>
  </si>
  <si>
    <t>2023-08-13T00:36:27+07:00</t>
  </si>
  <si>
    <t>2023-08-13T00:36:47+07:00</t>
  </si>
  <si>
    <t>2023-08-13T00:37:07+07:00</t>
  </si>
  <si>
    <t>2023-08-13T00:37:27+07:00</t>
  </si>
  <si>
    <t>2023-08-13T00:37:47+07:00</t>
  </si>
  <si>
    <t>2023-08-13T00:38:07+07:00</t>
  </si>
  <si>
    <t>2023-08-13T00:38:27+07:00</t>
  </si>
  <si>
    <t>2023-08-13T00:38:47+07:00</t>
  </si>
  <si>
    <t>2023-08-13T00:39:07+07:00</t>
  </si>
  <si>
    <t>2023-08-13T00:39:27+07:00</t>
  </si>
  <si>
    <t>2023-08-13T00:39:47+07:00</t>
  </si>
  <si>
    <t>2023-08-13T00:40:07+07:00</t>
  </si>
  <si>
    <t>2023-08-13T00:40:27+07:00</t>
  </si>
  <si>
    <t>2023-08-13T00:40:47+07:00</t>
  </si>
  <si>
    <t>2023-08-13T00:41:07+07:00</t>
  </si>
  <si>
    <t>2023-08-13T00:41:27+07:00</t>
  </si>
  <si>
    <t>2023-08-13T00:41:46+07:00</t>
  </si>
  <si>
    <t>2023-08-13T00:42:07+07:00</t>
  </si>
  <si>
    <t>2023-08-13T00:42:27+07:00</t>
  </si>
  <si>
    <t>2023-08-13T00:42:47+07:00</t>
  </si>
  <si>
    <t>2023-08-13T00:43:07+07:00</t>
  </si>
  <si>
    <t>2023-08-13T00:43:27+07:00</t>
  </si>
  <si>
    <t>2023-08-13T00:43:47+07:00</t>
  </si>
  <si>
    <t>2023-08-13T00:44:07+07:00</t>
  </si>
  <si>
    <t>2023-08-13T00:44:27+07:00</t>
  </si>
  <si>
    <t>2023-08-13T00:44:47+07:00</t>
  </si>
  <si>
    <t>2023-08-13T00:45:07+07:00</t>
  </si>
  <si>
    <t>2023-08-13T00:45:27+07:00</t>
  </si>
  <si>
    <t>2023-08-13T00:45:47+07:00</t>
  </si>
  <si>
    <t>2023-08-13T00:46:07+07:00</t>
  </si>
  <si>
    <t>2023-08-13T00:46:27+07:00</t>
  </si>
  <si>
    <t>2023-08-13T00:46:47+07:00</t>
  </si>
  <si>
    <t>2023-08-13T00:47:07+07:00</t>
  </si>
  <si>
    <t>2023-08-13T00:47:27+07:00</t>
  </si>
  <si>
    <t>2023-08-13T00:47:47+07:00</t>
  </si>
  <si>
    <t>2023-08-13T00:48:07+07:00</t>
  </si>
  <si>
    <t>2023-08-13T00:48:27+07:00</t>
  </si>
  <si>
    <t>2023-08-13T00:48:47+07:00</t>
  </si>
  <si>
    <t>2023-08-13T00:49:07+07:00</t>
  </si>
  <si>
    <t>2023-08-13T00:49:27+07:00</t>
  </si>
  <si>
    <t>2023-08-13T00:49:47+07:00</t>
  </si>
  <si>
    <t>2023-08-13T00:50:07+07:00</t>
  </si>
  <si>
    <t>2023-08-13T00:50:27+07:00</t>
  </si>
  <si>
    <t>2023-08-13T00:50:47+07:00</t>
  </si>
  <si>
    <t>2023-08-13T00:51:07+07:00</t>
  </si>
  <si>
    <t>2023-08-13T00:51:27+07:00</t>
  </si>
  <si>
    <t>2023-08-13T00:51:47+07:00</t>
  </si>
  <si>
    <t>2023-08-13T00:52:07+07:00</t>
  </si>
  <si>
    <t>2023-08-13T00:52:27+07:00</t>
  </si>
  <si>
    <t>2023-08-13T00:52:47+07:00</t>
  </si>
  <si>
    <t>2023-08-13T00:53:07+07:00</t>
  </si>
  <si>
    <t>2023-08-13T00:53:27+07:00</t>
  </si>
  <si>
    <t>2023-08-13T00:53:47+07:00</t>
  </si>
  <si>
    <t>2023-08-13T00:54:07+07:00</t>
  </si>
  <si>
    <t>2023-08-13T00:54:27+07:00</t>
  </si>
  <si>
    <t>2023-08-13T00:54:47+07:00</t>
  </si>
  <si>
    <t>2023-08-13T00:55:06+07:00</t>
  </si>
  <si>
    <t>2023-08-13T00:55:27+07:00</t>
  </si>
  <si>
    <t>2023-08-13T00:55:47+07:00</t>
  </si>
  <si>
    <t>2023-08-13T00:56:07+07:00</t>
  </si>
  <si>
    <t>2023-08-13T00:56:27+07:00</t>
  </si>
  <si>
    <t>2023-08-13T00:56:47+07:00</t>
  </si>
  <si>
    <t>2023-08-13T00:57:07+07:00</t>
  </si>
  <si>
    <t>2023-08-13T00:57:27+07:00</t>
  </si>
  <si>
    <t>2023-08-13T00:57:47+07:00</t>
  </si>
  <si>
    <t>2023-08-13T00:58:07+07:00</t>
  </si>
  <si>
    <t>2023-08-13T00:58:27+07:00</t>
  </si>
  <si>
    <t>2023-08-13T00:58:47+07:00</t>
  </si>
  <si>
    <t>2023-08-13T00:59:07+07:00</t>
  </si>
  <si>
    <t>2023-08-13T00:59:27+07:00</t>
  </si>
  <si>
    <t>2023-08-13T00:59:47+07:00</t>
  </si>
  <si>
    <t>2023-08-13T01:00:07+07:00</t>
  </si>
  <si>
    <t>2023-08-13T01:00:27+07:00</t>
  </si>
  <si>
    <t>2023-08-13T01:00:47+07:00</t>
  </si>
  <si>
    <t>2023-08-13T01:01:07+07:00</t>
  </si>
  <si>
    <t>2023-08-13T01:01:27+07:00</t>
  </si>
  <si>
    <t>2023-08-13T01:01:47+07:00</t>
  </si>
  <si>
    <t>2023-08-13T01:02:07+07:00</t>
  </si>
  <si>
    <t>2023-08-13T01:02:27+07:00</t>
  </si>
  <si>
    <t>2023-08-13T01:02:47+07:00</t>
  </si>
  <si>
    <t>2023-08-13T01:03:07+07:00</t>
  </si>
  <si>
    <t>2023-08-13T01:03:27+07:00</t>
  </si>
  <si>
    <t>2023-08-13T01:03:47+07:00</t>
  </si>
  <si>
    <t>2023-08-13T01:04:07+07:00</t>
  </si>
  <si>
    <t>2023-08-13T01:04:27+07:00</t>
  </si>
  <si>
    <t>2023-08-13T01:04:47+07:00</t>
  </si>
  <si>
    <t>2023-08-13T01:05:07+07:00</t>
  </si>
  <si>
    <t>2023-08-13T01:05:27+07:00</t>
  </si>
  <si>
    <t>2023-08-13T01:05:47+07:00</t>
  </si>
  <si>
    <t>2023-08-13T01:06:07+07:00</t>
  </si>
  <si>
    <t>2023-08-13T01:06:27+07:00</t>
  </si>
  <si>
    <t>2023-08-13T01:06:47+07:00</t>
  </si>
  <si>
    <t>2023-08-13T01:07:07+07:00</t>
  </si>
  <si>
    <t>2023-08-13T01:07:27+07:00</t>
  </si>
  <si>
    <t>2023-08-13T01:07:47+07:00</t>
  </si>
  <si>
    <t>2023-08-13T01:08:07+07:00</t>
  </si>
  <si>
    <t>2023-08-13T01:08:27+07:00</t>
  </si>
  <si>
    <t>2023-08-13T01:08:47+07:00</t>
  </si>
  <si>
    <t>2023-08-13T01:09:07+07:00</t>
  </si>
  <si>
    <t>2023-08-13T01:09:27+07:00</t>
  </si>
  <si>
    <t>2023-08-13T01:09:47+07:00</t>
  </si>
  <si>
    <t>2023-08-13T01:10:07+07:00</t>
  </si>
  <si>
    <t>2023-08-13T01:10:27+07:00</t>
  </si>
  <si>
    <t>2023-08-13T01:10:47+07:00</t>
  </si>
  <si>
    <t>2023-08-13T01:11:07+07:00</t>
  </si>
  <si>
    <t>2023-08-13T01:11:27+07:00</t>
  </si>
  <si>
    <t>2023-08-13T01:11:47+07:00</t>
  </si>
  <si>
    <t>2023-08-13T01:12:07+07:00</t>
  </si>
  <si>
    <t>2023-08-13T01:12:27+07:00</t>
  </si>
  <si>
    <t>2023-08-13T01:12:47+07:00</t>
  </si>
  <si>
    <t>2023-08-13T01:13:07+07:00</t>
  </si>
  <si>
    <t>2023-08-13T01:13:27+07:00</t>
  </si>
  <si>
    <t>2023-08-13T01:13:47+07:00</t>
  </si>
  <si>
    <t>2023-08-13T01:14:07+07:00</t>
  </si>
  <si>
    <t>2023-08-13T01:14:27+07:00</t>
  </si>
  <si>
    <t>2023-08-13T01:14:47+07:00</t>
  </si>
  <si>
    <t>2023-08-13T01:15:07+07:00</t>
  </si>
  <si>
    <t>2023-08-13T01:15:27+07:00</t>
  </si>
  <si>
    <t>2023-08-13T01:15:47+07:00</t>
  </si>
  <si>
    <t>2023-08-13T01:16:07+07:00</t>
  </si>
  <si>
    <t>2023-08-13T01:16:27+07:00</t>
  </si>
  <si>
    <t>2023-08-13T01:16:47+07:00</t>
  </si>
  <si>
    <t>2023-08-13T01:17:07+07:00</t>
  </si>
  <si>
    <t>2023-08-13T01:17:27+07:00</t>
  </si>
  <si>
    <t>2023-08-13T01:17:47+07:00</t>
  </si>
  <si>
    <t>2023-08-13T01:18:07+07:00</t>
  </si>
  <si>
    <t>2023-08-13T01:18:27+07:00</t>
  </si>
  <si>
    <t>2023-08-13T01:18:47+07:00</t>
  </si>
  <si>
    <t>2023-08-13T01:19:07+07:00</t>
  </si>
  <si>
    <t>2023-08-13T01:19:27+07:00</t>
  </si>
  <si>
    <t>2023-08-13T01:19:47+07:00</t>
  </si>
  <si>
    <t>2023-08-13T01:20:07+07:00</t>
  </si>
  <si>
    <t>2023-08-13T01:20:27+07:00</t>
  </si>
  <si>
    <t>2023-08-13T01:20:47+07:00</t>
  </si>
  <si>
    <t>2023-08-13T01:21:07+07:00</t>
  </si>
  <si>
    <t>2023-08-13T01:21:27+07:00</t>
  </si>
  <si>
    <t>2023-08-13T01:21:47+07:00</t>
  </si>
  <si>
    <t>2023-08-13T01:22:07+07:00</t>
  </si>
  <si>
    <t>2023-08-13T01:22:27+07:00</t>
  </si>
  <si>
    <t>2023-08-13T01:22:47+07:00</t>
  </si>
  <si>
    <t>2023-08-13T01:23:07+07:00</t>
  </si>
  <si>
    <t>2023-08-13T01:23:27+07:00</t>
  </si>
  <si>
    <t>2023-08-13T01:23:47+07:00</t>
  </si>
  <si>
    <t>2023-08-13T01:24:07+07:00</t>
  </si>
  <si>
    <t>2023-08-13T01:24:27+07:00</t>
  </si>
  <si>
    <t>2023-08-13T01:24:47+07:00</t>
  </si>
  <si>
    <t>2023-08-13T01:25:07+07:00</t>
  </si>
  <si>
    <t>2023-08-13T01:25:27+07:00</t>
  </si>
  <si>
    <t>2023-08-13T01:25:47+07:00</t>
  </si>
  <si>
    <t>2023-08-13T01:26:07+07:00</t>
  </si>
  <si>
    <t>2023-08-13T01:26:27+07:00</t>
  </si>
  <si>
    <t>2023-08-13T01:26:47+07:00</t>
  </si>
  <si>
    <t>2023-08-13T01:27:07+07:00</t>
  </si>
  <si>
    <t>2023-08-13T01:27:27+07:00</t>
  </si>
  <si>
    <t>2023-08-13T01:27:47+07:00</t>
  </si>
  <si>
    <t>2023-08-13T01:28:07+07:00</t>
  </si>
  <si>
    <t>2023-08-13T01:28:27+07:00</t>
  </si>
  <si>
    <t>2023-08-13T01:28:47+07:00</t>
  </si>
  <si>
    <t>2023-08-13T01:29:07+07:00</t>
  </si>
  <si>
    <t>2023-08-13T01:29:27+07:00</t>
  </si>
  <si>
    <t>2023-08-13T01:29:47+07:00</t>
  </si>
  <si>
    <t>2023-08-13T01:30:07+07:00</t>
  </si>
  <si>
    <t>2023-08-13T01:30:27+07:00</t>
  </si>
  <si>
    <t>2023-08-13T01:30:47+07:00</t>
  </si>
  <si>
    <t>2023-08-13T01:31:07+07:00</t>
  </si>
  <si>
    <t>2023-08-13T01:31:27+07:00</t>
  </si>
  <si>
    <t>2023-08-13T01:31:47+07:00</t>
  </si>
  <si>
    <t>2023-08-13T01:32:07+07:00</t>
  </si>
  <si>
    <t>2023-08-13T01:32:27+07:00</t>
  </si>
  <si>
    <t>2023-08-13T01:32:47+07:00</t>
  </si>
  <si>
    <t>2023-08-13T01:33:07+07:00</t>
  </si>
  <si>
    <t>2023-08-13T01:33:27+07:00</t>
  </si>
  <si>
    <t>2023-08-13T01:33:47+07:00</t>
  </si>
  <si>
    <t>2023-08-13T01:34:07+07:00</t>
  </si>
  <si>
    <t>2023-08-13T01:34:27+07:00</t>
  </si>
  <si>
    <t>2023-08-13T01:34:47+07:00</t>
  </si>
  <si>
    <t>2023-08-13T01:35:07+07:00</t>
  </si>
  <si>
    <t>2023-08-13T01:35:27+07:00</t>
  </si>
  <si>
    <t>2023-08-13T01:35:47+07:00</t>
  </si>
  <si>
    <t>2023-08-13T01:36:07+07:00</t>
  </si>
  <si>
    <t>2023-08-13T01:36:27+07:00</t>
  </si>
  <si>
    <t>2023-08-13T01:36:47+07:00</t>
  </si>
  <si>
    <t>2023-08-13T01:37:07+07:00</t>
  </si>
  <si>
    <t>2023-08-13T01:37:27+07:00</t>
  </si>
  <si>
    <t>2023-08-13T01:37:47+07:00</t>
  </si>
  <si>
    <t>2023-08-13T01:38:07+07:00</t>
  </si>
  <si>
    <t>2023-08-13T01:38:27+07:00</t>
  </si>
  <si>
    <t>2023-08-13T01:38:47+07:00</t>
  </si>
  <si>
    <t>2023-08-13T01:39:07+07:00</t>
  </si>
  <si>
    <t>2023-08-13T01:39:27+07:00</t>
  </si>
  <si>
    <t>2023-08-13T01:39:47+07:00</t>
  </si>
  <si>
    <t>2023-08-13T01:40:07+07:00</t>
  </si>
  <si>
    <t>2023-08-13T01:40:27+07:00</t>
  </si>
  <si>
    <t>2023-08-13T01:40:47+07:00</t>
  </si>
  <si>
    <t>2023-08-13T01:41:07+07:00</t>
  </si>
  <si>
    <t>2023-08-13T01:41:27+07:00</t>
  </si>
  <si>
    <t>2023-08-13T01:41:47+07:00</t>
  </si>
  <si>
    <t>2023-08-13T01:42:07+07:00</t>
  </si>
  <si>
    <t>2023-08-13T01:42:27+07:00</t>
  </si>
  <si>
    <t>2023-08-13T01:42:47+07:00</t>
  </si>
  <si>
    <t>2023-08-13T01:43:07+07:00</t>
  </si>
  <si>
    <t>2023-08-13T01:43:27+07:00</t>
  </si>
  <si>
    <t>2023-08-13T01:43:47+07:00</t>
  </si>
  <si>
    <t>2023-08-13T01:44:07+07:00</t>
  </si>
  <si>
    <t>2023-08-13T01:44:27+07:00</t>
  </si>
  <si>
    <t>2023-08-13T01:44:47+07:00</t>
  </si>
  <si>
    <t>2023-08-13T01:45:07+07:00</t>
  </si>
  <si>
    <t>2023-08-13T01:45:27+07:00</t>
  </si>
  <si>
    <t>2023-08-13T01:45:47+07:00</t>
  </si>
  <si>
    <t>2023-08-13T01:46:07+07:00</t>
  </si>
  <si>
    <t>2023-08-13T01:46:27+07:00</t>
  </si>
  <si>
    <t>2023-08-13T01:46:47+07:00</t>
  </si>
  <si>
    <t>2023-08-13T01:47:07+07:00</t>
  </si>
  <si>
    <t>2023-08-13T01:47:27+07:00</t>
  </si>
  <si>
    <t>2023-08-13T01:47:47+07:00</t>
  </si>
  <si>
    <t>2023-08-13T01:48:07+07:00</t>
  </si>
  <si>
    <t>2023-08-13T01:48:27+07:00</t>
  </si>
  <si>
    <t>2023-08-13T01:48:47+07:00</t>
  </si>
  <si>
    <t>2023-08-13T01:49:07+07:00</t>
  </si>
  <si>
    <t>2023-08-13T01:49:27+07:00</t>
  </si>
  <si>
    <t>2023-08-13T01:49:47+07:00</t>
  </si>
  <si>
    <t>2023-08-13T01:50:07+07:00</t>
  </si>
  <si>
    <t>2023-08-13T01:50:27+07:00</t>
  </si>
  <si>
    <t>2023-08-13T01:50:47+07:00</t>
  </si>
  <si>
    <t>2023-08-13T01:51:07+07:00</t>
  </si>
  <si>
    <t>2023-08-13T01:51:27+07:00</t>
  </si>
  <si>
    <t>2023-08-13T01:51:47+07:00</t>
  </si>
  <si>
    <t>2023-08-13T01:52:07+07:00</t>
  </si>
  <si>
    <t>2023-08-13T01:52:27+07:00</t>
  </si>
  <si>
    <t>2023-08-13T01:52:47+07:00</t>
  </si>
  <si>
    <t>2023-08-13T01:53:07+07:00</t>
  </si>
  <si>
    <t>2023-08-13T01:53:27+07:00</t>
  </si>
  <si>
    <t>2023-08-13T01:53:47+07:00</t>
  </si>
  <si>
    <t>2023-08-13T01:54:07+07:00</t>
  </si>
  <si>
    <t>2023-08-13T01:54:27+07:00</t>
  </si>
  <si>
    <t>2023-08-13T01:54:47+07:00</t>
  </si>
  <si>
    <t>2023-08-13T01:55:07+07:00</t>
  </si>
  <si>
    <t>2023-08-13T01:55:27+07:00</t>
  </si>
  <si>
    <t>2023-08-13T01:55:47+07:00</t>
  </si>
  <si>
    <t>2023-08-13T01:56:07+07:00</t>
  </si>
  <si>
    <t>2023-08-13T01:56:27+07:00</t>
  </si>
  <si>
    <t>2023-08-13T01:56:47+07:00</t>
  </si>
  <si>
    <t>2023-08-13T01:57:07+07:00</t>
  </si>
  <si>
    <t>2023-08-13T01:57:27+07:00</t>
  </si>
  <si>
    <t>2023-08-13T01:57:47+07:00</t>
  </si>
  <si>
    <t>2023-08-13T01:58:07+07:00</t>
  </si>
  <si>
    <t>2023-08-13T01:58:27+07:00</t>
  </si>
  <si>
    <t>2023-08-13T01:58:47+07:00</t>
  </si>
  <si>
    <t>2023-08-13T01:59:07+07:00</t>
  </si>
  <si>
    <t>2023-08-13T01:59:27+07:00</t>
  </si>
  <si>
    <t>2023-08-13T01:59:47+07:00</t>
  </si>
  <si>
    <t>2023-08-13T02:00:07+07:00</t>
  </si>
  <si>
    <t>2023-08-13T02:00:27+07:00</t>
  </si>
  <si>
    <t>2023-08-13T02:00:47+07:00</t>
  </si>
  <si>
    <t>2023-08-13T02:01:07+07:00</t>
  </si>
  <si>
    <t>2023-08-13T02:01:27+07:00</t>
  </si>
  <si>
    <t>2023-08-13T02:01:47+07:00</t>
  </si>
  <si>
    <t>2023-08-13T02:02:07+07:00</t>
  </si>
  <si>
    <t>2023-08-13T02:02:27+07:00</t>
  </si>
  <si>
    <t>2023-08-13T02:02:47+07:00</t>
  </si>
  <si>
    <t>2023-08-13T02:03:07+07:00</t>
  </si>
  <si>
    <t>2023-08-13T02:03:27+07:00</t>
  </si>
  <si>
    <t>2023-08-13T02:03:47+07:00</t>
  </si>
  <si>
    <t>2023-08-13T02:04:07+07:00</t>
  </si>
  <si>
    <t>2023-08-13T02:04:27+07:00</t>
  </si>
  <si>
    <t>2023-08-13T02:04:47+07:00</t>
  </si>
  <si>
    <t>2023-08-13T02:05:07+07:00</t>
  </si>
  <si>
    <t>2023-08-13T02:05:27+07:00</t>
  </si>
  <si>
    <t>2023-08-13T02:05:47+07:00</t>
  </si>
  <si>
    <t>2023-08-13T02:06:07+07:00</t>
  </si>
  <si>
    <t>2023-08-13T02:06:27+07:00</t>
  </si>
  <si>
    <t>2023-08-13T02:06:47+07:00</t>
  </si>
  <si>
    <t>2023-08-13T02:07:06+07:00</t>
  </si>
  <si>
    <t>2023-08-13T02:07:27+07:00</t>
  </si>
  <si>
    <t>2023-08-13T02:07:47+07:00</t>
  </si>
  <si>
    <t>2023-08-13T02:08:07+07:00</t>
  </si>
  <si>
    <t>2023-08-13T02:08:27+07:00</t>
  </si>
  <si>
    <t>2023-08-13T02:08:47+07:00</t>
  </si>
  <si>
    <t>2023-08-13T02:09:07+07:00</t>
  </si>
  <si>
    <t>2023-08-13T02:09:27+07:00</t>
  </si>
  <si>
    <t>2023-08-13T02:09:47+07:00</t>
  </si>
  <si>
    <t>2023-08-13T02:10:07+07:00</t>
  </si>
  <si>
    <t>2023-08-13T02:10:27+07:00</t>
  </si>
  <si>
    <t>2023-08-13T02:10:47+07:00</t>
  </si>
  <si>
    <t>2023-08-13T02:11:07+07:00</t>
  </si>
  <si>
    <t>2023-08-13T02:11:27+07:00</t>
  </si>
  <si>
    <t>2023-08-13T02:11:47+07:00</t>
  </si>
  <si>
    <t>2023-08-13T02:12:07+07:00</t>
  </si>
  <si>
    <t>2023-08-13T02:12:27+07:00</t>
  </si>
  <si>
    <t>2023-08-13T02:12:47+07:00</t>
  </si>
  <si>
    <t>2023-08-13T02:13:07+07:00</t>
  </si>
  <si>
    <t>2023-08-13T02:13:27+07:00</t>
  </si>
  <si>
    <t>2023-08-13T02:13:47+07:00</t>
  </si>
  <si>
    <t>2023-08-13T02:14:07+07:00</t>
  </si>
  <si>
    <t>2023-08-13T02:14:27+07:00</t>
  </si>
  <si>
    <t>2023-08-13T02:14:47+07:00</t>
  </si>
  <si>
    <t>2023-08-13T02:15:07+07:00</t>
  </si>
  <si>
    <t>2023-08-13T02:15:27+07:00</t>
  </si>
  <si>
    <t>2023-08-13T02:15:47+07:00</t>
  </si>
  <si>
    <t>2023-08-13T02:16:07+07:00</t>
  </si>
  <si>
    <t>2023-08-13T02:16:27+07:00</t>
  </si>
  <si>
    <t>2023-08-13T02:16:47+07:00</t>
  </si>
  <si>
    <t>2023-08-13T02:17:07+07:00</t>
  </si>
  <si>
    <t>2023-08-13T02:17:27+07:00</t>
  </si>
  <si>
    <t>2023-08-13T02:17:47+07:00</t>
  </si>
  <si>
    <t>2023-08-13T02:18:07+07:00</t>
  </si>
  <si>
    <t>2023-08-13T02:18:27+07:00</t>
  </si>
  <si>
    <t>2023-08-13T02:18:47+07:00</t>
  </si>
  <si>
    <t>2023-08-13T02:19:07+07:00</t>
  </si>
  <si>
    <t>2023-08-13T02:19:27+07:00</t>
  </si>
  <si>
    <t>2023-08-13T02:19:47+07:00</t>
  </si>
  <si>
    <t>2023-08-13T02:20:07+07:00</t>
  </si>
  <si>
    <t>2023-08-13T02:20:27+07:00</t>
  </si>
  <si>
    <t>2023-08-13T02:20:47+07:00</t>
  </si>
  <si>
    <t>2023-08-13T02:21:07+07:00</t>
  </si>
  <si>
    <t>2023-08-13T02:21:27+07:00</t>
  </si>
  <si>
    <t>2023-08-13T02:21:47+07:00</t>
  </si>
  <si>
    <t>2023-08-13T02:22:06+07:00</t>
  </si>
  <si>
    <t>2023-08-13T02:22:27+07:00</t>
  </si>
  <si>
    <t>2023-08-13T02:22:47+07:00</t>
  </si>
  <si>
    <t>2023-08-13T02:23:07+07:00</t>
  </si>
  <si>
    <t>2023-08-13T02:23:27+07:00</t>
  </si>
  <si>
    <t>2023-08-13T02:23:47+07:00</t>
  </si>
  <si>
    <t>2023-08-13T02:24:07+07:00</t>
  </si>
  <si>
    <t>2023-08-13T02:24:27+07:00</t>
  </si>
  <si>
    <t>2023-08-13T02:24:47+07:00</t>
  </si>
  <si>
    <t>2023-08-13T02:25:07+07:00</t>
  </si>
  <si>
    <t>2023-08-13T02:25:27+07:00</t>
  </si>
  <si>
    <t>2023-08-13T02:25:47+07:00</t>
  </si>
  <si>
    <t>2023-08-13T02:26:07+07:00</t>
  </si>
  <si>
    <t>2023-08-13T02:26:27+07:00</t>
  </si>
  <si>
    <t>2023-08-13T02:26:47+07:00</t>
  </si>
  <si>
    <t>2023-08-13T02:27:06+07:00</t>
  </si>
  <si>
    <t>2023-08-13T02:27:27+07:00</t>
  </si>
  <si>
    <t>2023-08-13T02:27:47+07:00</t>
  </si>
  <si>
    <t>2023-08-13T02:28:07+07:00</t>
  </si>
  <si>
    <t>2023-08-13T02:28:27+07:00</t>
  </si>
  <si>
    <t>2023-08-13T02:28:47+07:00</t>
  </si>
  <si>
    <t>2023-08-13T02:29:07+07:00</t>
  </si>
  <si>
    <t>2023-08-13T02:29:27+07:00</t>
  </si>
  <si>
    <t>2023-08-13T02:29:47+07:00</t>
  </si>
  <si>
    <t>2023-08-13T02:30:07+07:00</t>
  </si>
  <si>
    <t>2023-08-13T02:30:27+07:00</t>
  </si>
  <si>
    <t>2023-08-13T02:30:46+07:00</t>
  </si>
  <si>
    <t>2023-08-13T02:31:07+07:00</t>
  </si>
  <si>
    <t>2023-08-13T02:31:27+07:00</t>
  </si>
  <si>
    <t>2023-08-13T02:31:47+07:00</t>
  </si>
  <si>
    <t>2023-08-13T02:32:07+07:00</t>
  </si>
  <si>
    <t>2023-08-13T02:32:27+07:00</t>
  </si>
  <si>
    <t>2023-08-13T02:32:47+07:00</t>
  </si>
  <si>
    <t>2023-08-13T02:33:07+07:00</t>
  </si>
  <si>
    <t>2023-08-13T02:33:27+07:00</t>
  </si>
  <si>
    <t>2023-08-13T02:33:47+07:00</t>
  </si>
  <si>
    <t>2023-08-13T02:34:06+07:00</t>
  </si>
  <si>
    <t>2023-08-13T02:34:27+07:00</t>
  </si>
  <si>
    <t>2023-08-13T02:34:47+07:00</t>
  </si>
  <si>
    <t>2023-08-13T02:35:07+07:00</t>
  </si>
  <si>
    <t>2023-08-13T02:35:27+07:00</t>
  </si>
  <si>
    <t>2023-08-13T02:35:47+07:00</t>
  </si>
  <si>
    <t>2023-08-13T02:36:07+07:00</t>
  </si>
  <si>
    <t>2023-08-13T02:36:27+07:00</t>
  </si>
  <si>
    <t>2023-08-13T02:36:47+07:00</t>
  </si>
  <si>
    <t>2023-08-13T02:37:07+07:00</t>
  </si>
  <si>
    <t>2023-08-13T02:37:27+07:00</t>
  </si>
  <si>
    <t>2023-08-13T02:37:47+07:00</t>
  </si>
  <si>
    <t>2023-08-13T02:38:07+07:00</t>
  </si>
  <si>
    <t>2023-08-13T02:38:27+07:00</t>
  </si>
  <si>
    <t>2023-08-13T02:38:47+07:00</t>
  </si>
  <si>
    <t>2023-08-13T02:39:07+07:00</t>
  </si>
  <si>
    <t>2023-08-13T02:39:27+07:00</t>
  </si>
  <si>
    <t>2023-08-13T02:39:47+07:00</t>
  </si>
  <si>
    <t>2023-08-13T02:40:07+07:00</t>
  </si>
  <si>
    <t>2023-08-13T02:40:27+07:00</t>
  </si>
  <si>
    <t>2023-08-13T02:40:47+07:00</t>
  </si>
  <si>
    <t>2023-08-13T02:41:07+07:00</t>
  </si>
  <si>
    <t>2023-08-13T02:41:27+07:00</t>
  </si>
  <si>
    <t>2023-08-13T02:41:47+07:00</t>
  </si>
  <si>
    <t>2023-08-13T02:42:07+07:00</t>
  </si>
  <si>
    <t>2023-08-13T02:42:27+07:00</t>
  </si>
  <si>
    <t>2023-08-13T02:42:47+07:00</t>
  </si>
  <si>
    <t>2023-08-13T02:43:07+07:00</t>
  </si>
  <si>
    <t>2023-08-13T02:43:27+07:00</t>
  </si>
  <si>
    <t>2023-08-13T02:43:47+07:00</t>
  </si>
  <si>
    <t>2023-08-13T02:44:07+07:00</t>
  </si>
  <si>
    <t>2023-08-13T02:44:27+07:00</t>
  </si>
  <si>
    <t>2023-08-13T02:44:47+07:00</t>
  </si>
  <si>
    <t>2023-08-13T02:45:07+07:00</t>
  </si>
  <si>
    <t>2023-08-13T02:45:27+07:00</t>
  </si>
  <si>
    <t>2023-08-13T02:45:47+07:00</t>
  </si>
  <si>
    <t>2023-08-13T02:46:07+07:00</t>
  </si>
  <si>
    <t>2023-08-13T02:46:27+07:00</t>
  </si>
  <si>
    <t>2023-08-13T02:46:47+07:00</t>
  </si>
  <si>
    <t>2023-08-13T02:47:07+07:00</t>
  </si>
  <si>
    <t>2023-08-13T02:47:27+07:00</t>
  </si>
  <si>
    <t>2023-08-13T02:47:47+07:00</t>
  </si>
  <si>
    <t>2023-08-13T02:48:07+07:00</t>
  </si>
  <si>
    <t>2023-08-13T02:48:27+07:00</t>
  </si>
  <si>
    <t>2023-08-13T02:48:47+07:00</t>
  </si>
  <si>
    <t>2023-08-13T02:49:07+07:00</t>
  </si>
  <si>
    <t>2023-08-13T02:49:27+07:00</t>
  </si>
  <si>
    <t>2023-08-13T02:49:47+07:00</t>
  </si>
  <si>
    <t>2023-08-13T02:50:07+07:00</t>
  </si>
  <si>
    <t>2023-08-13T02:50:27+07:00</t>
  </si>
  <si>
    <t>2023-08-13T02:50:47+07:00</t>
  </si>
  <si>
    <t>2023-08-13T02:51:07+07:00</t>
  </si>
  <si>
    <t>2023-08-13T02:51:27+07:00</t>
  </si>
  <si>
    <t>2023-08-13T02:51:47+07:00</t>
  </si>
  <si>
    <t>2023-08-13T02:52:07+07:00</t>
  </si>
  <si>
    <t>2023-08-13T02:52:27+07:00</t>
  </si>
  <si>
    <t>2023-08-13T02:52:47+07:00</t>
  </si>
  <si>
    <t>2023-08-13T02:53:07+07:00</t>
  </si>
  <si>
    <t>2023-08-13T02:53:27+07:00</t>
  </si>
  <si>
    <t>2023-08-13T02:53:47+07:00</t>
  </si>
  <si>
    <t>2023-08-13T02:54:07+07:00</t>
  </si>
  <si>
    <t>2023-08-13T02:54:27+07:00</t>
  </si>
  <si>
    <t>2023-08-13T02:54:47+07:00</t>
  </si>
  <si>
    <t>2023-08-13T02:55:07+07:00</t>
  </si>
  <si>
    <t>2023-08-13T02:55:27+07:00</t>
  </si>
  <si>
    <t>2023-08-13T02:55:47+07:00</t>
  </si>
  <si>
    <t>2023-08-13T02:56:07+07:00</t>
  </si>
  <si>
    <t>2023-08-13T02:56:27+07:00</t>
  </si>
  <si>
    <t>2023-08-13T02:56:47+07:00</t>
  </si>
  <si>
    <t>2023-08-13T02:57:07+07:00</t>
  </si>
  <si>
    <t>2023-08-13T02:57:27+07:00</t>
  </si>
  <si>
    <t>2023-08-13T02:57:47+07:00</t>
  </si>
  <si>
    <t>2023-08-13T02:58:07+07:00</t>
  </si>
  <si>
    <t>2023-08-13T02:58:27+07:00</t>
  </si>
  <si>
    <t>2023-08-13T02:58:47+07:00</t>
  </si>
  <si>
    <t>2023-08-13T02:59:07+07:00</t>
  </si>
  <si>
    <t>2023-08-13T02:59:27+07:00</t>
  </si>
  <si>
    <t>2023-08-13T02:59:47+07:00</t>
  </si>
  <si>
    <t>2023-08-13T03:00:07+07:00</t>
  </si>
  <si>
    <t>2023-08-13T03:00:27+07:00</t>
  </si>
  <si>
    <t>2023-08-13T03:00:47+07:00</t>
  </si>
  <si>
    <t>2023-08-13T03:01:07+07:00</t>
  </si>
  <si>
    <t>2023-08-13T03:01:27+07:00</t>
  </si>
  <si>
    <t>2023-08-13T03:01:47+07:00</t>
  </si>
  <si>
    <t>2023-08-13T03:02:07+07:00</t>
  </si>
  <si>
    <t>2023-08-13T03:02:27+07:00</t>
  </si>
  <si>
    <t>2023-08-13T03:02:47+07:00</t>
  </si>
  <si>
    <t>2023-08-13T03:03:07+07:00</t>
  </si>
  <si>
    <t>2023-08-13T03:03:27+07:00</t>
  </si>
  <si>
    <t>2023-08-13T03:03:47+07:00</t>
  </si>
  <si>
    <t>2023-08-13T03:04:07+07:00</t>
  </si>
  <si>
    <t>2023-08-13T03:04:27+07:00</t>
  </si>
  <si>
    <t>2023-08-13T03:04:47+07:00</t>
  </si>
  <si>
    <t>2023-08-13T03:05:07+07:00</t>
  </si>
  <si>
    <t>2023-08-13T03:05:27+07:00</t>
  </si>
  <si>
    <t>2023-08-13T03:05:47+07:00</t>
  </si>
  <si>
    <t>2023-08-13T03:06:07+07:00</t>
  </si>
  <si>
    <t>2023-08-13T03:06:27+07:00</t>
  </si>
  <si>
    <t>2023-08-13T03:06:47+07:00</t>
  </si>
  <si>
    <t>2023-08-13T03:07:07+07:00</t>
  </si>
  <si>
    <t>2023-08-13T03:07:27+07:00</t>
  </si>
  <si>
    <t>2023-08-13T03:07:47+07:00</t>
  </si>
  <si>
    <t>2023-08-13T03:08:07+07:00</t>
  </si>
  <si>
    <t>2023-08-13T03:08:27+07:00</t>
  </si>
  <si>
    <t>2023-08-13T03:08:47+07:00</t>
  </si>
  <si>
    <t>2023-08-13T03:09:07+07:00</t>
  </si>
  <si>
    <t>2023-08-13T03:09:27+07:00</t>
  </si>
  <si>
    <t>2023-08-13T03:09:47+07:00</t>
  </si>
  <si>
    <t>2023-08-13T03:10:07+07:00</t>
  </si>
  <si>
    <t>2023-08-13T03:10:27+07:00</t>
  </si>
  <si>
    <t>2023-08-13T03:10:47+07:00</t>
  </si>
  <si>
    <t>2023-08-13T03:11:07+07:00</t>
  </si>
  <si>
    <t>2023-08-13T03:11:27+07:00</t>
  </si>
  <si>
    <t>2023-08-13T03:11:47+07:00</t>
  </si>
  <si>
    <t>2023-08-13T03:12:07+07:00</t>
  </si>
  <si>
    <t>2023-08-13T03:12:27+07:00</t>
  </si>
  <si>
    <t>2023-08-13T03:12:47+07:00</t>
  </si>
  <si>
    <t>2023-08-13T03:13:07+07:00</t>
  </si>
  <si>
    <t>2023-08-13T03:13:27+07:00</t>
  </si>
  <si>
    <t>2023-08-13T03:13:47+07:00</t>
  </si>
  <si>
    <t>2023-08-13T03:14:07+07:00</t>
  </si>
  <si>
    <t>2023-08-13T03:14:27+07:00</t>
  </si>
  <si>
    <t>2023-08-13T03:14:47+07:00</t>
  </si>
  <si>
    <t>2023-08-13T03:15:07+07:00</t>
  </si>
  <si>
    <t>2023-08-13T03:15:27+07:00</t>
  </si>
  <si>
    <t>2023-08-13T03:15:47+07:00</t>
  </si>
  <si>
    <t>2023-08-13T03:16:07+07:00</t>
  </si>
  <si>
    <t>2023-08-13T03:16:27+07:00</t>
  </si>
  <si>
    <t>2023-08-13T03:16:47+07:00</t>
  </si>
  <si>
    <t>2023-08-13T03:17:07+07:00</t>
  </si>
  <si>
    <t>2023-08-13T03:17:27+07:00</t>
  </si>
  <si>
    <t>2023-08-13T03:17:47+07:00</t>
  </si>
  <si>
    <t>2023-08-13T03:18:07+07:00</t>
  </si>
  <si>
    <t>2023-08-13T03:18:27+07:00</t>
  </si>
  <si>
    <t>2023-08-13T03:18:47+07:00</t>
  </si>
  <si>
    <t>2023-08-13T03:19:07+07:00</t>
  </si>
  <si>
    <t>2023-08-13T03:19:27+07:00</t>
  </si>
  <si>
    <t>2023-08-13T03:19:47+07:00</t>
  </si>
  <si>
    <t>2023-08-13T03:20:07+07:00</t>
  </si>
  <si>
    <t>2023-08-13T03:20:27+07:00</t>
  </si>
  <si>
    <t>2023-08-13T03:20:47+07:00</t>
  </si>
  <si>
    <t>2023-08-13T03:21:07+07:00</t>
  </si>
  <si>
    <t>2023-08-13T03:21:27+07:00</t>
  </si>
  <si>
    <t>2023-08-13T03:21:47+07:00</t>
  </si>
  <si>
    <t>2023-08-13T03:22:07+07:00</t>
  </si>
  <si>
    <t>2023-08-13T03:22:27+07:00</t>
  </si>
  <si>
    <t>2023-08-13T03:22:47+07:00</t>
  </si>
  <si>
    <t>2023-08-13T03:23:07+07:00</t>
  </si>
  <si>
    <t>2023-08-13T03:23:27+07:00</t>
  </si>
  <si>
    <t>2023-08-13T03:23:47+07:00</t>
  </si>
  <si>
    <t>2023-08-13T03:24:07+07:00</t>
  </si>
  <si>
    <t>2023-08-13T03:24:27+07:00</t>
  </si>
  <si>
    <t>2023-08-13T03:24:47+07:00</t>
  </si>
  <si>
    <t>2023-08-13T03:25:07+07:00</t>
  </si>
  <si>
    <t>2023-08-13T03:25:27+07:00</t>
  </si>
  <si>
    <t>2023-08-13T03:25:47+07:00</t>
  </si>
  <si>
    <t>2023-08-13T03:26:07+07:00</t>
  </si>
  <si>
    <t>2023-08-13T03:26:27+07:00</t>
  </si>
  <si>
    <t>2023-08-13T03:26:47+07:00</t>
  </si>
  <si>
    <t>2023-08-13T03:27:07+07:00</t>
  </si>
  <si>
    <t>2023-08-13T03:27:27+07:00</t>
  </si>
  <si>
    <t>2023-08-13T03:27:47+07:00</t>
  </si>
  <si>
    <t>2023-08-13T03:28:07+07:00</t>
  </si>
  <si>
    <t>2023-08-13T03:28:27+07:00</t>
  </si>
  <si>
    <t>2023-08-13T03:28:47+07:00</t>
  </si>
  <si>
    <t>2023-08-13T03:29:07+07:00</t>
  </si>
  <si>
    <t>2023-08-13T03:29:27+07:00</t>
  </si>
  <si>
    <t>2023-08-13T03:29:47+07:00</t>
  </si>
  <si>
    <t>2023-08-13T03:30:07+07:00</t>
  </si>
  <si>
    <t>2023-08-13T03:30:27+07:00</t>
  </si>
  <si>
    <t>2023-08-13T03:30:47+07:00</t>
  </si>
  <si>
    <t>2023-08-13T03:31:07+07:00</t>
  </si>
  <si>
    <t>2023-08-13T03:31:27+07:00</t>
  </si>
  <si>
    <t>2023-08-13T03:31:47+07:00</t>
  </si>
  <si>
    <t>2023-08-13T03:32:07+07:00</t>
  </si>
  <si>
    <t>2023-08-13T03:32:27+07:00</t>
  </si>
  <si>
    <t>2023-08-13T03:32:47+07:00</t>
  </si>
  <si>
    <t>2023-08-13T03:33:07+07:00</t>
  </si>
  <si>
    <t>2023-08-13T03:33:27+07:00</t>
  </si>
  <si>
    <t>2023-08-13T03:33:47+07:00</t>
  </si>
  <si>
    <t>2023-08-13T03:34:07+07:00</t>
  </si>
  <si>
    <t>2023-08-13T03:34:27+07:00</t>
  </si>
  <si>
    <t>2023-08-13T03:34:47+07:00</t>
  </si>
  <si>
    <t>2023-08-13T03:35:07+07:00</t>
  </si>
  <si>
    <t>2023-08-13T03:35:27+07:00</t>
  </si>
  <si>
    <t>2023-08-13T03:35:47+07:00</t>
  </si>
  <si>
    <t>2023-08-13T03:36:07+07:00</t>
  </si>
  <si>
    <t>2023-08-13T03:36:27+07:00</t>
  </si>
  <si>
    <t>2023-08-13T03:36:47+07:00</t>
  </si>
  <si>
    <t>2023-08-13T03:37:07+07:00</t>
  </si>
  <si>
    <t>2023-08-13T03:37:27+07:00</t>
  </si>
  <si>
    <t>2023-08-13T03:37:47+07:00</t>
  </si>
  <si>
    <t>2023-08-13T03:38:07+07:00</t>
  </si>
  <si>
    <t>2023-08-13T03:38:27+07:00</t>
  </si>
  <si>
    <t>2023-08-13T03:38:47+07:00</t>
  </si>
  <si>
    <t>2023-08-13T03:39:07+07:00</t>
  </si>
  <si>
    <t>2023-08-13T03:39:27+07:00</t>
  </si>
  <si>
    <t>2023-08-13T03:39:47+07:00</t>
  </si>
  <si>
    <t>2023-08-13T03:40:07+07:00</t>
  </si>
  <si>
    <t>2023-08-13T03:40:27+07:00</t>
  </si>
  <si>
    <t>2023-08-13T03:40:47+07:00</t>
  </si>
  <si>
    <t>2023-08-13T03:41:07+07:00</t>
  </si>
  <si>
    <t>2023-08-13T03:41:27+07:00</t>
  </si>
  <si>
    <t>2023-08-13T03:41:47+07:00</t>
  </si>
  <si>
    <t>2023-08-13T03:42:07+07:00</t>
  </si>
  <si>
    <t>2023-08-13T03:42:27+07:00</t>
  </si>
  <si>
    <t>2023-08-13T03:42:47+07:00</t>
  </si>
  <si>
    <t>2023-08-13T03:43:07+07:00</t>
  </si>
  <si>
    <t>2023-08-13T03:43:27+07:00</t>
  </si>
  <si>
    <t>2023-08-13T03:43:47+07:00</t>
  </si>
  <si>
    <t>2023-08-13T03:44:07+07:00</t>
  </si>
  <si>
    <t>2023-08-13T03:44:27+07:00</t>
  </si>
  <si>
    <t>2023-08-13T03:44:47+07:00</t>
  </si>
  <si>
    <t>2023-08-13T03:45:07+07:00</t>
  </si>
  <si>
    <t>2023-08-13T03:45:27+07:00</t>
  </si>
  <si>
    <t>2023-08-13T03:45:47+07:00</t>
  </si>
  <si>
    <t>2023-08-13T03:46:07+07:00</t>
  </si>
  <si>
    <t>2023-08-13T03:46:27+07:00</t>
  </si>
  <si>
    <t>2023-08-13T03:46:47+07:00</t>
  </si>
  <si>
    <t>2023-08-13T03:47:07+07:00</t>
  </si>
  <si>
    <t>2023-08-13T03:47:27+07:00</t>
  </si>
  <si>
    <t>2023-08-13T03:47:47+07:00</t>
  </si>
  <si>
    <t>2023-08-13T03:48:07+07:00</t>
  </si>
  <si>
    <t>2023-08-13T03:48:27+07:00</t>
  </si>
  <si>
    <t>2023-08-13T03:48:47+07:00</t>
  </si>
  <si>
    <t>2023-08-13T03:49:07+07:00</t>
  </si>
  <si>
    <t>2023-08-13T03:49:27+07:00</t>
  </si>
  <si>
    <t>2023-08-13T03:49:47+07:00</t>
  </si>
  <si>
    <t>2023-08-13T03:50:07+07:00</t>
  </si>
  <si>
    <t>2023-08-13T03:50:27+07:00</t>
  </si>
  <si>
    <t>2023-08-13T03:50:47+07:00</t>
  </si>
  <si>
    <t>2023-08-13T03:51:07+07:00</t>
  </si>
  <si>
    <t>2023-08-13T03:51:27+07:00</t>
  </si>
  <si>
    <t>2023-08-13T03:51:47+07:00</t>
  </si>
  <si>
    <t>2023-08-13T03:52:07+07:00</t>
  </si>
  <si>
    <t>2023-08-13T03:52:27+07:00</t>
  </si>
  <si>
    <t>2023-08-13T03:52:47+07:00</t>
  </si>
  <si>
    <t>2023-08-13T03:53:07+07:00</t>
  </si>
  <si>
    <t>2023-08-13T03:53:27+07:00</t>
  </si>
  <si>
    <t>2023-08-13T03:53:47+07:00</t>
  </si>
  <si>
    <t>2023-08-13T03:54:07+07:00</t>
  </si>
  <si>
    <t>2023-08-13T03:54:27+07:00</t>
  </si>
  <si>
    <t>2023-08-13T03:54:47+07:00</t>
  </si>
  <si>
    <t>2023-08-13T03:55:07+07:00</t>
  </si>
  <si>
    <t>2023-08-13T03:55:27+07:00</t>
  </si>
  <si>
    <t>2023-08-13T03:55:47+07:00</t>
  </si>
  <si>
    <t>2023-08-13T03:56:07+07:00</t>
  </si>
  <si>
    <t>2023-08-13T03:56:27+07:00</t>
  </si>
  <si>
    <t>2023-08-13T03:56:47+07:00</t>
  </si>
  <si>
    <t>2023-08-13T03:57:07+07:00</t>
  </si>
  <si>
    <t>2023-08-13T03:57:27+07:00</t>
  </si>
  <si>
    <t>2023-08-13T03:57:47+07:00</t>
  </si>
  <si>
    <t>2023-08-13T03:58:07+07:00</t>
  </si>
  <si>
    <t>2023-08-13T03:58:27+07:00</t>
  </si>
  <si>
    <t>2023-08-13T03:58:47+07:00</t>
  </si>
  <si>
    <t>2023-08-13T03:59:07+07:00</t>
  </si>
  <si>
    <t>2023-08-13T03:59:27+07:00</t>
  </si>
  <si>
    <t>2023-08-13T03:59:47+07:00</t>
  </si>
  <si>
    <t>2023-08-13T04:00:07+07:00</t>
  </si>
  <si>
    <t>2023-08-13T04:00:27+07:00</t>
  </si>
  <si>
    <t>2023-08-13T04:00:47+07:00</t>
  </si>
  <si>
    <t>2023-08-13T04:01:07+07:00</t>
  </si>
  <si>
    <t>2023-08-13T04:01:27+07:00</t>
  </si>
  <si>
    <t>2023-08-13T04:01:47+07:00</t>
  </si>
  <si>
    <t>2023-08-13T04:02:07+07:00</t>
  </si>
  <si>
    <t>2023-08-13T04:02:27+07:00</t>
  </si>
  <si>
    <t>2023-08-13T04:02:47+07:00</t>
  </si>
  <si>
    <t>2023-08-13T04:03:07+07:00</t>
  </si>
  <si>
    <t>2023-08-13T04:03:27+07:00</t>
  </si>
  <si>
    <t>2023-08-13T04:03:47+07:00</t>
  </si>
  <si>
    <t>2023-08-13T04:04:07+07:00</t>
  </si>
  <si>
    <t>2023-08-13T04:04:27+07:00</t>
  </si>
  <si>
    <t>2023-08-13T04:04:47+07:00</t>
  </si>
  <si>
    <t>2023-08-13T04:05:07+07:00</t>
  </si>
  <si>
    <t>2023-08-13T04:05:27+07:00</t>
  </si>
  <si>
    <t>2023-08-13T04:05:47+07:00</t>
  </si>
  <si>
    <t>2023-08-13T04:06:07+07:00</t>
  </si>
  <si>
    <t>2023-08-13T04:06:27+07:00</t>
  </si>
  <si>
    <t>2023-08-13T04:06:47+07:00</t>
  </si>
  <si>
    <t>2023-08-13T04:07:07+07:00</t>
  </si>
  <si>
    <t>2023-08-13T04:07:27+07:00</t>
  </si>
  <si>
    <t>2023-08-13T04:07:47+07:00</t>
  </si>
  <si>
    <t>2023-08-13T04:08:07+07:00</t>
  </si>
  <si>
    <t>2023-08-13T04:08:27+07:00</t>
  </si>
  <si>
    <t>2023-08-13T04:08:47+07:00</t>
  </si>
  <si>
    <t>2023-08-13T04:09:07+07:00</t>
  </si>
  <si>
    <t>2023-08-13T04:09:27+07:00</t>
  </si>
  <si>
    <t>2023-08-13T04:09:47+07:00</t>
  </si>
  <si>
    <t>2023-08-13T04:10:07+07:00</t>
  </si>
  <si>
    <t>2023-08-13T04:10:27+07:00</t>
  </si>
  <si>
    <t>2023-08-13T04:10:47+07:00</t>
  </si>
  <si>
    <t>2023-08-13T04:11:07+07:00</t>
  </si>
  <si>
    <t>2023-08-13T04:11:27+07:00</t>
  </si>
  <si>
    <t>2023-08-13T04:11:47+07:00</t>
  </si>
  <si>
    <t>2023-08-13T04:12:07+07:00</t>
  </si>
  <si>
    <t>2023-08-13T04:12:27+07:00</t>
  </si>
  <si>
    <t>2023-08-13T04:12:47+07:00</t>
  </si>
  <si>
    <t>2023-08-13T04:13:07+07:00</t>
  </si>
  <si>
    <t>2023-08-13T04:13:27+07:00</t>
  </si>
  <si>
    <t>2023-08-13T04:13:47+07:00</t>
  </si>
  <si>
    <t>2023-08-13T04:14:07+07:00</t>
  </si>
  <si>
    <t>2023-08-13T04:14:27+07:00</t>
  </si>
  <si>
    <t>2023-08-13T04:14:47+07:00</t>
  </si>
  <si>
    <t>2023-08-13T04:15:07+07:00</t>
  </si>
  <si>
    <t>2023-08-13T04:15:27+07:00</t>
  </si>
  <si>
    <t>2023-08-13T04:15:47+07:00</t>
  </si>
  <si>
    <t>2023-08-13T04:16:07+07:00</t>
  </si>
  <si>
    <t>2023-08-13T04:16:27+07:00</t>
  </si>
  <si>
    <t>2023-08-13T04:16:47+07:00</t>
  </si>
  <si>
    <t>2023-08-13T04:17:07+07:00</t>
  </si>
  <si>
    <t>2023-08-13T04:17:27+07:00</t>
  </si>
  <si>
    <t>2023-08-13T04:17:47+07:00</t>
  </si>
  <si>
    <t>2023-08-13T04:18:07+07:00</t>
  </si>
  <si>
    <t>2023-08-13T04:18:27+07:00</t>
  </si>
  <si>
    <t>2023-08-13T04:18:47+07:00</t>
  </si>
  <si>
    <t>2023-08-13T04:19:07+07:00</t>
  </si>
  <si>
    <t>2023-08-13T04:19:27+07:00</t>
  </si>
  <si>
    <t>2023-08-13T04:19:47+07:00</t>
  </si>
  <si>
    <t>2023-08-13T04:20:07+07:00</t>
  </si>
  <si>
    <t>2023-08-13T04:20:27+07:00</t>
  </si>
  <si>
    <t>2023-08-13T04:20:47+07:00</t>
  </si>
  <si>
    <t>2023-08-13T04:21:07+07:00</t>
  </si>
  <si>
    <t>2023-08-13T04:21:27+07:00</t>
  </si>
  <si>
    <t>2023-08-13T04:21:47+07:00</t>
  </si>
  <si>
    <t>2023-08-13T04:22:07+07:00</t>
  </si>
  <si>
    <t>2023-08-13T04:22:27+07:00</t>
  </si>
  <si>
    <t>2023-08-13T04:22:47+07:00</t>
  </si>
  <si>
    <t>2023-08-13T04:23:07+07:00</t>
  </si>
  <si>
    <t>2023-08-13T04:23:27+07:00</t>
  </si>
  <si>
    <t>2023-08-13T04:23:47+07:00</t>
  </si>
  <si>
    <t>2023-08-13T04:24:07+07:00</t>
  </si>
  <si>
    <t>2023-08-13T04:24:27+07:00</t>
  </si>
  <si>
    <t>2023-08-13T04:24:47+07:00</t>
  </si>
  <si>
    <t>2023-08-13T04:25:07+07:00</t>
  </si>
  <si>
    <t>2023-08-13T04:25:27+07:00</t>
  </si>
  <si>
    <t>2023-08-13T04:25:47+07:00</t>
  </si>
  <si>
    <t>2023-08-13T04:26:07+07:00</t>
  </si>
  <si>
    <t>2023-08-13T04:26:27+07:00</t>
  </si>
  <si>
    <t>2023-08-13T04:26:47+07:00</t>
  </si>
  <si>
    <t>2023-08-13T04:27:07+07:00</t>
  </si>
  <si>
    <t>2023-08-13T04:27:27+07:00</t>
  </si>
  <si>
    <t>2023-08-13T04:27:47+07:00</t>
  </si>
  <si>
    <t>2023-08-13T04:28:07+07:00</t>
  </si>
  <si>
    <t>2023-08-13T04:28:27+07:00</t>
  </si>
  <si>
    <t>2023-08-13T04:28:47+07:00</t>
  </si>
  <si>
    <t>2023-08-13T04:29:07+07:00</t>
  </si>
  <si>
    <t>2023-08-13T04:29:27+07:00</t>
  </si>
  <si>
    <t>2023-08-13T04:29:47+07:00</t>
  </si>
  <si>
    <t>2023-08-13T04:30:07+07:00</t>
  </si>
  <si>
    <t>2023-08-13T04:30:27+07:00</t>
  </si>
  <si>
    <t>2023-08-13T04:30:47+07:00</t>
  </si>
  <si>
    <t>2023-08-13T04:31:07+07:00</t>
  </si>
  <si>
    <t>2023-08-13T04:31:27+07:00</t>
  </si>
  <si>
    <t>2023-08-13T04:31:47+07:00</t>
  </si>
  <si>
    <t>2023-08-13T04:32:07+07:00</t>
  </si>
  <si>
    <t>2023-08-13T04:32:27+07:00</t>
  </si>
  <si>
    <t>2023-08-13T04:32:47+07:00</t>
  </si>
  <si>
    <t>2023-08-13T04:33:07+07:00</t>
  </si>
  <si>
    <t>2023-08-13T04:33:26+07:00</t>
  </si>
  <si>
    <t>2023-08-13T04:33:46+07:00</t>
  </si>
  <si>
    <t>2023-08-13T04:34:07+07:00</t>
  </si>
  <si>
    <t>2023-08-13T04:34:27+07:00</t>
  </si>
  <si>
    <t>2023-08-13T04:34:47+07:00</t>
  </si>
  <si>
    <t>2023-08-13T04:35:07+07:00</t>
  </si>
  <si>
    <t>2023-08-13T04:35:27+07:00</t>
  </si>
  <si>
    <t>2023-08-13T04:35:47+07:00</t>
  </si>
  <si>
    <t>2023-08-13T04:36:07+07:00</t>
  </si>
  <si>
    <t>2023-08-13T04:36:27+07:00</t>
  </si>
  <si>
    <t>2023-08-13T04:36:47+07:00</t>
  </si>
  <si>
    <t>2023-08-13T04:37:07+07:00</t>
  </si>
  <si>
    <t>2023-08-13T04:37:27+07:00</t>
  </si>
  <si>
    <t>2023-08-13T04:37:47+07:00</t>
  </si>
  <si>
    <t>2023-08-13T04:38:07+07:00</t>
  </si>
  <si>
    <t>2023-08-13T04:38:27+07:00</t>
  </si>
  <si>
    <t>2023-08-13T04:38:47+07:00</t>
  </si>
  <si>
    <t>2023-08-13T04:39:07+07:00</t>
  </si>
  <si>
    <t>2023-08-13T04:39:27+07:00</t>
  </si>
  <si>
    <t>2023-08-13T04:39:47+07:00</t>
  </si>
  <si>
    <t>2023-08-13T04:40:07+07:00</t>
  </si>
  <si>
    <t>2023-08-13T04:40:27+07:00</t>
  </si>
  <si>
    <t>2023-08-13T04:40:47+07:00</t>
  </si>
  <si>
    <t>2023-08-13T04:41:07+07:00</t>
  </si>
  <si>
    <t>2023-08-13T04:41:27+07:00</t>
  </si>
  <si>
    <t>2023-08-13T04:41:47+07:00</t>
  </si>
  <si>
    <t>2023-08-13T04:42:07+07:00</t>
  </si>
  <si>
    <t>2023-08-13T04:42:27+07:00</t>
  </si>
  <si>
    <t>2023-08-13T04:42:47+07:00</t>
  </si>
  <si>
    <t>2023-08-13T04:43:07+07:00</t>
  </si>
  <si>
    <t>2023-08-13T04:43:27+07:00</t>
  </si>
  <si>
    <t>2023-08-13T04:43:47+07:00</t>
  </si>
  <si>
    <t>2023-08-13T04:44:07+07:00</t>
  </si>
  <si>
    <t>2023-08-13T04:44:27+07:00</t>
  </si>
  <si>
    <t>2023-08-13T04:44:47+07:00</t>
  </si>
  <si>
    <t>2023-08-13T04:45:07+07:00</t>
  </si>
  <si>
    <t>2023-08-13T04:45:27+07:00</t>
  </si>
  <si>
    <t>2023-08-13T04:45:47+07:00</t>
  </si>
  <si>
    <t>2023-08-13T04:46:07+07:00</t>
  </si>
  <si>
    <t>2023-08-13T04:46:27+07:00</t>
  </si>
  <si>
    <t>2023-08-13T04:46:47+07:00</t>
  </si>
  <si>
    <t>2023-08-13T04:47:07+07:00</t>
  </si>
  <si>
    <t>2023-08-13T04:47:27+07:00</t>
  </si>
  <si>
    <t>2023-08-13T04:47:47+07:00</t>
  </si>
  <si>
    <t>2023-08-13T04:48:07+07:00</t>
  </si>
  <si>
    <t>2023-08-13T04:48:27+07:00</t>
  </si>
  <si>
    <t>2023-08-13T04:48:47+07:00</t>
  </si>
  <si>
    <t>2023-08-13T04:49:07+07:00</t>
  </si>
  <si>
    <t>2023-08-13T04:49:27+07:00</t>
  </si>
  <si>
    <t>2023-08-13T04:49:47+07:00</t>
  </si>
  <si>
    <t>2023-08-13T04:50:07+07:00</t>
  </si>
  <si>
    <t>2023-08-13T04:50:27+07:00</t>
  </si>
  <si>
    <t>2023-08-13T04:50:47+07:00</t>
  </si>
  <si>
    <t>2023-08-13T04:51:07+07:00</t>
  </si>
  <si>
    <t>2023-08-13T04:51:27+07:00</t>
  </si>
  <si>
    <t>2023-08-13T04:51:47+07:00</t>
  </si>
  <si>
    <t>2023-08-13T04:52:07+07:00</t>
  </si>
  <si>
    <t>2023-08-13T04:52:27+07:00</t>
  </si>
  <si>
    <t>2023-08-13T04:52:47+07:00</t>
  </si>
  <si>
    <t>2023-08-13T04:53:07+07:00</t>
  </si>
  <si>
    <t>2023-08-13T04:53:27+07:00</t>
  </si>
  <si>
    <t>2023-08-13T04:53:47+07:00</t>
  </si>
  <si>
    <t>2023-08-13T04:54:07+07:00</t>
  </si>
  <si>
    <t>2023-08-13T04:54:27+07:00</t>
  </si>
  <si>
    <t>2023-08-13T04:54:47+07:00</t>
  </si>
  <si>
    <t>2023-08-13T04:55:07+07:00</t>
  </si>
  <si>
    <t>2023-08-13T04:55:27+07:00</t>
  </si>
  <si>
    <t>2023-08-13T04:55:47+07:00</t>
  </si>
  <si>
    <t>2023-08-13T04:56:07+07:00</t>
  </si>
  <si>
    <t>2023-08-13T04:56:27+07:00</t>
  </si>
  <si>
    <t>2023-08-13T04:56:47+07:00</t>
  </si>
  <si>
    <t>2023-08-13T04:57:07+07:00</t>
  </si>
  <si>
    <t>2023-08-13T04:57:27+07:00</t>
  </si>
  <si>
    <t>2023-08-13T04:57:47+07:00</t>
  </si>
  <si>
    <t>2023-08-13T04:58:07+07:00</t>
  </si>
  <si>
    <t>2023-08-13T04:58:27+07:00</t>
  </si>
  <si>
    <t>2023-08-13T04:58:47+07:00</t>
  </si>
  <si>
    <t>2023-08-13T04:59:07+07:00</t>
  </si>
  <si>
    <t>2023-08-13T04:59:27+07:00</t>
  </si>
  <si>
    <t>2023-08-13T04:59:47+07:00</t>
  </si>
  <si>
    <t>2023-08-13T05:00:07+07:00</t>
  </si>
  <si>
    <t>2023-08-13T05:00:27+07:00</t>
  </si>
  <si>
    <t>2023-08-13T05:00:47+07:00</t>
  </si>
  <si>
    <t>2023-08-13T05:01:07+07:00</t>
  </si>
  <si>
    <t>2023-08-13T05:01:27+07:00</t>
  </si>
  <si>
    <t>2023-08-13T05:01:47+07:00</t>
  </si>
  <si>
    <t>2023-08-13T05:02:07+07:00</t>
  </si>
  <si>
    <t>2023-08-13T05:02:27+07:00</t>
  </si>
  <si>
    <t>2023-08-13T05:02:47+07:00</t>
  </si>
  <si>
    <t>2023-08-13T05:03:07+07:00</t>
  </si>
  <si>
    <t>2023-08-13T05:03:27+07:00</t>
  </si>
  <si>
    <t>2023-08-13T05:03:47+07:00</t>
  </si>
  <si>
    <t>2023-08-13T05:04:07+07:00</t>
  </si>
  <si>
    <t>2023-08-13T05:04:27+07:00</t>
  </si>
  <si>
    <t>2023-08-13T05:04:47+07:00</t>
  </si>
  <si>
    <t>2023-08-13T05:05:07+07:00</t>
  </si>
  <si>
    <t>2023-08-13T05:05:27+07:00</t>
  </si>
  <si>
    <t>2023-08-13T05:05:47+07:00</t>
  </si>
  <si>
    <t>2023-08-13T05:06:07+07:00</t>
  </si>
  <si>
    <t>2023-08-13T05:06:27+07:00</t>
  </si>
  <si>
    <t>2023-08-13T05:06:47+07:00</t>
  </si>
  <si>
    <t>2023-08-13T05:07:07+07:00</t>
  </si>
  <si>
    <t>2023-08-13T05:07:27+07:00</t>
  </si>
  <si>
    <t>2023-08-13T05:07:47+07:00</t>
  </si>
  <si>
    <t>2023-08-13T05:08:07+07:00</t>
  </si>
  <si>
    <t>2023-08-13T05:08:27+07:00</t>
  </si>
  <si>
    <t>2023-08-13T05:08:47+07:00</t>
  </si>
  <si>
    <t>2023-08-13T05:09:07+07:00</t>
  </si>
  <si>
    <t>2023-08-13T05:09:27+07:00</t>
  </si>
  <si>
    <t>2023-08-13T05:09:47+07:00</t>
  </si>
  <si>
    <t>2023-08-13T05:10:07+07:00</t>
  </si>
  <si>
    <t>2023-08-13T05:10:27+07:00</t>
  </si>
  <si>
    <t>2023-08-13T05:10:47+07:00</t>
  </si>
  <si>
    <t>2023-08-13T05:11:07+07:00</t>
  </si>
  <si>
    <t>2023-08-13T05:11:27+07:00</t>
  </si>
  <si>
    <t>2023-08-13T05:11:47+07:00</t>
  </si>
  <si>
    <t>2023-08-13T05:12:07+07:00</t>
  </si>
  <si>
    <t>2023-08-13T05:12:27+07:00</t>
  </si>
  <si>
    <t>2023-08-13T05:12:47+07:00</t>
  </si>
  <si>
    <t>2023-08-13T05:13:07+07:00</t>
  </si>
  <si>
    <t>2023-08-13T05:13:27+07:00</t>
  </si>
  <si>
    <t>2023-08-13T05:13:47+07:00</t>
  </si>
  <si>
    <t>2023-08-13T05:14:07+07:00</t>
  </si>
  <si>
    <t>2023-08-13T05:14:27+07:00</t>
  </si>
  <si>
    <t>2023-08-13T05:14:47+07:00</t>
  </si>
  <si>
    <t>2023-08-13T05:15:07+07:00</t>
  </si>
  <si>
    <t>2023-08-13T05:15:27+07:00</t>
  </si>
  <si>
    <t>2023-08-13T05:15:47+07:00</t>
  </si>
  <si>
    <t>2023-08-13T05:16:07+07:00</t>
  </si>
  <si>
    <t>2023-08-13T05:16:27+07:00</t>
  </si>
  <si>
    <t>2023-08-13T05:16:47+07:00</t>
  </si>
  <si>
    <t>2023-08-13T05:17:07+07:00</t>
  </si>
  <si>
    <t>2023-08-13T05:17:27+07:00</t>
  </si>
  <si>
    <t>2023-08-13T05:17:47+07:00</t>
  </si>
  <si>
    <t>2023-08-13T05:18:07+07:00</t>
  </si>
  <si>
    <t>2023-08-13T05:18:27+07:00</t>
  </si>
  <si>
    <t>2023-08-13T05:18:47+07:00</t>
  </si>
  <si>
    <t>2023-08-13T05:19:07+07:00</t>
  </si>
  <si>
    <t>2023-08-13T05:19:27+07:00</t>
  </si>
  <si>
    <t>2023-08-13T05:19:47+07:00</t>
  </si>
  <si>
    <t>2023-08-13T05:20:07+07:00</t>
  </si>
  <si>
    <t>2023-08-13T05:20:27+07:00</t>
  </si>
  <si>
    <t>2023-08-13T05:20:47+07:00</t>
  </si>
  <si>
    <t>2023-08-13T05:21:07+07:00</t>
  </si>
  <si>
    <t>2023-08-13T05:21:27+07:00</t>
  </si>
  <si>
    <t>2023-08-13T05:21:47+07:00</t>
  </si>
  <si>
    <t>2023-08-13T05:22:07+07:00</t>
  </si>
  <si>
    <t>2023-08-13T05:22:27+07:00</t>
  </si>
  <si>
    <t>2023-08-13T05:22:47+07:00</t>
  </si>
  <si>
    <t>2023-08-13T05:23:07+07:00</t>
  </si>
  <si>
    <t>2023-08-13T05:23:27+07:00</t>
  </si>
  <si>
    <t>2023-08-13T05:23:47+07:00</t>
  </si>
  <si>
    <t>2023-08-13T05:24:07+07:00</t>
  </si>
  <si>
    <t>2023-08-13T05:24:27+07:00</t>
  </si>
  <si>
    <t>2023-08-13T05:24:47+07:00</t>
  </si>
  <si>
    <t>2023-08-13T05:25:07+07:00</t>
  </si>
  <si>
    <t>2023-08-13T05:25:27+07:00</t>
  </si>
  <si>
    <t>2023-08-13T05:25:47+07:00</t>
  </si>
  <si>
    <t>2023-08-13T05:26:07+07:00</t>
  </si>
  <si>
    <t>2023-08-13T05:26:27+07:00</t>
  </si>
  <si>
    <t>2023-08-13T05:26:47+07:00</t>
  </si>
  <si>
    <t>2023-08-13T05:27:07+07:00</t>
  </si>
  <si>
    <t>2023-08-13T05:27:27+07:00</t>
  </si>
  <si>
    <t>2023-08-13T05:27:47+07:00</t>
  </si>
  <si>
    <t>2023-08-13T05:28:07+07:00</t>
  </si>
  <si>
    <t>2023-08-13T05:28:27+07:00</t>
  </si>
  <si>
    <t>2023-08-13T05:28:47+07:00</t>
  </si>
  <si>
    <t>2023-08-13T05:29:07+07:00</t>
  </si>
  <si>
    <t>2023-08-13T05:29:27+07:00</t>
  </si>
  <si>
    <t>2023-08-13T05:29:47+07:00</t>
  </si>
  <si>
    <t>2023-08-13T05:30:07+07:00</t>
  </si>
  <si>
    <t>2023-08-13T05:30:27+07:00</t>
  </si>
  <si>
    <t>2023-08-13T05:30:47+07:00</t>
  </si>
  <si>
    <t>2023-08-13T05:31:07+07:00</t>
  </si>
  <si>
    <t>2023-08-13T05:31:27+07:00</t>
  </si>
  <si>
    <t>2023-08-13T05:31:47+07:00</t>
  </si>
  <si>
    <t>2023-08-13T05:32:06+07:00</t>
  </si>
  <si>
    <t>2023-08-13T05:32:27+07:00</t>
  </si>
  <si>
    <t>2023-08-13T05:32:47+07:00</t>
  </si>
  <si>
    <t>2023-08-13T05:33:07+07:00</t>
  </si>
  <si>
    <t>2023-08-13T05:33:27+07:00</t>
  </si>
  <si>
    <t>2023-08-13T05:33:47+07:00</t>
  </si>
  <si>
    <t>2023-08-13T05:34:07+07:00</t>
  </si>
  <si>
    <t>2023-08-13T05:34:27+07:00</t>
  </si>
  <si>
    <t>2023-08-13T05:34:47+07:00</t>
  </si>
  <si>
    <t>2023-08-13T05:35:07+07:00</t>
  </si>
  <si>
    <t>2023-08-13T05:35:27+07:00</t>
  </si>
  <si>
    <t>2023-08-13T05:35:47+07:00</t>
  </si>
  <si>
    <t>2023-08-13T05:36:06+07:00</t>
  </si>
  <si>
    <t>2023-08-13T05:36:27+07:00</t>
  </si>
  <si>
    <t>2023-08-13T05:36:46+07:00</t>
  </si>
  <si>
    <t>2023-08-13T05:37:07+07:00</t>
  </si>
  <si>
    <t>2023-08-13T05:37:27+07:00</t>
  </si>
  <si>
    <t>2023-08-13T05:37:47+07:00</t>
  </si>
  <si>
    <t>2023-08-13T05:38:07+07:00</t>
  </si>
  <si>
    <t>2023-08-13T05:38:27+07:00</t>
  </si>
  <si>
    <t>2023-08-13T05:38:47+07:00</t>
  </si>
  <si>
    <t>2023-08-13T05:39:07+07:00</t>
  </si>
  <si>
    <t>2023-08-13T05:39:27+07:00</t>
  </si>
  <si>
    <t>2023-08-13T05:39:47+07:00</t>
  </si>
  <si>
    <t>2023-08-13T05:40:07+07:00</t>
  </si>
  <si>
    <t>2023-08-13T05:40:27+07:00</t>
  </si>
  <si>
    <t>2023-08-13T05:40:47+07:00</t>
  </si>
  <si>
    <t>2023-08-13T05:41:07+07:00</t>
  </si>
  <si>
    <t>2023-08-13T05:41:27+07:00</t>
  </si>
  <si>
    <t>2023-08-13T05:41:47+07:00</t>
  </si>
  <si>
    <t>2023-08-13T05:42:07+07:00</t>
  </si>
  <si>
    <t>2023-08-13T05:42:27+07:00</t>
  </si>
  <si>
    <t>2023-08-13T05:42:47+07:00</t>
  </si>
  <si>
    <t>2023-08-13T05:43:07+07:00</t>
  </si>
  <si>
    <t>2023-08-13T05:43:27+07:00</t>
  </si>
  <si>
    <t>2023-08-13T05:43:47+07:00</t>
  </si>
  <si>
    <t>2023-08-13T05:44:07+07:00</t>
  </si>
  <si>
    <t>2023-08-13T05:44:27+07:00</t>
  </si>
  <si>
    <t>2023-08-13T05:44:47+07:00</t>
  </si>
  <si>
    <t>2023-08-13T05:45:07+07:00</t>
  </si>
  <si>
    <t>2023-08-13T05:45:27+07:00</t>
  </si>
  <si>
    <t>2023-08-13T05:45:47+07:00</t>
  </si>
  <si>
    <t>2023-08-13T05:46:07+07:00</t>
  </si>
  <si>
    <t>2023-08-13T05:46:27+07:00</t>
  </si>
  <si>
    <t>2023-08-13T05:46:47+07:00</t>
  </si>
  <si>
    <t>2023-08-13T05:47:07+07:00</t>
  </si>
  <si>
    <t>2023-08-13T05:47:27+07:00</t>
  </si>
  <si>
    <t>2023-08-13T05:47:47+07:00</t>
  </si>
  <si>
    <t>2023-08-13T05:48:07+07:00</t>
  </si>
  <si>
    <t>2023-08-13T05:48:27+07:00</t>
  </si>
  <si>
    <t>2023-08-13T05:48:47+07:00</t>
  </si>
  <si>
    <t>2023-08-13T05:49:07+07:00</t>
  </si>
  <si>
    <t>2023-08-13T05:49:27+07:00</t>
  </si>
  <si>
    <t>2023-08-13T05:49:47+07:00</t>
  </si>
  <si>
    <t>2023-08-13T05:50:07+07:00</t>
  </si>
  <si>
    <t>2023-08-13T05:50:27+07:00</t>
  </si>
  <si>
    <t>2023-08-13T05:50:47+07:00</t>
  </si>
  <si>
    <t>2023-08-13T05:51:07+07:00</t>
  </si>
  <si>
    <t>2023-08-13T05:51:27+07:00</t>
  </si>
  <si>
    <t>2023-08-13T05:51:47+07:00</t>
  </si>
  <si>
    <t>2023-08-13T05:52:07+07:00</t>
  </si>
  <si>
    <t>2023-08-13T05:52:27+07:00</t>
  </si>
  <si>
    <t>2023-08-13T05:52:47+07:00</t>
  </si>
  <si>
    <t>2023-08-13T05:53:07+07:00</t>
  </si>
  <si>
    <t>2023-08-13T05:53:27+07:00</t>
  </si>
  <si>
    <t>2023-08-13T05:53:47+07:00</t>
  </si>
  <si>
    <t>2023-08-13T05:54:07+07:00</t>
  </si>
  <si>
    <t>2023-08-13T05:54:27+07:00</t>
  </si>
  <si>
    <t>2023-08-13T05:54:47+07:00</t>
  </si>
  <si>
    <t>2023-08-13T05:55:07+07:00</t>
  </si>
  <si>
    <t>2023-08-13T05:55:27+07:00</t>
  </si>
  <si>
    <t>2023-08-13T05:55:47+07:00</t>
  </si>
  <si>
    <t>2023-08-13T05:56:07+07:00</t>
  </si>
  <si>
    <t>2023-08-13T05:56:27+07:00</t>
  </si>
  <si>
    <t>2023-08-13T05:56:47+07:00</t>
  </si>
  <si>
    <t>2023-08-13T05:57:07+07:00</t>
  </si>
  <si>
    <t>2023-08-13T05:57:27+07:00</t>
  </si>
  <si>
    <t>2023-08-13T05:57:47+07:00</t>
  </si>
  <si>
    <t>2023-08-13T05:58:07+07:00</t>
  </si>
  <si>
    <t>2023-08-13T05:58:27+07:00</t>
  </si>
  <si>
    <t>2023-08-13T05:58:47+07:00</t>
  </si>
  <si>
    <t>2023-08-13T05:59:07+07:00</t>
  </si>
  <si>
    <t>2023-08-13T05:59:27+07:00</t>
  </si>
  <si>
    <t>2023-08-13T05:59:47+07:00</t>
  </si>
  <si>
    <t>2023-08-13T06:00:07+07:00</t>
  </si>
  <si>
    <t>2023-08-13T06:00:27+07:00</t>
  </si>
  <si>
    <t>2023-08-13T06:00:47+07:00</t>
  </si>
  <si>
    <t>2023-08-13T06:01:07+07:00</t>
  </si>
  <si>
    <t>2023-08-13T06:01:27+07:00</t>
  </si>
  <si>
    <t>2023-08-13T06:01:47+07:00</t>
  </si>
  <si>
    <t>2023-08-13T06:02:07+07:00</t>
  </si>
  <si>
    <t>2023-08-13T06:02:27+07:00</t>
  </si>
  <si>
    <t>2023-08-13T06:02:47+07:00</t>
  </si>
  <si>
    <t>2023-08-13T06:03:07+07:00</t>
  </si>
  <si>
    <t>2023-08-13T06:03:27+07:00</t>
  </si>
  <si>
    <t>2023-08-13T06:03:47+07:00</t>
  </si>
  <si>
    <t>2023-08-13T06:04:07+07:00</t>
  </si>
  <si>
    <t>2023-08-13T06:04:27+07:00</t>
  </si>
  <si>
    <t>2023-08-13T06:04:47+07:00</t>
  </si>
  <si>
    <t>2023-08-13T06:05:07+07:00</t>
  </si>
  <si>
    <t>2023-08-13T06:05:27+07:00</t>
  </si>
  <si>
    <t>2023-08-13T06:05:47+07:00</t>
  </si>
  <si>
    <t>2023-08-13T06:06:07+07:00</t>
  </si>
  <si>
    <t>2023-08-13T06:06:27+07:00</t>
  </si>
  <si>
    <t>2023-08-13T06:06:47+07:00</t>
  </si>
  <si>
    <t>2023-08-13T06:07:07+07:00</t>
  </si>
  <si>
    <t>2023-08-13T06:07:28+07:00</t>
  </si>
  <si>
    <t>2023-08-13T06:07:47+07:00</t>
  </si>
  <si>
    <t>2023-08-13T06:08:07+07:00</t>
  </si>
  <si>
    <t>2023-08-13T06:08:27+07:00</t>
  </si>
  <si>
    <t>2023-08-13T06:08:47+07:00</t>
  </si>
  <si>
    <t>2023-08-13T06:09:07+07:00</t>
  </si>
  <si>
    <t>2023-08-13T06:09:27+07:00</t>
  </si>
  <si>
    <t>2023-08-13T06:09:47+07:00</t>
  </si>
  <si>
    <t>2023-08-13T06:10:07+07:00</t>
  </si>
  <si>
    <t>2023-08-13T06:10:27+07:00</t>
  </si>
  <si>
    <t>2023-08-13T06:10:47+07:00</t>
  </si>
  <si>
    <t>2023-08-13T06:11:07+07:00</t>
  </si>
  <si>
    <t>2023-08-13T06:11:27+07:00</t>
  </si>
  <si>
    <t>2023-08-13T06:11:47+07:00</t>
  </si>
  <si>
    <t>2023-08-13T06:12:07+07:00</t>
  </si>
  <si>
    <t>2023-08-13T06:12:27+07:00</t>
  </si>
  <si>
    <t>2023-08-13T06:12:47+07:00</t>
  </si>
  <si>
    <t>2023-08-13T06:13:07+07:00</t>
  </si>
  <si>
    <t>2023-08-13T06:13:27+07:00</t>
  </si>
  <si>
    <t>2023-08-13T06:13:47+07:00</t>
  </si>
  <si>
    <t>2023-08-13T06:14:07+07:00</t>
  </si>
  <si>
    <t>2023-08-13T06:14:27+07:00</t>
  </si>
  <si>
    <t>2023-08-13T06:14:47+07:00</t>
  </si>
  <si>
    <t>2023-08-13T06:15:07+07:00</t>
  </si>
  <si>
    <t>2023-08-13T06:15:27+07:00</t>
  </si>
  <si>
    <t>2023-08-13T06:15:47+07:00</t>
  </si>
  <si>
    <t>2023-08-13T06:16:07+07:00</t>
  </si>
  <si>
    <t>2023-08-13T06:16:27+07:00</t>
  </si>
  <si>
    <t>2023-08-13T06:16:47+07:00</t>
  </si>
  <si>
    <t>2023-08-13T06:17:07+07:00</t>
  </si>
  <si>
    <t>2023-08-13T06:17:27+07:00</t>
  </si>
  <si>
    <t>2023-08-13T06:17:47+07:00</t>
  </si>
  <si>
    <t>2023-08-13T06:18:07+07:00</t>
  </si>
  <si>
    <t>2023-08-13T06:18:27+07:00</t>
  </si>
  <si>
    <t>2023-08-13T06:18:47+07:00</t>
  </si>
  <si>
    <t>2023-08-13T06:19:07+07:00</t>
  </si>
  <si>
    <t>2023-08-13T06:19:27+07:00</t>
  </si>
  <si>
    <t>2023-08-13T06:19:47+07:00</t>
  </si>
  <si>
    <t>2023-08-13T06:20:07+07:00</t>
  </si>
  <si>
    <t>2023-08-13T06:20:27+07:00</t>
  </si>
  <si>
    <t>2023-08-13T06:20:47+07:00</t>
  </si>
  <si>
    <t>2023-08-13T06:21:07+07:00</t>
  </si>
  <si>
    <t>2023-08-13T06:21:27+07:00</t>
  </si>
  <si>
    <t>2023-08-13T06:21:47+07:00</t>
  </si>
  <si>
    <t>2023-08-13T06:22:07+07:00</t>
  </si>
  <si>
    <t>2023-08-13T06:22:27+07:00</t>
  </si>
  <si>
    <t>2023-08-13T06:22:47+07:00</t>
  </si>
  <si>
    <t>2023-08-13T06:23:07+07:00</t>
  </si>
  <si>
    <t>2023-08-13T06:23:27+07:00</t>
  </si>
  <si>
    <t>2023-08-13T06:23:47+07:00</t>
  </si>
  <si>
    <t>2023-08-13T06:24:07+07:00</t>
  </si>
  <si>
    <t>2023-08-13T06:24:27+07:00</t>
  </si>
  <si>
    <t>2023-08-13T06:24:47+07:00</t>
  </si>
  <si>
    <t>2023-08-13T06:25:07+07:00</t>
  </si>
  <si>
    <t>2023-08-13T06:25:27+07:00</t>
  </si>
  <si>
    <t>2023-08-13T06:25:47+07:00</t>
  </si>
  <si>
    <t>2023-08-13T06:26:07+07:00</t>
  </si>
  <si>
    <t>2023-08-13T06:26:27+07:00</t>
  </si>
  <si>
    <t>2023-08-13T06:26:47+07:00</t>
  </si>
  <si>
    <t>2023-08-13T06:27:07+07:00</t>
  </si>
  <si>
    <t>2023-08-13T06:27:27+07:00</t>
  </si>
  <si>
    <t>2023-08-13T06:27:47+07:00</t>
  </si>
  <si>
    <t>2023-08-13T06:28:07+07:00</t>
  </si>
  <si>
    <t>2023-08-13T06:28:27+07:00</t>
  </si>
  <si>
    <t>2023-08-13T06:28:47+07:00</t>
  </si>
  <si>
    <t>2023-08-13T06:29:07+07:00</t>
  </si>
  <si>
    <t>2023-08-13T06:29:27+07:00</t>
  </si>
  <si>
    <t>2023-08-13T06:29:47+07:00</t>
  </si>
  <si>
    <t>2023-08-13T06:30:07+07:00</t>
  </si>
  <si>
    <t>2023-08-13T06:30:27+07:00</t>
  </si>
  <si>
    <t>2023-08-13T06:30:47+07:00</t>
  </si>
  <si>
    <t>2023-08-13T06:31:07+07:00</t>
  </si>
  <si>
    <t>2023-08-13T06:31:27+07:00</t>
  </si>
  <si>
    <t>2023-08-13T06:31:47+07:00</t>
  </si>
  <si>
    <t>2023-08-13T06:32:07+07:00</t>
  </si>
  <si>
    <t>2023-08-13T06:32:27+07:00</t>
  </si>
  <si>
    <t>2023-08-13T06:32:47+07:00</t>
  </si>
  <si>
    <t>2023-08-13T06:33:07+07:00</t>
  </si>
  <si>
    <t>2023-08-13T06:33:27+07:00</t>
  </si>
  <si>
    <t>2023-08-13T06:33:47+07:00</t>
  </si>
  <si>
    <t>2023-08-13T06:34:07+07:00</t>
  </si>
  <si>
    <t>2023-08-13T06:34:27+07:00</t>
  </si>
  <si>
    <t>2023-08-13T06:34:47+07:00</t>
  </si>
  <si>
    <t>2023-08-13T06:35:07+07:00</t>
  </si>
  <si>
    <t>2023-08-13T06:35:27+07:00</t>
  </si>
  <si>
    <t>2023-08-13T06:35:47+07:00</t>
  </si>
  <si>
    <t>2023-08-13T06:36:07+07:00</t>
  </si>
  <si>
    <t>2023-08-13T06:36:27+07:00</t>
  </si>
  <si>
    <t>2023-08-13T06:36:47+07:00</t>
  </si>
  <si>
    <t>2023-08-13T06:37:07+07:00</t>
  </si>
  <si>
    <t>2023-08-13T06:37:27+07:00</t>
  </si>
  <si>
    <t>2023-08-13T06:37:48+07:00</t>
  </si>
  <si>
    <t>2023-08-13T06:38:07+07:00</t>
  </si>
  <si>
    <t>2023-08-13T06:38:27+07:00</t>
  </si>
  <si>
    <t>2023-08-13T06:38:47+07:00</t>
  </si>
  <si>
    <t>2023-08-13T06:39:07+07:00</t>
  </si>
  <si>
    <t>2023-08-13T06:39:27+07:00</t>
  </si>
  <si>
    <t>2023-08-13T06:39:47+07:00</t>
  </si>
  <si>
    <t>2023-08-13T06:40:07+07:00</t>
  </si>
  <si>
    <t>2023-08-13T06:40:27+07:00</t>
  </si>
  <si>
    <t>2023-08-13T06:40:47+07:00</t>
  </si>
  <si>
    <t>2023-08-13T06:41:07+07:00</t>
  </si>
  <si>
    <t>2023-08-13T06:41:27+07:00</t>
  </si>
  <si>
    <t>2023-08-13T06:41:47+07:00</t>
  </si>
  <si>
    <t>2023-08-13T06:42:07+07:00</t>
  </si>
  <si>
    <t>2023-08-13T06:42:27+07:00</t>
  </si>
  <si>
    <t>2023-08-13T06:42:47+07:00</t>
  </si>
  <si>
    <t>2023-08-13T06:43:07+07:00</t>
  </si>
  <si>
    <t>2023-08-13T06:43:27+07:00</t>
  </si>
  <si>
    <t>2023-08-13T06:43:47+07:00</t>
  </si>
  <si>
    <t>2023-08-13T06:44:07+07:00</t>
  </si>
  <si>
    <t>2023-08-13T06:44:27+07:00</t>
  </si>
  <si>
    <t>2023-08-13T06:44:47+07:00</t>
  </si>
  <si>
    <t>2023-08-13T06:45:07+07:00</t>
  </si>
  <si>
    <t>2023-08-13T06:45:27+07:00</t>
  </si>
  <si>
    <t>2023-08-13T06:45:47+07:00</t>
  </si>
  <si>
    <t>2023-08-13T06:46:07+07:00</t>
  </si>
  <si>
    <t>2023-08-13T06:46:27+07:00</t>
  </si>
  <si>
    <t>2023-08-13T06:46:47+07:00</t>
  </si>
  <si>
    <t>2023-08-13T06:47:07+07:00</t>
  </si>
  <si>
    <t>2023-08-13T06:47:27+07:00</t>
  </si>
  <si>
    <t>2023-08-13T06:47:47+07:00</t>
  </si>
  <si>
    <t>2023-08-13T06:48:07+07:00</t>
  </si>
  <si>
    <t>2023-08-13T06:48:27+07:00</t>
  </si>
  <si>
    <t>2023-08-13T06:48:48+07:00</t>
  </si>
  <si>
    <t>2023-08-13T06:49:07+07:00</t>
  </si>
  <si>
    <t>2023-08-13T06:49:27+07:00</t>
  </si>
  <si>
    <t>2023-08-13T06:49:47+07:00</t>
  </si>
  <si>
    <t>2023-08-13T06:50:09+07:00</t>
  </si>
  <si>
    <t>2023-08-13T06:50:27+07:00</t>
  </si>
  <si>
    <t>2023-08-13T06:50:47+07:00</t>
  </si>
  <si>
    <t>2023-08-13T06:51:07+07:00</t>
  </si>
  <si>
    <t>2023-08-13T06:51:27+07:00</t>
  </si>
  <si>
    <t>2023-08-13T06:51:47+07:00</t>
  </si>
  <si>
    <t>2023-08-13T06:52:07+07:00</t>
  </si>
  <si>
    <t>2023-08-13T06:52:27+07:00</t>
  </si>
  <si>
    <t>2023-08-13T06:52:47+07:00</t>
  </si>
  <si>
    <t>2023-08-13T06:53:07+07:00</t>
  </si>
  <si>
    <t>2023-08-13T06:53:27+07:00</t>
  </si>
  <si>
    <t>2023-08-13T06:53:47+07:00</t>
  </si>
  <si>
    <t>2023-08-13T06:54:07+07:00</t>
  </si>
  <si>
    <t>2023-08-13T06:54:27+07:00</t>
  </si>
  <si>
    <t>2023-08-13T06:54:47+07:00</t>
  </si>
  <si>
    <t>2023-08-13T06:55:07+07:00</t>
  </si>
  <si>
    <t>2023-08-13T06:55:27+07:00</t>
  </si>
  <si>
    <t>2023-08-13T06:55:47+07:00</t>
  </si>
  <si>
    <t>2023-08-13T06:56:08+07:00</t>
  </si>
  <si>
    <t>2023-08-13T06:56:27+07:00</t>
  </si>
  <si>
    <t>2023-08-13T06:56:47+07:00</t>
  </si>
  <si>
    <t>2023-08-13T06:57:07+07:00</t>
  </si>
  <si>
    <t>2023-08-13T06:57:27+07:00</t>
  </si>
  <si>
    <t>2023-08-13T06:57:47+07:00</t>
  </si>
  <si>
    <t>2023-08-13T06:58:08+07:00</t>
  </si>
  <si>
    <t>2023-08-13T06:58:27+07:00</t>
  </si>
  <si>
    <t>2023-08-13T06:58:47+07:00</t>
  </si>
  <si>
    <t>2023-08-13T06:59:07+07:00</t>
  </si>
  <si>
    <t>2023-08-13T06:59:27+07:00</t>
  </si>
  <si>
    <t>2023-08-13T06:59:47+07:00</t>
  </si>
  <si>
    <t>2023-08-13T07:00:07+07:00</t>
  </si>
  <si>
    <t>2023-08-13T07:00:27+07:00</t>
  </si>
  <si>
    <t>2023-08-13T07:00:47+07:00</t>
  </si>
  <si>
    <t>2023-08-13T07:01:08+07:00</t>
  </si>
  <si>
    <t>2023-08-13T07:01:28+07:00</t>
  </si>
  <si>
    <t>2023-08-13T07:01:49+07:00</t>
  </si>
  <si>
    <t>2023-08-13T07:02:07+07:00</t>
  </si>
  <si>
    <t>2023-08-13T07:02:27+07:00</t>
  </si>
  <si>
    <t>2023-08-13T07:02:48+07:00</t>
  </si>
  <si>
    <t>2023-08-13T07:03:07+07:00</t>
  </si>
  <si>
    <t>2023-08-13T07:03:27+07:00</t>
  </si>
  <si>
    <t>2023-08-13T07:03:47+07:00</t>
  </si>
  <si>
    <t>2023-08-13T07:04:07+07:00</t>
  </si>
  <si>
    <t>2023-08-13T07:04:27+07:00</t>
  </si>
  <si>
    <t>2023-08-13T07:04:47+07:00</t>
  </si>
  <si>
    <t>2023-08-13T07:05:07+07:00</t>
  </si>
  <si>
    <t>2023-08-13T07:05:27+07:00</t>
  </si>
  <si>
    <t>2023-08-13T07:05:47+07:00</t>
  </si>
  <si>
    <t>2023-08-13T07:06:08+07:00</t>
  </si>
  <si>
    <t>2023-08-13T07:06:27+07:00</t>
  </si>
  <si>
    <t>2023-08-13T07:06:47+07:00</t>
  </si>
  <si>
    <t>2023-08-13T07:07:07+07:00</t>
  </si>
  <si>
    <t>2023-08-13T07:07:28+07:00</t>
  </si>
  <si>
    <t>2023-08-13T07:07:47+07:00</t>
  </si>
  <si>
    <t>2023-08-13T07:08:07+07:00</t>
  </si>
  <si>
    <t>2023-08-13T07:08:27+07:00</t>
  </si>
  <si>
    <t>2023-08-13T07:08:47+07:00</t>
  </si>
  <si>
    <t>2023-08-13T07:09:07+07:00</t>
  </si>
  <si>
    <t>2023-08-13T07:09:27+07:00</t>
  </si>
  <si>
    <t>2023-08-13T07:09:47+07:00</t>
  </si>
  <si>
    <t>2023-08-13T07:10:07+07:00</t>
  </si>
  <si>
    <t>2023-08-13T07:10:27+07:00</t>
  </si>
  <si>
    <t>2023-08-13T07:10:47+07:00</t>
  </si>
  <si>
    <t>2023-08-13T07:11:07+07:00</t>
  </si>
  <si>
    <t>2023-08-13T07:11:27+07:00</t>
  </si>
  <si>
    <t>2023-08-13T07:11:47+07:00</t>
  </si>
  <si>
    <t>2023-08-13T07:12:07+07:00</t>
  </si>
  <si>
    <t>2023-08-13T07:12:27+07:00</t>
  </si>
  <si>
    <t>2023-08-13T07:12:47+07:00</t>
  </si>
  <si>
    <t>2023-08-13T07:13:07+07:00</t>
  </si>
  <si>
    <t>2023-08-13T07:13:27+07:00</t>
  </si>
  <si>
    <t>2023-08-13T07:13:47+07:00</t>
  </si>
  <si>
    <t>2023-08-13T07:14:07+07:00</t>
  </si>
  <si>
    <t>2023-08-13T07:14:27+07:00</t>
  </si>
  <si>
    <t>2023-08-13T07:14:47+07:00</t>
  </si>
  <si>
    <t>2023-08-13T07:15:07+07:00</t>
  </si>
  <si>
    <t>2023-08-13T07:15:27+07:00</t>
  </si>
  <si>
    <t>2023-08-13T07:15:47+07:00</t>
  </si>
  <si>
    <t>2023-08-13T07:16:07+07:00</t>
  </si>
  <si>
    <t>2023-08-13T07:16:27+07:00</t>
  </si>
  <si>
    <t>2023-08-13T07:16:47+07:00</t>
  </si>
  <si>
    <t>2023-08-13T07:17:07+07:00</t>
  </si>
  <si>
    <t>2023-08-13T07:17:27+07:00</t>
  </si>
  <si>
    <t>2023-08-13T07:17:47+07:00</t>
  </si>
  <si>
    <t>2023-08-13T07:18:07+07:00</t>
  </si>
  <si>
    <t>2023-08-13T07:18:27+07:00</t>
  </si>
  <si>
    <t>2023-08-13T07:18:47+07:00</t>
  </si>
  <si>
    <t>2023-08-13T07:19:07+07:00</t>
  </si>
  <si>
    <t>2023-08-13T07:19:27+07:00</t>
  </si>
  <si>
    <t>2023-08-13T07:19:47+07:00</t>
  </si>
  <si>
    <t>2023-08-13T07:20:07+07:00</t>
  </si>
  <si>
    <t>2023-08-13T07:20:28+07:00</t>
  </si>
  <si>
    <t>2023-08-13T07:20:47+07:00</t>
  </si>
  <si>
    <t>2023-08-13T07:21:07+07:00</t>
  </si>
  <si>
    <t>2023-08-13T07:21:28+07:00</t>
  </si>
  <si>
    <t>2023-08-13T07:21:47+07:00</t>
  </si>
  <si>
    <t>2023-08-13T07:22:07+07:00</t>
  </si>
  <si>
    <t>2023-08-13T07:22:27+07:00</t>
  </si>
  <si>
    <t>2023-08-13T07:22:47+07:00</t>
  </si>
  <si>
    <t>2023-08-13T07:23:07+07:00</t>
  </si>
  <si>
    <t>2023-08-13T07:23:27+07:00</t>
  </si>
  <si>
    <t>2023-08-13T07:23:47+07:00</t>
  </si>
  <si>
    <t>2023-08-13T07:24:07+07:00</t>
  </si>
  <si>
    <t>2023-08-13T07:24:27+07:00</t>
  </si>
  <si>
    <t>2023-08-13T07:24:47+07:00</t>
  </si>
  <si>
    <t>2023-08-13T07:25:07+07:00</t>
  </si>
  <si>
    <t>2023-08-13T07:25:27+07:00</t>
  </si>
  <si>
    <t>2023-08-13T07:25:48+07:00</t>
  </si>
  <si>
    <t>2023-08-13T07:26:08+07:00</t>
  </si>
  <si>
    <t>2023-08-13T07:26:27+07:00</t>
  </si>
  <si>
    <t>2023-08-13T07:26:47+07:00</t>
  </si>
  <si>
    <t>2023-08-13T07:27:07+07:00</t>
  </si>
  <si>
    <t>2023-08-13T07:27:27+07:00</t>
  </si>
  <si>
    <t>2023-08-13T07:27:47+07:00</t>
  </si>
  <si>
    <t>2023-08-13T07:28:07+07:00</t>
  </si>
  <si>
    <t>2023-08-13T07:28:27+07:00</t>
  </si>
  <si>
    <t>2023-08-13T07:28:47+07:00</t>
  </si>
  <si>
    <t>2023-08-13T07:29:07+07:00</t>
  </si>
  <si>
    <t>2023-08-13T07:29:27+07:00</t>
  </si>
  <si>
    <t>2023-08-13T07:29:47+07:00</t>
  </si>
  <si>
    <t>2023-08-13T07:30:07+07:00</t>
  </si>
  <si>
    <t>2023-08-13T07:30:27+07:00</t>
  </si>
  <si>
    <t>2023-08-13T07:30:47+07:00</t>
  </si>
  <si>
    <t>2023-08-13T07:31:07+07:00</t>
  </si>
  <si>
    <t>2023-08-13T07:31:27+07:00</t>
  </si>
  <si>
    <t>2023-08-13T07:31:47+07:00</t>
  </si>
  <si>
    <t>2023-08-13T07:32:07+07:00</t>
  </si>
  <si>
    <t>2023-08-13T07:32:27+07:00</t>
  </si>
  <si>
    <t>2023-08-13T07:32:47+07:00</t>
  </si>
  <si>
    <t>2023-08-13T07:33:07+07:00</t>
  </si>
  <si>
    <t>2023-08-13T07:33:27+07:00</t>
  </si>
  <si>
    <t>2023-08-13T07:33:47+07:00</t>
  </si>
  <si>
    <t>2023-08-13T07:34:07+07:00</t>
  </si>
  <si>
    <t>2023-08-13T07:34:27+07:00</t>
  </si>
  <si>
    <t>2023-08-13T07:34:47+07:00</t>
  </si>
  <si>
    <t>2023-08-13T07:35:07+07:00</t>
  </si>
  <si>
    <t>2023-08-13T07:35:27+07:00</t>
  </si>
  <si>
    <t>2023-08-13T07:35:47+07:00</t>
  </si>
  <si>
    <t>2023-08-13T07:36:07+07:00</t>
  </si>
  <si>
    <t>2023-08-13T07:36:27+07:00</t>
  </si>
  <si>
    <t>2023-08-13T07:36:47+07:00</t>
  </si>
  <si>
    <t>2023-08-13T07:37:07+07:00</t>
  </si>
  <si>
    <t>2023-08-13T07:37:27+07:00</t>
  </si>
  <si>
    <t>2023-08-13T07:37:47+07:00</t>
  </si>
  <si>
    <t>2023-08-13T07:38:07+07:00</t>
  </si>
  <si>
    <t>2023-08-13T07:38:27+07:00</t>
  </si>
  <si>
    <t>2023-08-13T07:38:47+07:00</t>
  </si>
  <si>
    <t>2023-08-13T07:39:07+07:00</t>
  </si>
  <si>
    <t>2023-08-13T07:39:27+07:00</t>
  </si>
  <si>
    <t>2023-08-13T07:39:47+07:00</t>
  </si>
  <si>
    <t>2023-08-13T07:40:07+07:00</t>
  </si>
  <si>
    <t>2023-08-13T07:40:27+07:00</t>
  </si>
  <si>
    <t>2023-08-13T07:40:47+07:00</t>
  </si>
  <si>
    <t>2023-08-13T07:41:07+07:00</t>
  </si>
  <si>
    <t>2023-08-13T07:41:27+07:00</t>
  </si>
  <si>
    <t>2023-08-13T07:41:47+07:00</t>
  </si>
  <si>
    <t>2023-08-13T07:42:07+07:00</t>
  </si>
  <si>
    <t>2023-08-13T07:42:27+07:00</t>
  </si>
  <si>
    <t>2023-08-13T07:42:47+07:00</t>
  </si>
  <si>
    <t>2023-08-13T07:43:07+07:00</t>
  </si>
  <si>
    <t>2023-08-13T07:43:27+07:00</t>
  </si>
  <si>
    <t>2023-08-13T07:43:47+07:00</t>
  </si>
  <si>
    <t>2023-08-13T07:44:07+07:00</t>
  </si>
  <si>
    <t>2023-08-13T07:44:27+07:00</t>
  </si>
  <si>
    <t>2023-08-13T07:44:47+07:00</t>
  </si>
  <si>
    <t>2023-08-13T07:45:07+07:00</t>
  </si>
  <si>
    <t>2023-08-13T07:45:27+07:00</t>
  </si>
  <si>
    <t>2023-08-13T07:45:47+07:00</t>
  </si>
  <si>
    <t>2023-08-13T07:46:07+07:00</t>
  </si>
  <si>
    <t>2023-08-13T07:46:27+07:00</t>
  </si>
  <si>
    <t>2023-08-13T07:46:47+07:00</t>
  </si>
  <si>
    <t>2023-08-13T07:47:07+07:00</t>
  </si>
  <si>
    <t>2023-08-13T07:47:27+07:00</t>
  </si>
  <si>
    <t>2023-08-13T07:47:47+07:00</t>
  </si>
  <si>
    <t>2023-08-13T07:48:07+07:00</t>
  </si>
  <si>
    <t>2023-08-13T07:48:27+07:00</t>
  </si>
  <si>
    <t>2023-08-13T07:48:47+07:00</t>
  </si>
  <si>
    <t>2023-08-13T07:49:07+07:00</t>
  </si>
  <si>
    <t>2023-08-13T07:49:27+07:00</t>
  </si>
  <si>
    <t>2023-08-13T07:49:47+07:00</t>
  </si>
  <si>
    <t>2023-08-13T07:50:07+07:00</t>
  </si>
  <si>
    <t>2023-08-13T07:50:27+07:00</t>
  </si>
  <si>
    <t>2023-08-13T07:50:47+07:00</t>
  </si>
  <si>
    <t>2023-08-13T07:51:07+07:00</t>
  </si>
  <si>
    <t>2023-08-13T07:51:27+07:00</t>
  </si>
  <si>
    <t>2023-08-13T07:51:47+07:00</t>
  </si>
  <si>
    <t>2023-08-13T07:52:07+07:00</t>
  </si>
  <si>
    <t>2023-08-13T07:52:27+07:00</t>
  </si>
  <si>
    <t>2023-08-13T07:52:47+07:00</t>
  </si>
  <si>
    <t>2023-08-13T07:53:07+07:00</t>
  </si>
  <si>
    <t>2023-08-13T07:53:27+07:00</t>
  </si>
  <si>
    <t>2023-08-13T07:53:47+07:00</t>
  </si>
  <si>
    <t>2023-08-13T07:54:07+07:00</t>
  </si>
  <si>
    <t>2023-08-13T07:54:27+07:00</t>
  </si>
  <si>
    <t>2023-08-13T07:54:47+07:00</t>
  </si>
  <si>
    <t>2023-08-13T07:55:07+07:00</t>
  </si>
  <si>
    <t>2023-08-13T07:55:27+07:00</t>
  </si>
  <si>
    <t>2023-08-13T07:55:47+07:00</t>
  </si>
  <si>
    <t>2023-08-13T07:56:07+07:00</t>
  </si>
  <si>
    <t>2023-08-13T07:56:27+07:00</t>
  </si>
  <si>
    <t>2023-08-13T07:56:47+07:00</t>
  </si>
  <si>
    <t>2023-08-13T07:57:07+07:00</t>
  </si>
  <si>
    <t>2023-08-13T07:57:27+07:00</t>
  </si>
  <si>
    <t>2023-08-13T07:57:48+07:00</t>
  </si>
  <si>
    <t>2023-08-13T07:58:08+07:00</t>
  </si>
  <si>
    <t>2023-08-13T07:58:28+07:00</t>
  </si>
  <si>
    <t>2023-08-13T07:58:48+07:00</t>
  </si>
  <si>
    <t>2023-08-13T07:59:08+07:00</t>
  </si>
  <si>
    <t>2023-08-13T07:59:28+07:00</t>
  </si>
  <si>
    <t>2023-08-13T07:59:48+07:00</t>
  </si>
  <si>
    <t>2023-08-13T08:00:08+07:00</t>
  </si>
  <si>
    <t>2023-08-13T08:00:28+07:00</t>
  </si>
  <si>
    <t>2023-08-13T08:00:48+07:00</t>
  </si>
  <si>
    <t>2023-08-13T08:01:08+07:00</t>
  </si>
  <si>
    <t>2023-08-13T08:01:28+07:00</t>
  </si>
  <si>
    <t>2023-08-13T08:01:48+07:00</t>
  </si>
  <si>
    <t>2023-08-13T08:02:08+07:00</t>
  </si>
  <si>
    <t>2023-08-13T08:02:28+07:00</t>
  </si>
  <si>
    <t>2023-08-13T08:02:48+07:00</t>
  </si>
  <si>
    <t>2023-08-13T08:03:08+07:00</t>
  </si>
  <si>
    <t>2023-08-13T08:03:28+07:00</t>
  </si>
  <si>
    <t>2023-08-13T08:03:48+07:00</t>
  </si>
  <si>
    <t>2023-08-13T08:04:08+07:00</t>
  </si>
  <si>
    <t>2023-08-13T08:04:28+07:00</t>
  </si>
  <si>
    <t>2023-08-13T08:04:48+07:00</t>
  </si>
  <si>
    <t>2023-08-13T08:05:08+07:00</t>
  </si>
  <si>
    <t>2023-08-13T08:05:28+07:00</t>
  </si>
  <si>
    <t>2023-08-13T08:05:48+07:00</t>
  </si>
  <si>
    <t>2023-08-13T08:06:08+07:00</t>
  </si>
  <si>
    <t>2023-08-13T08:06:28+07:00</t>
  </si>
  <si>
    <t>2023-08-13T08:06:48+07:00</t>
  </si>
  <si>
    <t>2023-08-13T08:07:08+07:00</t>
  </si>
  <si>
    <t>2023-08-13T08:07:28+07:00</t>
  </si>
  <si>
    <t>2023-08-13T08:07:48+07:00</t>
  </si>
  <si>
    <t>2023-08-13T08:08:08+07:00</t>
  </si>
  <si>
    <t>2023-08-13T08:08:28+07:00</t>
  </si>
  <si>
    <t>2023-08-13T08:08:48+07:00</t>
  </si>
  <si>
    <t>2023-08-13T08:09:08+07:00</t>
  </si>
  <si>
    <t>2023-08-13T08:09:28+07:00</t>
  </si>
  <si>
    <t>2023-08-13T08:09:48+07:00</t>
  </si>
  <si>
    <t>2023-08-13T08:10:08+07:00</t>
  </si>
  <si>
    <t>2023-08-13T08:10:28+07:00</t>
  </si>
  <si>
    <t>2023-08-13T08:10:48+07:00</t>
  </si>
  <si>
    <t>2023-08-13T08:11:08+07:00</t>
  </si>
  <si>
    <t>2023-08-13T08:11:28+07:00</t>
  </si>
  <si>
    <t>2023-08-13T08:11:48+07:00</t>
  </si>
  <si>
    <t>2023-08-13T08:12:08+07:00</t>
  </si>
  <si>
    <t>2023-08-13T08:12:28+07:00</t>
  </si>
  <si>
    <t>2023-08-13T08:12:48+07:00</t>
  </si>
  <si>
    <t>2023-08-13T08:13:08+07:00</t>
  </si>
  <si>
    <t>2023-08-13T08:13:28+07:00</t>
  </si>
  <si>
    <t>2023-08-13T08:13:48+07:00</t>
  </si>
  <si>
    <t>2023-08-13T08:14:08+07:00</t>
  </si>
  <si>
    <t>2023-08-13T08:14:28+07:00</t>
  </si>
  <si>
    <t>2023-08-13T08:14:48+07:00</t>
  </si>
  <si>
    <t>2023-08-13T08:15:08+07:00</t>
  </si>
  <si>
    <t>2023-08-13T08:15:28+07:00</t>
  </si>
  <si>
    <t>2023-08-13T08:15:48+07:00</t>
  </si>
  <si>
    <t>2023-08-13T08:16:08+07:00</t>
  </si>
  <si>
    <t>2023-08-13T08:16:28+07:00</t>
  </si>
  <si>
    <t>2023-08-13T08:16:48+07:00</t>
  </si>
  <si>
    <t>2023-08-13T08:17:08+07:00</t>
  </si>
  <si>
    <t>2023-08-13T08:17:28+07:00</t>
  </si>
  <si>
    <t>2023-08-13T08:17:48+07:00</t>
  </si>
  <si>
    <t>2023-08-13T08:18:08+07:00</t>
  </si>
  <si>
    <t>2023-08-13T08:18:28+07:00</t>
  </si>
  <si>
    <t>2023-08-13T08:18:48+07:00</t>
  </si>
  <si>
    <t>2023-08-13T08:19:08+07:00</t>
  </si>
  <si>
    <t>2023-08-13T08:19:28+07:00</t>
  </si>
  <si>
    <t>2023-08-13T08:19:48+07:00</t>
  </si>
  <si>
    <t>2023-08-13T08:20:08+07:00</t>
  </si>
  <si>
    <t>2023-08-13T08:20:28+07:00</t>
  </si>
  <si>
    <t>2023-08-13T08:20:48+07:00</t>
  </si>
  <si>
    <t>2023-08-13T08:21:08+07:00</t>
  </si>
  <si>
    <t>2023-08-13T08:21:28+07:00</t>
  </si>
  <si>
    <t>2023-08-13T08:21:48+07:00</t>
  </si>
  <si>
    <t>2023-08-13T08:22:08+07:00</t>
  </si>
  <si>
    <t>2023-08-13T08:22:28+07:00</t>
  </si>
  <si>
    <t>2023-08-13T08:22:48+07:00</t>
  </si>
  <si>
    <t>2023-08-13T08:23:08+07:00</t>
  </si>
  <si>
    <t>2023-08-13T08:23:28+07:00</t>
  </si>
  <si>
    <t>2023-08-13T08:23:48+07:00</t>
  </si>
  <si>
    <t>2023-08-13T08:24:08+07:00</t>
  </si>
  <si>
    <t>2023-08-13T08:24:28+07:00</t>
  </si>
  <si>
    <t>2023-08-13T08:24:48+07:00</t>
  </si>
  <si>
    <t>2023-08-13T08:25:08+07:00</t>
  </si>
  <si>
    <t>2023-08-13T08:25:28+07:00</t>
  </si>
  <si>
    <t>2023-08-13T08:25:48+07:00</t>
  </si>
  <si>
    <t>2023-08-13T08:26:08+07:00</t>
  </si>
  <si>
    <t>2023-08-13T08:26:28+07:00</t>
  </si>
  <si>
    <t>2023-08-13T08:26:48+07:00</t>
  </si>
  <si>
    <t>2023-08-13T08:27:08+07:00</t>
  </si>
  <si>
    <t>2023-08-13T08:27:28+07:00</t>
  </si>
  <si>
    <t>2023-08-13T08:27:48+07:00</t>
  </si>
  <si>
    <t>2023-08-13T08:28:08+07:00</t>
  </si>
  <si>
    <t>2023-08-13T08:28:28+07:00</t>
  </si>
  <si>
    <t>2023-08-13T08:28:48+07:00</t>
  </si>
  <si>
    <t>2023-08-13T08:29:08+07:00</t>
  </si>
  <si>
    <t>2023-08-13T08:29:28+07:00</t>
  </si>
  <si>
    <t>2023-08-13T08:29:48+07:00</t>
  </si>
  <si>
    <t>2023-08-13T08:30:08+07:00</t>
  </si>
  <si>
    <t>2023-08-13T08:30:28+07:00</t>
  </si>
  <si>
    <t>2023-08-13T08:30:48+07:00</t>
  </si>
  <si>
    <t>2023-08-13T08:31:08+07:00</t>
  </si>
  <si>
    <t>2023-08-13T08:31:28+07:00</t>
  </si>
  <si>
    <t>2023-08-13T08:31:48+07:00</t>
  </si>
  <si>
    <t>2023-08-13T08:32:08+07:00</t>
  </si>
  <si>
    <t>2023-08-13T08:32:28+07:00</t>
  </si>
  <si>
    <t>2023-08-13T08:32:48+07:00</t>
  </si>
  <si>
    <t>2023-08-13T08:33:08+07:00</t>
  </si>
  <si>
    <t>2023-08-13T08:33:28+07:00</t>
  </si>
  <si>
    <t>2023-08-13T08:33:48+07:00</t>
  </si>
  <si>
    <t>2023-08-13T08:34:08+07:00</t>
  </si>
  <si>
    <t>2023-08-13T08:34:28+07:00</t>
  </si>
  <si>
    <t>2023-08-13T08:34:48+07:00</t>
  </si>
  <si>
    <t>2023-08-13T08:35:08+07:00</t>
  </si>
  <si>
    <t>2023-08-13T08:35:29+07:00</t>
  </si>
  <si>
    <t>2023-08-13T08:35:48+07:00</t>
  </si>
  <si>
    <t>2023-08-13T08:36:08+07:00</t>
  </si>
  <si>
    <t>2023-08-13T08:36:28+07:00</t>
  </si>
  <si>
    <t>2023-08-13T08:36:48+07:00</t>
  </si>
  <si>
    <t>2023-08-13T08:37:08+07:00</t>
  </si>
  <si>
    <t>2023-08-13T08:37:28+07:00</t>
  </si>
  <si>
    <t>2023-08-13T08:37:48+07:00</t>
  </si>
  <si>
    <t>2023-08-13T08:38:08+07:00</t>
  </si>
  <si>
    <t>2023-08-13T08:38:28+07:00</t>
  </si>
  <si>
    <t>2023-08-13T08:38:48+07:00</t>
  </si>
  <si>
    <t>2023-08-13T08:39:08+07:00</t>
  </si>
  <si>
    <t>2023-08-13T08:39:28+07:00</t>
  </si>
  <si>
    <t>2023-08-13T08:39:48+07:00</t>
  </si>
  <si>
    <t>2023-08-13T08:40:08+07:00</t>
  </si>
  <si>
    <t>2023-08-13T08:40:28+07:00</t>
  </si>
  <si>
    <t>2023-08-13T08:40:48+07:00</t>
  </si>
  <si>
    <t>2023-08-13T08:41:08+07:00</t>
  </si>
  <si>
    <t>2023-08-13T08:41:28+07:00</t>
  </si>
  <si>
    <t>2023-08-13T08:41:48+07:00</t>
  </si>
  <si>
    <t>2023-08-13T08:42:08+07:00</t>
  </si>
  <si>
    <t>2023-08-13T08:42:28+07:00</t>
  </si>
  <si>
    <t>2023-08-13T08:42:48+07:00</t>
  </si>
  <si>
    <t>2023-08-13T08:43:09+07:00</t>
  </si>
  <si>
    <t>2023-08-13T08:43:28+07:00</t>
  </si>
  <si>
    <t>2023-08-13T08:43:48+07:00</t>
  </si>
  <si>
    <t>2023-08-13T08:44:08+07:00</t>
  </si>
  <si>
    <t>2023-08-13T08:44:28+07:00</t>
  </si>
  <si>
    <t>2023-08-13T08:44:48+07:00</t>
  </si>
  <si>
    <t>2023-08-13T08:45:08+07:00</t>
  </si>
  <si>
    <t>2023-08-13T08:45:29+07:00</t>
  </si>
  <si>
    <t>2023-08-13T08:45:48+07:00</t>
  </si>
  <si>
    <t>2023-08-13T08:46:09+07:00</t>
  </si>
  <si>
    <t>2023-08-13T08:46:28+07:00</t>
  </si>
  <si>
    <t>2023-08-13T08:46:49+07:00</t>
  </si>
  <si>
    <t>2023-08-13T08:47:08+07:00</t>
  </si>
  <si>
    <t>2023-08-13T08:47:28+07:00</t>
  </si>
  <si>
    <t>2023-08-13T08:47:48+07:00</t>
  </si>
  <si>
    <t>2023-08-13T08:48:08+07:00</t>
  </si>
  <si>
    <t>2023-08-13T08:48:28+07:00</t>
  </si>
  <si>
    <t>2023-08-13T08:48:48+07:00</t>
  </si>
  <si>
    <t>2023-08-13T08:49:08+07:00</t>
  </si>
  <si>
    <t>2023-08-13T08:49:28+07:00</t>
  </si>
  <si>
    <t>2023-08-13T08:49:48+07:00</t>
  </si>
  <si>
    <t>2023-08-13T08:50:08+07:00</t>
  </si>
  <si>
    <t>2023-08-13T08:50:28+07:00</t>
  </si>
  <si>
    <t>2023-08-13T08:50:48+07:00</t>
  </si>
  <si>
    <t>2023-08-13T08:51:08+07:00</t>
  </si>
  <si>
    <t>2023-08-13T08:51:28+07:00</t>
  </si>
  <si>
    <t>2023-08-13T08:51:49+07:00</t>
  </si>
  <si>
    <t>2023-08-13T08:52:08+07:00</t>
  </si>
  <si>
    <t>2023-08-13T08:52:28+07:00</t>
  </si>
  <si>
    <t>2023-08-13T08:52:48+07:00</t>
  </si>
  <si>
    <t>2023-08-13T08:53:08+07:00</t>
  </si>
  <si>
    <t>2023-08-13T08:53:28+07:00</t>
  </si>
  <si>
    <t>2023-08-13T08:53:48+07:00</t>
  </si>
  <si>
    <t>2023-08-13T08:54:08+07:00</t>
  </si>
  <si>
    <t>2023-08-13T08:54:28+07:00</t>
  </si>
  <si>
    <t>2023-08-13T08:54:48+07:00</t>
  </si>
  <si>
    <t>2023-08-13T08:55:08+07:00</t>
  </si>
  <si>
    <t>2023-08-13T08:55:28+07:00</t>
  </si>
  <si>
    <t>2023-08-13T08:55:48+07:00</t>
  </si>
  <si>
    <t>2023-08-13T08:56:08+07:00</t>
  </si>
  <si>
    <t>2023-08-13T08:56:28+07:00</t>
  </si>
  <si>
    <t>2023-08-13T08:56:48+07:00</t>
  </si>
  <si>
    <t>2023-08-13T08:57:08+07:00</t>
  </si>
  <si>
    <t>2023-08-13T08:57:28+07:00</t>
  </si>
  <si>
    <t>2023-08-13T08:57:48+07:00</t>
  </si>
  <si>
    <t>2023-08-13T08:58:08+07:00</t>
  </si>
  <si>
    <t>2023-08-13T08:58:28+07:00</t>
  </si>
  <si>
    <t>2023-08-13T08:58:49+07:00</t>
  </si>
  <si>
    <t>2023-08-13T08:59:08+07:00</t>
  </si>
  <si>
    <t>2023-08-13T08:59:28+07:00</t>
  </si>
  <si>
    <t>2023-08-13T08:59:48+07:00</t>
  </si>
  <si>
    <t>2023-08-13T09:00:08+07:00</t>
  </si>
  <si>
    <t>2023-08-13T09:00:28+07:00</t>
  </si>
  <si>
    <t>2023-08-13T09:00:48+07:00</t>
  </si>
  <si>
    <t>2023-08-13T09:01:09+07:00</t>
  </si>
  <si>
    <t>2023-08-13T09:01:28+07:00</t>
  </si>
  <si>
    <t>2023-08-13T09:01:48+07:00</t>
  </si>
  <si>
    <t>2023-08-13T09:02:08+07:00</t>
  </si>
  <si>
    <t>2023-08-13T09:02:28+07:00</t>
  </si>
  <si>
    <t>2023-08-13T09:02:49+07:00</t>
  </si>
  <si>
    <t>2023-08-13T09:03:08+07:00</t>
  </si>
  <si>
    <t>2023-08-13T09:03:28+07:00</t>
  </si>
  <si>
    <t>2023-08-13T09:03:49+07:00</t>
  </si>
  <si>
    <t>2023-08-13T09:04:08+07:00</t>
  </si>
  <si>
    <t>2023-08-13T09:04:28+07:00</t>
  </si>
  <si>
    <t>2023-08-13T09:04:48+07:00</t>
  </si>
  <si>
    <t>2023-08-13T09:05:08+07:00</t>
  </si>
  <si>
    <t>2023-08-13T09:05:28+07:00</t>
  </si>
  <si>
    <t>2023-08-13T09:05:48+07:00</t>
  </si>
  <si>
    <t>2023-08-13T09:06:08+07:00</t>
  </si>
  <si>
    <t>2023-08-13T09:06:28+07:00</t>
  </si>
  <si>
    <t>2023-08-13T09:06:48+07:00</t>
  </si>
  <si>
    <t>2023-08-13T09:07:09+07:00</t>
  </si>
  <si>
    <t>2023-08-13T09:07:28+07:00</t>
  </si>
  <si>
    <t>NO</t>
  </si>
  <si>
    <t>Suhu</t>
  </si>
  <si>
    <t>Humidity, Kelembapan uap air dalam Udara</t>
  </si>
  <si>
    <t>Kelembapan Tanah</t>
  </si>
  <si>
    <t>Sensor Cahaya</t>
  </si>
  <si>
    <t>Max Kelembapan</t>
  </si>
  <si>
    <t>Kondisi Tanah</t>
  </si>
  <si>
    <t>Fuzzy Suhu</t>
  </si>
  <si>
    <t>Fuzzy Kelembapan</t>
  </si>
  <si>
    <t>Nilai Persentase Kelembapan</t>
  </si>
  <si>
    <t>Besaran nilai suhu</t>
  </si>
  <si>
    <t>Kondisi Suhu</t>
  </si>
  <si>
    <t>Besaran nilai persentase kelembapan</t>
  </si>
  <si>
    <t>normal basah</t>
  </si>
  <si>
    <t>normal lembab</t>
  </si>
  <si>
    <t>normal kering</t>
  </si>
  <si>
    <t>Keterangan kondisi</t>
  </si>
  <si>
    <t>Jumlah nilai suhu</t>
  </si>
  <si>
    <t>Jumlah nilai kelembapan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</si>
</sst>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3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97"/>
  <sheetViews>
    <sheetView tabSelected="1" topLeftCell="C1" workbookViewId="0">
      <selection activeCell="U9" sqref="U9"/>
    </sheetView>
  </sheetViews>
  <sheetFormatPr defaultRowHeight="14.5" x14ac:dyDescent="0.35"/>
  <cols>
    <col min="1" max="1" width="24.54296875" bestFit="1" customWidth="1"/>
    <col min="2" max="2" width="0" hidden="1" customWidth="1"/>
    <col min="4" max="4" width="40.26953125" hidden="1" customWidth="1"/>
    <col min="5" max="5" width="18.1796875" hidden="1" customWidth="1"/>
    <col min="6" max="6" width="13.81640625" hidden="1" customWidth="1"/>
    <col min="7" max="10" width="0" hidden="1" customWidth="1"/>
    <col min="11" max="11" width="15" style="1" hidden="1" customWidth="1"/>
    <col min="12" max="12" width="15" style="1" customWidth="1"/>
    <col min="13" max="13" width="25.1796875" style="1" bestFit="1" customWidth="1"/>
    <col min="14" max="14" width="12.453125" style="1" bestFit="1" customWidth="1"/>
    <col min="15" max="15" width="15.81640625" bestFit="1" customWidth="1"/>
    <col min="16" max="16" width="16.26953125" bestFit="1" customWidth="1"/>
    <col min="17" max="17" width="16.08984375" bestFit="1" customWidth="1"/>
    <col min="18" max="18" width="14.08984375" customWidth="1"/>
    <col min="19" max="19" width="13.6328125" bestFit="1" customWidth="1"/>
    <col min="21" max="21" width="11.6328125" customWidth="1"/>
  </cols>
  <sheetData>
    <row r="1" spans="1:22" ht="51" customHeight="1" x14ac:dyDescent="0.35">
      <c r="A1" t="s">
        <v>0</v>
      </c>
      <c r="B1" t="s">
        <v>2538</v>
      </c>
      <c r="C1" t="s">
        <v>2539</v>
      </c>
      <c r="D1" t="s">
        <v>2540</v>
      </c>
      <c r="E1" t="s">
        <v>2541</v>
      </c>
      <c r="F1" t="s">
        <v>2542</v>
      </c>
      <c r="G1" t="s">
        <v>1</v>
      </c>
      <c r="H1" t="s">
        <v>2</v>
      </c>
      <c r="I1" t="s">
        <v>3</v>
      </c>
      <c r="J1" t="s">
        <v>4</v>
      </c>
      <c r="K1" s="1" t="s">
        <v>2543</v>
      </c>
      <c r="L1" s="1" t="s">
        <v>2549</v>
      </c>
      <c r="M1" s="1" t="s">
        <v>2547</v>
      </c>
      <c r="N1" s="1" t="s">
        <v>2544</v>
      </c>
      <c r="O1" s="1" t="s">
        <v>2545</v>
      </c>
      <c r="P1" s="1" t="s">
        <v>2546</v>
      </c>
      <c r="Q1" s="1" t="s">
        <v>2548</v>
      </c>
      <c r="R1" s="4" t="s">
        <v>2550</v>
      </c>
      <c r="S1" s="4" t="s">
        <v>2554</v>
      </c>
      <c r="T1" s="4" t="s">
        <v>2555</v>
      </c>
      <c r="U1" s="4" t="s">
        <v>2556</v>
      </c>
      <c r="V1" s="5"/>
    </row>
    <row r="2" spans="1:22" x14ac:dyDescent="0.35">
      <c r="A2" t="s">
        <v>5</v>
      </c>
      <c r="B2">
        <v>118</v>
      </c>
      <c r="C2" s="3">
        <v>27</v>
      </c>
      <c r="D2">
        <v>79</v>
      </c>
      <c r="E2">
        <v>1023</v>
      </c>
      <c r="F2">
        <v>44</v>
      </c>
      <c r="K2" s="1">
        <f t="shared" ref="K2" si="0">IF(E2&lt;=1023, E2, "")</f>
        <v>1023</v>
      </c>
      <c r="L2" s="1" t="str">
        <f>IF(A1 &lt;= 10, "Dingin", IF(OR(A1 &gt;= 10, A1 &lt; 35), "Normal", "Panas"))</f>
        <v>Normal</v>
      </c>
      <c r="M2" s="2">
        <f>IF(K2&lt;=300, K2/1023*100, IF(K2&lt;=700, (K2-300)/(700-301+1)*100, (K2-700)/(1023-701+1)*100))</f>
        <v>100</v>
      </c>
      <c r="N2" s="1" t="str">
        <f>IF(M2&lt;=29.32, "Kering", IF(M2&lt;=68.53, "Lembab", "Basah"))</f>
        <v>Basah</v>
      </c>
      <c r="O2" t="str">
        <f>IF(OR(AND(C2 &gt; 10, C2 &lt; 22.5), AND(C2 &gt;= 22.5, C2 &lt; 35)), "Fuzzy", "")</f>
        <v>Fuzzy</v>
      </c>
      <c r="P2" t="str">
        <f>IF(OR(AND(M2 &gt;= 0, M2 &lt; 50), AND(M2 &gt;= 50, M2 &lt; 100)), "Fuzzy", "")</f>
        <v/>
      </c>
    </row>
    <row r="3" spans="1:22" x14ac:dyDescent="0.35">
      <c r="A3" t="s">
        <v>6</v>
      </c>
      <c r="B3">
        <v>275</v>
      </c>
      <c r="C3" s="3">
        <v>25</v>
      </c>
      <c r="D3">
        <v>78</v>
      </c>
      <c r="E3">
        <v>1013</v>
      </c>
      <c r="F3">
        <v>240</v>
      </c>
      <c r="K3" s="1">
        <f t="shared" ref="K3:K10" si="1">IF(E3&lt;=1023, E3, "")</f>
        <v>1013</v>
      </c>
      <c r="L3" s="1" t="str">
        <f t="shared" ref="L3:L66" si="2">IF(A2 &lt;= 10, "Dingin", IF(OR(A2 &gt;= 10, A2 &lt; 35), "Normal", "Panas"))</f>
        <v>Normal</v>
      </c>
      <c r="M3" s="2">
        <f t="shared" ref="M3:M66" si="3">IF(K3&lt;=300, K3/1023*100, IF(K3&lt;=700, (K3-300)/(700-301+1)*100, (K3-700)/(1023-701+1)*100))</f>
        <v>96.904024767801857</v>
      </c>
      <c r="N3" s="1" t="str">
        <f t="shared" ref="N3:N66" si="4">IF(M3&lt;=29.32, "Kering", IF(M3&lt;=68.53, "Lembab", "Basah"))</f>
        <v>Basah</v>
      </c>
      <c r="O3" t="str">
        <f t="shared" ref="O3:O66" si="5">IF(OR(AND(C3 &gt; 10, C3 &lt; 22.5), AND(C3 &gt;= 22.5, C3 &lt; 35)), "Fuzzy", "")</f>
        <v>Fuzzy</v>
      </c>
      <c r="P3" t="str">
        <f t="shared" ref="P3:P66" si="6">IF(OR(AND(M3 &gt;= 0, M3 &lt; 50), AND(M3 &gt;= 50, M3 &lt; 100)), "Fuzzy", "")</f>
        <v>Fuzzy</v>
      </c>
      <c r="Q3">
        <v>24</v>
      </c>
      <c r="R3">
        <v>97</v>
      </c>
      <c r="T3">
        <f>COUNTIF(C2:C2534, 24)</f>
        <v>1</v>
      </c>
      <c r="U3">
        <f>COUNTIF(M2:M2534, 97)</f>
        <v>12</v>
      </c>
    </row>
    <row r="4" spans="1:22" x14ac:dyDescent="0.35">
      <c r="A4" t="s">
        <v>7</v>
      </c>
      <c r="B4">
        <v>276</v>
      </c>
      <c r="C4">
        <v>25</v>
      </c>
      <c r="D4">
        <v>77</v>
      </c>
      <c r="E4">
        <v>1007</v>
      </c>
      <c r="F4">
        <v>240</v>
      </c>
      <c r="K4" s="1">
        <f t="shared" si="1"/>
        <v>1007</v>
      </c>
      <c r="L4" s="1" t="str">
        <f t="shared" si="2"/>
        <v>Normal</v>
      </c>
      <c r="M4" s="2">
        <f t="shared" si="3"/>
        <v>95.046439628482972</v>
      </c>
      <c r="N4" s="1" t="str">
        <f t="shared" si="4"/>
        <v>Basah</v>
      </c>
      <c r="O4" t="str">
        <f t="shared" si="5"/>
        <v>Fuzzy</v>
      </c>
      <c r="P4" t="str">
        <f t="shared" si="6"/>
        <v>Fuzzy</v>
      </c>
      <c r="Q4">
        <v>25</v>
      </c>
      <c r="R4">
        <v>89</v>
      </c>
      <c r="S4" t="s">
        <v>2551</v>
      </c>
      <c r="T4">
        <f>COUNTIF(C2:C2534, 25)</f>
        <v>149</v>
      </c>
      <c r="U4">
        <f>COUNTIF(M2:M2534, 89)</f>
        <v>2</v>
      </c>
    </row>
    <row r="5" spans="1:22" x14ac:dyDescent="0.35">
      <c r="A5" t="s">
        <v>8</v>
      </c>
      <c r="B5">
        <v>278</v>
      </c>
      <c r="C5">
        <v>25</v>
      </c>
      <c r="D5">
        <v>78</v>
      </c>
      <c r="E5">
        <v>998</v>
      </c>
      <c r="F5">
        <v>237</v>
      </c>
      <c r="K5" s="1">
        <f t="shared" si="1"/>
        <v>998</v>
      </c>
      <c r="L5" s="1" t="str">
        <f t="shared" si="2"/>
        <v>Normal</v>
      </c>
      <c r="M5" s="2">
        <f t="shared" si="3"/>
        <v>92.260061919504636</v>
      </c>
      <c r="N5" s="1" t="str">
        <f t="shared" si="4"/>
        <v>Basah</v>
      </c>
      <c r="O5" t="str">
        <f t="shared" si="5"/>
        <v>Fuzzy</v>
      </c>
      <c r="P5" t="str">
        <f t="shared" si="6"/>
        <v>Fuzzy</v>
      </c>
      <c r="Q5">
        <v>26</v>
      </c>
      <c r="R5">
        <v>74</v>
      </c>
      <c r="T5">
        <f>COUNTIF(C2:C2534, 26)</f>
        <v>280</v>
      </c>
      <c r="U5">
        <f>COUNTIF(M2:M2534, 74)</f>
        <v>11</v>
      </c>
    </row>
    <row r="6" spans="1:22" x14ac:dyDescent="0.35">
      <c r="A6" t="s">
        <v>9</v>
      </c>
      <c r="B6">
        <v>279</v>
      </c>
      <c r="C6">
        <v>25</v>
      </c>
      <c r="D6">
        <v>79</v>
      </c>
      <c r="E6">
        <v>987</v>
      </c>
      <c r="F6">
        <v>237</v>
      </c>
      <c r="K6" s="1">
        <f t="shared" si="1"/>
        <v>987</v>
      </c>
      <c r="L6" s="1" t="str">
        <f t="shared" si="2"/>
        <v>Normal</v>
      </c>
      <c r="M6" s="2">
        <f t="shared" si="3"/>
        <v>88.854489164086687</v>
      </c>
      <c r="N6" s="1" t="str">
        <f t="shared" si="4"/>
        <v>Basah</v>
      </c>
      <c r="O6" t="str">
        <f t="shared" si="5"/>
        <v>Fuzzy</v>
      </c>
      <c r="P6" t="str">
        <f t="shared" si="6"/>
        <v>Fuzzy</v>
      </c>
      <c r="Q6">
        <v>27</v>
      </c>
      <c r="R6">
        <v>64</v>
      </c>
      <c r="S6" t="s">
        <v>2552</v>
      </c>
      <c r="T6">
        <f>COUNTIF(C2:C2534, 27)</f>
        <v>657</v>
      </c>
      <c r="U6">
        <f>COUNTIF(M2:M2534, 64)</f>
        <v>3</v>
      </c>
    </row>
    <row r="7" spans="1:22" x14ac:dyDescent="0.35">
      <c r="A7" t="s">
        <v>10</v>
      </c>
      <c r="B7">
        <v>280</v>
      </c>
      <c r="C7">
        <v>25</v>
      </c>
      <c r="D7">
        <v>78</v>
      </c>
      <c r="E7">
        <v>1013</v>
      </c>
      <c r="F7">
        <v>238</v>
      </c>
      <c r="K7" s="1">
        <f t="shared" si="1"/>
        <v>1013</v>
      </c>
      <c r="L7" s="1" t="str">
        <f t="shared" si="2"/>
        <v>Normal</v>
      </c>
      <c r="M7" s="2">
        <f t="shared" si="3"/>
        <v>96.904024767801857</v>
      </c>
      <c r="N7" s="1" t="str">
        <f t="shared" si="4"/>
        <v>Basah</v>
      </c>
      <c r="O7" t="str">
        <f t="shared" si="5"/>
        <v>Fuzzy</v>
      </c>
      <c r="P7" t="str">
        <f t="shared" si="6"/>
        <v>Fuzzy</v>
      </c>
      <c r="Q7">
        <v>28</v>
      </c>
      <c r="R7">
        <v>40</v>
      </c>
      <c r="T7">
        <f>COUNTIF(C2:C2534, 28)</f>
        <v>1426</v>
      </c>
      <c r="U7">
        <f>COUNTIF(M2:M2534, 40)</f>
        <v>11</v>
      </c>
    </row>
    <row r="8" spans="1:22" x14ac:dyDescent="0.35">
      <c r="A8" t="s">
        <v>11</v>
      </c>
      <c r="B8">
        <v>283</v>
      </c>
      <c r="C8">
        <v>25</v>
      </c>
      <c r="D8">
        <v>75</v>
      </c>
      <c r="E8">
        <v>974</v>
      </c>
      <c r="F8">
        <v>240</v>
      </c>
      <c r="K8" s="1">
        <f t="shared" si="1"/>
        <v>974</v>
      </c>
      <c r="L8" s="1" t="str">
        <f t="shared" si="2"/>
        <v>Normal</v>
      </c>
      <c r="M8" s="2">
        <f t="shared" si="3"/>
        <v>84.829721362229108</v>
      </c>
      <c r="N8" s="1" t="str">
        <f t="shared" si="4"/>
        <v>Basah</v>
      </c>
      <c r="O8" t="str">
        <f t="shared" si="5"/>
        <v>Fuzzy</v>
      </c>
      <c r="P8" t="str">
        <f t="shared" si="6"/>
        <v>Fuzzy</v>
      </c>
      <c r="Q8">
        <v>29</v>
      </c>
      <c r="R8">
        <v>66</v>
      </c>
      <c r="T8">
        <f>COUNTIF(C2:C2534, 29)</f>
        <v>20</v>
      </c>
      <c r="U8">
        <f>COUNTIF(M2:M2534, 66)</f>
        <v>2</v>
      </c>
    </row>
    <row r="9" spans="1:22" x14ac:dyDescent="0.35">
      <c r="A9" t="s">
        <v>12</v>
      </c>
      <c r="B9">
        <v>284</v>
      </c>
      <c r="C9">
        <v>25</v>
      </c>
      <c r="D9">
        <v>76</v>
      </c>
      <c r="E9">
        <v>1005</v>
      </c>
      <c r="F9">
        <v>239</v>
      </c>
      <c r="K9" s="1">
        <f t="shared" si="1"/>
        <v>1005</v>
      </c>
      <c r="L9" s="1" t="str">
        <f t="shared" si="2"/>
        <v>Normal</v>
      </c>
      <c r="M9" s="2">
        <f t="shared" si="3"/>
        <v>94.427244582043343</v>
      </c>
      <c r="N9" s="1" t="str">
        <f t="shared" si="4"/>
        <v>Basah</v>
      </c>
      <c r="O9" t="str">
        <f t="shared" si="5"/>
        <v>Fuzzy</v>
      </c>
      <c r="P9" t="str">
        <f t="shared" si="6"/>
        <v>Fuzzy</v>
      </c>
      <c r="Q9">
        <v>25</v>
      </c>
      <c r="R9">
        <v>16</v>
      </c>
      <c r="S9" t="s">
        <v>2553</v>
      </c>
      <c r="U9">
        <f>COUNTIF(M2:M2534, 16)</f>
        <v>3</v>
      </c>
    </row>
    <row r="10" spans="1:22" x14ac:dyDescent="0.35">
      <c r="A10" t="s">
        <v>13</v>
      </c>
      <c r="B10">
        <v>286</v>
      </c>
      <c r="C10">
        <v>25</v>
      </c>
      <c r="D10">
        <v>75</v>
      </c>
      <c r="E10">
        <v>1020</v>
      </c>
      <c r="F10">
        <v>234</v>
      </c>
      <c r="K10" s="1">
        <f t="shared" si="1"/>
        <v>1020</v>
      </c>
      <c r="L10" s="1" t="str">
        <f t="shared" si="2"/>
        <v>Normal</v>
      </c>
      <c r="M10" s="2">
        <f t="shared" si="3"/>
        <v>99.071207430340564</v>
      </c>
      <c r="N10" s="1" t="str">
        <f t="shared" si="4"/>
        <v>Basah</v>
      </c>
      <c r="O10" t="str">
        <f t="shared" si="5"/>
        <v>Fuzzy</v>
      </c>
      <c r="P10" t="str">
        <f t="shared" si="6"/>
        <v>Fuzzy</v>
      </c>
    </row>
    <row r="11" spans="1:22" x14ac:dyDescent="0.35">
      <c r="A11" t="s">
        <v>14</v>
      </c>
      <c r="B11">
        <v>3541</v>
      </c>
      <c r="C11" s="3">
        <v>24</v>
      </c>
      <c r="D11">
        <v>84</v>
      </c>
      <c r="E11">
        <v>979</v>
      </c>
      <c r="F11">
        <v>244</v>
      </c>
      <c r="K11" s="1">
        <f t="shared" ref="K11" si="7">IF(E11&lt;=1023, E11, "")</f>
        <v>979</v>
      </c>
      <c r="L11" s="1" t="str">
        <f t="shared" si="2"/>
        <v>Normal</v>
      </c>
      <c r="M11" s="2">
        <f t="shared" si="3"/>
        <v>86.377708978328172</v>
      </c>
      <c r="N11" s="1" t="str">
        <f t="shared" si="4"/>
        <v>Basah</v>
      </c>
      <c r="O11" t="str">
        <f t="shared" si="5"/>
        <v>Fuzzy</v>
      </c>
      <c r="P11" t="str">
        <f t="shared" si="6"/>
        <v>Fuzzy</v>
      </c>
    </row>
    <row r="12" spans="1:22" x14ac:dyDescent="0.35">
      <c r="A12" t="s">
        <v>15</v>
      </c>
      <c r="B12">
        <v>3999</v>
      </c>
      <c r="C12">
        <v>27</v>
      </c>
      <c r="D12">
        <v>79</v>
      </c>
      <c r="E12">
        <v>906</v>
      </c>
      <c r="F12">
        <v>76</v>
      </c>
      <c r="K12" s="1">
        <f t="shared" ref="K12" si="8">IF(E12&lt;=1023, E12, "")</f>
        <v>906</v>
      </c>
      <c r="L12" s="1" t="str">
        <f t="shared" si="2"/>
        <v>Normal</v>
      </c>
      <c r="M12" s="2">
        <f t="shared" si="3"/>
        <v>63.777089783281738</v>
      </c>
      <c r="N12" s="1" t="str">
        <f t="shared" si="4"/>
        <v>Lembab</v>
      </c>
      <c r="O12" t="str">
        <f t="shared" si="5"/>
        <v>Fuzzy</v>
      </c>
      <c r="P12" t="str">
        <f t="shared" si="6"/>
        <v>Fuzzy</v>
      </c>
    </row>
    <row r="13" spans="1:22" x14ac:dyDescent="0.35">
      <c r="A13" t="s">
        <v>16</v>
      </c>
      <c r="B13">
        <v>4116</v>
      </c>
      <c r="C13">
        <v>27</v>
      </c>
      <c r="D13">
        <v>89</v>
      </c>
      <c r="E13">
        <v>1019</v>
      </c>
      <c r="F13">
        <v>250</v>
      </c>
      <c r="K13" s="1">
        <f t="shared" ref="K13:K23" si="9">IF(E13&lt;=1023, E13, "")</f>
        <v>1019</v>
      </c>
      <c r="L13" s="1" t="str">
        <f t="shared" si="2"/>
        <v>Normal</v>
      </c>
      <c r="M13" s="2">
        <f t="shared" si="3"/>
        <v>98.761609907120743</v>
      </c>
      <c r="N13" s="1" t="str">
        <f t="shared" si="4"/>
        <v>Basah</v>
      </c>
      <c r="O13" t="str">
        <f t="shared" si="5"/>
        <v>Fuzzy</v>
      </c>
      <c r="P13" t="str">
        <f t="shared" si="6"/>
        <v>Fuzzy</v>
      </c>
    </row>
    <row r="14" spans="1:22" x14ac:dyDescent="0.35">
      <c r="A14" t="s">
        <v>17</v>
      </c>
      <c r="B14">
        <v>4133</v>
      </c>
      <c r="C14">
        <v>25</v>
      </c>
      <c r="D14">
        <v>79</v>
      </c>
      <c r="E14">
        <v>0</v>
      </c>
      <c r="F14">
        <v>619</v>
      </c>
      <c r="K14" s="1">
        <f t="shared" si="9"/>
        <v>0</v>
      </c>
      <c r="L14" s="1" t="str">
        <f t="shared" si="2"/>
        <v>Normal</v>
      </c>
      <c r="M14" s="2">
        <f t="shared" si="3"/>
        <v>0</v>
      </c>
      <c r="N14" s="1" t="str">
        <f t="shared" si="4"/>
        <v>Kering</v>
      </c>
      <c r="O14" t="str">
        <f t="shared" si="5"/>
        <v>Fuzzy</v>
      </c>
      <c r="P14" t="str">
        <f t="shared" si="6"/>
        <v>Fuzzy</v>
      </c>
    </row>
    <row r="15" spans="1:22" x14ac:dyDescent="0.35">
      <c r="A15" t="s">
        <v>18</v>
      </c>
      <c r="B15">
        <v>4134</v>
      </c>
      <c r="C15">
        <v>25</v>
      </c>
      <c r="D15">
        <v>78</v>
      </c>
      <c r="E15">
        <v>0</v>
      </c>
      <c r="F15">
        <v>619</v>
      </c>
      <c r="K15" s="1">
        <f t="shared" si="9"/>
        <v>0</v>
      </c>
      <c r="L15" s="1" t="str">
        <f t="shared" si="2"/>
        <v>Normal</v>
      </c>
      <c r="M15" s="2">
        <f t="shared" si="3"/>
        <v>0</v>
      </c>
      <c r="N15" s="1" t="str">
        <f t="shared" si="4"/>
        <v>Kering</v>
      </c>
      <c r="O15" t="str">
        <f t="shared" si="5"/>
        <v>Fuzzy</v>
      </c>
      <c r="P15" t="str">
        <f t="shared" si="6"/>
        <v>Fuzzy</v>
      </c>
    </row>
    <row r="16" spans="1:22" x14ac:dyDescent="0.35">
      <c r="A16" t="s">
        <v>19</v>
      </c>
      <c r="B16">
        <v>4135</v>
      </c>
      <c r="C16">
        <v>25</v>
      </c>
      <c r="D16">
        <v>78</v>
      </c>
      <c r="E16">
        <v>166</v>
      </c>
      <c r="F16">
        <v>619</v>
      </c>
      <c r="K16" s="1">
        <f t="shared" si="9"/>
        <v>166</v>
      </c>
      <c r="L16" s="1" t="str">
        <f t="shared" si="2"/>
        <v>Normal</v>
      </c>
      <c r="M16" s="2">
        <f t="shared" si="3"/>
        <v>16.226783968719452</v>
      </c>
      <c r="N16" s="1" t="str">
        <f t="shared" si="4"/>
        <v>Kering</v>
      </c>
      <c r="O16" t="str">
        <f t="shared" si="5"/>
        <v>Fuzzy</v>
      </c>
      <c r="P16" t="str">
        <f t="shared" si="6"/>
        <v>Fuzzy</v>
      </c>
    </row>
    <row r="17" spans="1:16" x14ac:dyDescent="0.35">
      <c r="A17" t="s">
        <v>20</v>
      </c>
      <c r="B17">
        <v>4136</v>
      </c>
      <c r="C17">
        <v>25</v>
      </c>
      <c r="D17">
        <v>78</v>
      </c>
      <c r="E17">
        <v>143</v>
      </c>
      <c r="F17">
        <v>619</v>
      </c>
      <c r="K17" s="1">
        <f t="shared" si="9"/>
        <v>143</v>
      </c>
      <c r="L17" s="1" t="str">
        <f t="shared" si="2"/>
        <v>Normal</v>
      </c>
      <c r="M17" s="2">
        <f t="shared" si="3"/>
        <v>13.978494623655912</v>
      </c>
      <c r="N17" s="1" t="str">
        <f t="shared" si="4"/>
        <v>Kering</v>
      </c>
      <c r="O17" t="str">
        <f t="shared" si="5"/>
        <v>Fuzzy</v>
      </c>
      <c r="P17" t="str">
        <f t="shared" si="6"/>
        <v>Fuzzy</v>
      </c>
    </row>
    <row r="18" spans="1:16" x14ac:dyDescent="0.35">
      <c r="A18" t="s">
        <v>21</v>
      </c>
      <c r="B18">
        <v>4137</v>
      </c>
      <c r="C18">
        <v>25</v>
      </c>
      <c r="D18">
        <v>78</v>
      </c>
      <c r="E18">
        <v>180</v>
      </c>
      <c r="F18">
        <v>619</v>
      </c>
      <c r="K18" s="1">
        <f t="shared" si="9"/>
        <v>180</v>
      </c>
      <c r="L18" s="1" t="str">
        <f t="shared" si="2"/>
        <v>Normal</v>
      </c>
      <c r="M18" s="2">
        <f t="shared" si="3"/>
        <v>17.595307917888565</v>
      </c>
      <c r="N18" s="1" t="str">
        <f t="shared" si="4"/>
        <v>Kering</v>
      </c>
      <c r="O18" t="str">
        <f t="shared" si="5"/>
        <v>Fuzzy</v>
      </c>
      <c r="P18" t="str">
        <f t="shared" si="6"/>
        <v>Fuzzy</v>
      </c>
    </row>
    <row r="19" spans="1:16" x14ac:dyDescent="0.35">
      <c r="A19" t="s">
        <v>22</v>
      </c>
      <c r="B19">
        <v>4138</v>
      </c>
      <c r="C19">
        <v>25</v>
      </c>
      <c r="D19">
        <v>78</v>
      </c>
      <c r="E19">
        <v>200</v>
      </c>
      <c r="F19">
        <v>619</v>
      </c>
      <c r="K19" s="1">
        <f t="shared" si="9"/>
        <v>200</v>
      </c>
      <c r="L19" s="1" t="str">
        <f t="shared" si="2"/>
        <v>Normal</v>
      </c>
      <c r="M19" s="2">
        <f t="shared" si="3"/>
        <v>19.550342130987293</v>
      </c>
      <c r="N19" s="1" t="str">
        <f t="shared" si="4"/>
        <v>Kering</v>
      </c>
      <c r="O19" t="str">
        <f t="shared" si="5"/>
        <v>Fuzzy</v>
      </c>
      <c r="P19" t="str">
        <f t="shared" si="6"/>
        <v>Fuzzy</v>
      </c>
    </row>
    <row r="20" spans="1:16" x14ac:dyDescent="0.35">
      <c r="A20" t="s">
        <v>23</v>
      </c>
      <c r="B20">
        <v>4139</v>
      </c>
      <c r="C20" s="3">
        <v>26</v>
      </c>
      <c r="D20">
        <v>79</v>
      </c>
      <c r="E20">
        <v>186</v>
      </c>
      <c r="F20">
        <v>619</v>
      </c>
      <c r="K20" s="1">
        <f t="shared" si="9"/>
        <v>186</v>
      </c>
      <c r="L20" s="1" t="str">
        <f t="shared" si="2"/>
        <v>Normal</v>
      </c>
      <c r="M20" s="2">
        <f t="shared" si="3"/>
        <v>18.181818181818183</v>
      </c>
      <c r="N20" s="1" t="str">
        <f t="shared" si="4"/>
        <v>Kering</v>
      </c>
      <c r="O20" t="str">
        <f t="shared" si="5"/>
        <v>Fuzzy</v>
      </c>
      <c r="P20" t="str">
        <f t="shared" si="6"/>
        <v>Fuzzy</v>
      </c>
    </row>
    <row r="21" spans="1:16" x14ac:dyDescent="0.35">
      <c r="A21" t="s">
        <v>24</v>
      </c>
      <c r="B21">
        <v>4140</v>
      </c>
      <c r="C21">
        <v>26</v>
      </c>
      <c r="D21">
        <v>75</v>
      </c>
      <c r="E21">
        <v>157</v>
      </c>
      <c r="F21">
        <v>616</v>
      </c>
      <c r="K21" s="1">
        <f t="shared" si="9"/>
        <v>157</v>
      </c>
      <c r="L21" s="1" t="str">
        <f t="shared" si="2"/>
        <v>Normal</v>
      </c>
      <c r="M21" s="2">
        <f t="shared" si="3"/>
        <v>15.347018572825025</v>
      </c>
      <c r="N21" s="1" t="str">
        <f t="shared" si="4"/>
        <v>Kering</v>
      </c>
      <c r="O21" t="str">
        <f t="shared" si="5"/>
        <v>Fuzzy</v>
      </c>
      <c r="P21" t="str">
        <f t="shared" si="6"/>
        <v>Fuzzy</v>
      </c>
    </row>
    <row r="22" spans="1:16" x14ac:dyDescent="0.35">
      <c r="A22" t="s">
        <v>25</v>
      </c>
      <c r="B22">
        <v>4141</v>
      </c>
      <c r="C22">
        <v>26</v>
      </c>
      <c r="D22">
        <v>75</v>
      </c>
      <c r="E22">
        <v>189</v>
      </c>
      <c r="F22">
        <v>608</v>
      </c>
      <c r="K22" s="1">
        <f t="shared" si="9"/>
        <v>189</v>
      </c>
      <c r="L22" s="1" t="str">
        <f t="shared" si="2"/>
        <v>Normal</v>
      </c>
      <c r="M22" s="2">
        <f t="shared" si="3"/>
        <v>18.475073313782993</v>
      </c>
      <c r="N22" s="1" t="str">
        <f t="shared" si="4"/>
        <v>Kering</v>
      </c>
      <c r="O22" t="str">
        <f t="shared" si="5"/>
        <v>Fuzzy</v>
      </c>
      <c r="P22" t="str">
        <f t="shared" si="6"/>
        <v>Fuzzy</v>
      </c>
    </row>
    <row r="23" spans="1:16" x14ac:dyDescent="0.35">
      <c r="A23" t="s">
        <v>26</v>
      </c>
      <c r="B23">
        <v>4142</v>
      </c>
      <c r="C23">
        <v>26</v>
      </c>
      <c r="D23">
        <v>76</v>
      </c>
      <c r="E23">
        <v>158</v>
      </c>
      <c r="F23">
        <v>601</v>
      </c>
      <c r="K23" s="1">
        <f t="shared" si="9"/>
        <v>158</v>
      </c>
      <c r="L23" s="1" t="str">
        <f t="shared" si="2"/>
        <v>Normal</v>
      </c>
      <c r="M23" s="2">
        <f t="shared" si="3"/>
        <v>15.444770283479961</v>
      </c>
      <c r="N23" s="1" t="str">
        <f t="shared" si="4"/>
        <v>Kering</v>
      </c>
      <c r="O23" t="str">
        <f t="shared" si="5"/>
        <v>Fuzzy</v>
      </c>
      <c r="P23" t="str">
        <f t="shared" si="6"/>
        <v>Fuzzy</v>
      </c>
    </row>
    <row r="24" spans="1:16" x14ac:dyDescent="0.35">
      <c r="A24" t="s">
        <v>27</v>
      </c>
      <c r="B24">
        <v>4170</v>
      </c>
      <c r="C24">
        <v>25</v>
      </c>
      <c r="D24">
        <v>72</v>
      </c>
      <c r="E24">
        <v>939</v>
      </c>
      <c r="F24">
        <v>617</v>
      </c>
      <c r="K24" s="1">
        <f t="shared" ref="K24:K70" si="10">IF(E24&lt;=1023, E24, "")</f>
        <v>939</v>
      </c>
      <c r="L24" s="1" t="str">
        <f t="shared" si="2"/>
        <v>Normal</v>
      </c>
      <c r="M24" s="2">
        <f t="shared" si="3"/>
        <v>73.993808049535602</v>
      </c>
      <c r="N24" s="1" t="str">
        <f t="shared" si="4"/>
        <v>Basah</v>
      </c>
      <c r="O24" t="str">
        <f t="shared" si="5"/>
        <v>Fuzzy</v>
      </c>
      <c r="P24" t="str">
        <f t="shared" si="6"/>
        <v>Fuzzy</v>
      </c>
    </row>
    <row r="25" spans="1:16" x14ac:dyDescent="0.35">
      <c r="A25" t="s">
        <v>28</v>
      </c>
      <c r="B25">
        <v>4171</v>
      </c>
      <c r="C25">
        <v>25</v>
      </c>
      <c r="D25">
        <v>70</v>
      </c>
      <c r="E25">
        <v>915</v>
      </c>
      <c r="F25">
        <v>617</v>
      </c>
      <c r="K25" s="1">
        <f t="shared" si="10"/>
        <v>915</v>
      </c>
      <c r="L25" s="1" t="str">
        <f t="shared" si="2"/>
        <v>Normal</v>
      </c>
      <c r="M25" s="2">
        <f t="shared" si="3"/>
        <v>66.56346749226006</v>
      </c>
      <c r="N25" s="1" t="str">
        <f t="shared" si="4"/>
        <v>Lembab</v>
      </c>
      <c r="O25" t="str">
        <f t="shared" si="5"/>
        <v>Fuzzy</v>
      </c>
      <c r="P25" t="str">
        <f t="shared" si="6"/>
        <v>Fuzzy</v>
      </c>
    </row>
    <row r="26" spans="1:16" x14ac:dyDescent="0.35">
      <c r="A26" t="s">
        <v>29</v>
      </c>
      <c r="B26">
        <v>4172</v>
      </c>
      <c r="C26">
        <v>25</v>
      </c>
      <c r="D26">
        <v>69</v>
      </c>
      <c r="E26">
        <v>889</v>
      </c>
      <c r="F26">
        <v>617</v>
      </c>
      <c r="K26" s="1">
        <f t="shared" si="10"/>
        <v>889</v>
      </c>
      <c r="L26" s="1" t="str">
        <f t="shared" si="2"/>
        <v>Normal</v>
      </c>
      <c r="M26" s="2">
        <f t="shared" si="3"/>
        <v>58.513931888544889</v>
      </c>
      <c r="N26" s="1" t="str">
        <f t="shared" si="4"/>
        <v>Lembab</v>
      </c>
      <c r="O26" t="str">
        <f t="shared" si="5"/>
        <v>Fuzzy</v>
      </c>
      <c r="P26" t="str">
        <f t="shared" si="6"/>
        <v>Fuzzy</v>
      </c>
    </row>
    <row r="27" spans="1:16" x14ac:dyDescent="0.35">
      <c r="A27" t="s">
        <v>30</v>
      </c>
      <c r="B27">
        <v>4173</v>
      </c>
      <c r="C27">
        <v>25</v>
      </c>
      <c r="D27">
        <v>69</v>
      </c>
      <c r="E27">
        <v>974</v>
      </c>
      <c r="F27">
        <v>617</v>
      </c>
      <c r="K27" s="1">
        <f t="shared" si="10"/>
        <v>974</v>
      </c>
      <c r="L27" s="1" t="str">
        <f t="shared" si="2"/>
        <v>Normal</v>
      </c>
      <c r="M27" s="2">
        <f t="shared" si="3"/>
        <v>84.829721362229108</v>
      </c>
      <c r="N27" s="1" t="str">
        <f t="shared" si="4"/>
        <v>Basah</v>
      </c>
      <c r="O27" t="str">
        <f t="shared" si="5"/>
        <v>Fuzzy</v>
      </c>
      <c r="P27" t="str">
        <f t="shared" si="6"/>
        <v>Fuzzy</v>
      </c>
    </row>
    <row r="28" spans="1:16" x14ac:dyDescent="0.35">
      <c r="A28" t="s">
        <v>31</v>
      </c>
      <c r="B28">
        <v>4174</v>
      </c>
      <c r="C28">
        <v>25</v>
      </c>
      <c r="D28">
        <v>69</v>
      </c>
      <c r="E28">
        <v>867</v>
      </c>
      <c r="F28">
        <v>618</v>
      </c>
      <c r="K28" s="1">
        <f t="shared" si="10"/>
        <v>867</v>
      </c>
      <c r="L28" s="1" t="str">
        <f t="shared" si="2"/>
        <v>Normal</v>
      </c>
      <c r="M28" s="2">
        <f t="shared" si="3"/>
        <v>51.702786377708975</v>
      </c>
      <c r="N28" s="1" t="str">
        <f t="shared" si="4"/>
        <v>Lembab</v>
      </c>
      <c r="O28" t="str">
        <f t="shared" si="5"/>
        <v>Fuzzy</v>
      </c>
      <c r="P28" t="str">
        <f t="shared" si="6"/>
        <v>Fuzzy</v>
      </c>
    </row>
    <row r="29" spans="1:16" x14ac:dyDescent="0.35">
      <c r="A29" t="s">
        <v>32</v>
      </c>
      <c r="B29">
        <v>4175</v>
      </c>
      <c r="C29">
        <v>25</v>
      </c>
      <c r="D29">
        <v>68</v>
      </c>
      <c r="E29">
        <v>874</v>
      </c>
      <c r="F29">
        <v>618</v>
      </c>
      <c r="K29" s="1">
        <f t="shared" si="10"/>
        <v>874</v>
      </c>
      <c r="L29" s="1" t="str">
        <f t="shared" si="2"/>
        <v>Normal</v>
      </c>
      <c r="M29" s="2">
        <f t="shared" si="3"/>
        <v>53.869969040247682</v>
      </c>
      <c r="N29" s="1" t="str">
        <f t="shared" si="4"/>
        <v>Lembab</v>
      </c>
      <c r="O29" t="str">
        <f t="shared" si="5"/>
        <v>Fuzzy</v>
      </c>
      <c r="P29" t="str">
        <f t="shared" si="6"/>
        <v>Fuzzy</v>
      </c>
    </row>
    <row r="30" spans="1:16" x14ac:dyDescent="0.35">
      <c r="A30" t="s">
        <v>33</v>
      </c>
      <c r="B30">
        <v>4176</v>
      </c>
      <c r="C30">
        <v>26</v>
      </c>
      <c r="D30">
        <v>70</v>
      </c>
      <c r="E30">
        <v>898</v>
      </c>
      <c r="F30">
        <v>618</v>
      </c>
      <c r="K30" s="1">
        <f t="shared" si="10"/>
        <v>898</v>
      </c>
      <c r="L30" s="1" t="str">
        <f t="shared" si="2"/>
        <v>Normal</v>
      </c>
      <c r="M30" s="2">
        <f t="shared" si="3"/>
        <v>61.300309597523217</v>
      </c>
      <c r="N30" s="1" t="str">
        <f t="shared" si="4"/>
        <v>Lembab</v>
      </c>
      <c r="O30" t="str">
        <f t="shared" si="5"/>
        <v>Fuzzy</v>
      </c>
      <c r="P30" t="str">
        <f t="shared" si="6"/>
        <v>Fuzzy</v>
      </c>
    </row>
    <row r="31" spans="1:16" x14ac:dyDescent="0.35">
      <c r="A31" t="s">
        <v>34</v>
      </c>
      <c r="B31">
        <v>4177</v>
      </c>
      <c r="C31">
        <v>26</v>
      </c>
      <c r="D31">
        <v>69</v>
      </c>
      <c r="E31">
        <v>978</v>
      </c>
      <c r="F31">
        <v>618</v>
      </c>
      <c r="K31" s="1">
        <f t="shared" si="10"/>
        <v>978</v>
      </c>
      <c r="L31" s="1" t="str">
        <f t="shared" si="2"/>
        <v>Normal</v>
      </c>
      <c r="M31" s="2">
        <f t="shared" si="3"/>
        <v>86.068111455108351</v>
      </c>
      <c r="N31" s="1" t="str">
        <f t="shared" si="4"/>
        <v>Basah</v>
      </c>
      <c r="O31" t="str">
        <f t="shared" si="5"/>
        <v>Fuzzy</v>
      </c>
      <c r="P31" t="str">
        <f t="shared" si="6"/>
        <v>Fuzzy</v>
      </c>
    </row>
    <row r="32" spans="1:16" x14ac:dyDescent="0.35">
      <c r="A32" t="s">
        <v>35</v>
      </c>
      <c r="B32">
        <v>4178</v>
      </c>
      <c r="C32">
        <v>26</v>
      </c>
      <c r="D32">
        <v>69</v>
      </c>
      <c r="E32">
        <v>936</v>
      </c>
      <c r="F32">
        <v>618</v>
      </c>
      <c r="K32" s="1">
        <f t="shared" si="10"/>
        <v>936</v>
      </c>
      <c r="L32" s="1" t="str">
        <f t="shared" si="2"/>
        <v>Normal</v>
      </c>
      <c r="M32" s="2">
        <f t="shared" si="3"/>
        <v>73.065015479876166</v>
      </c>
      <c r="N32" s="1" t="str">
        <f t="shared" si="4"/>
        <v>Basah</v>
      </c>
      <c r="O32" t="str">
        <f t="shared" si="5"/>
        <v>Fuzzy</v>
      </c>
      <c r="P32" t="str">
        <f t="shared" si="6"/>
        <v>Fuzzy</v>
      </c>
    </row>
    <row r="33" spans="1:16" x14ac:dyDescent="0.35">
      <c r="A33" t="s">
        <v>36</v>
      </c>
      <c r="B33">
        <v>4179</v>
      </c>
      <c r="C33">
        <v>26</v>
      </c>
      <c r="D33">
        <v>69</v>
      </c>
      <c r="E33">
        <v>918</v>
      </c>
      <c r="F33">
        <v>617</v>
      </c>
      <c r="K33" s="1">
        <f t="shared" si="10"/>
        <v>918</v>
      </c>
      <c r="L33" s="1" t="str">
        <f t="shared" si="2"/>
        <v>Normal</v>
      </c>
      <c r="M33" s="2">
        <f t="shared" si="3"/>
        <v>67.492260061919509</v>
      </c>
      <c r="N33" s="1" t="str">
        <f t="shared" si="4"/>
        <v>Lembab</v>
      </c>
      <c r="O33" t="str">
        <f t="shared" si="5"/>
        <v>Fuzzy</v>
      </c>
      <c r="P33" t="str">
        <f t="shared" si="6"/>
        <v>Fuzzy</v>
      </c>
    </row>
    <row r="34" spans="1:16" x14ac:dyDescent="0.35">
      <c r="A34" t="s">
        <v>37</v>
      </c>
      <c r="B34">
        <v>4180</v>
      </c>
      <c r="C34">
        <v>26</v>
      </c>
      <c r="D34">
        <v>70</v>
      </c>
      <c r="E34">
        <v>883</v>
      </c>
      <c r="F34">
        <v>618</v>
      </c>
      <c r="K34" s="1">
        <f t="shared" si="10"/>
        <v>883</v>
      </c>
      <c r="L34" s="1" t="str">
        <f t="shared" si="2"/>
        <v>Normal</v>
      </c>
      <c r="M34" s="2">
        <f t="shared" si="3"/>
        <v>56.656346749226003</v>
      </c>
      <c r="N34" s="1" t="str">
        <f t="shared" si="4"/>
        <v>Lembab</v>
      </c>
      <c r="O34" t="str">
        <f t="shared" si="5"/>
        <v>Fuzzy</v>
      </c>
      <c r="P34" t="str">
        <f t="shared" si="6"/>
        <v>Fuzzy</v>
      </c>
    </row>
    <row r="35" spans="1:16" x14ac:dyDescent="0.35">
      <c r="A35" t="s">
        <v>38</v>
      </c>
      <c r="B35">
        <v>4181</v>
      </c>
      <c r="C35">
        <v>26</v>
      </c>
      <c r="D35">
        <v>69</v>
      </c>
      <c r="E35">
        <v>791</v>
      </c>
      <c r="F35">
        <v>618</v>
      </c>
      <c r="K35" s="1">
        <f t="shared" si="10"/>
        <v>791</v>
      </c>
      <c r="L35" s="1" t="str">
        <f t="shared" si="2"/>
        <v>Normal</v>
      </c>
      <c r="M35" s="2">
        <f t="shared" si="3"/>
        <v>28.173374613003094</v>
      </c>
      <c r="N35" s="1" t="str">
        <f t="shared" si="4"/>
        <v>Kering</v>
      </c>
      <c r="O35" t="str">
        <f t="shared" si="5"/>
        <v>Fuzzy</v>
      </c>
      <c r="P35" t="str">
        <f t="shared" si="6"/>
        <v>Fuzzy</v>
      </c>
    </row>
    <row r="36" spans="1:16" x14ac:dyDescent="0.35">
      <c r="A36" t="s">
        <v>39</v>
      </c>
      <c r="B36">
        <v>4182</v>
      </c>
      <c r="C36">
        <v>26</v>
      </c>
      <c r="D36">
        <v>69</v>
      </c>
      <c r="E36">
        <v>912</v>
      </c>
      <c r="F36">
        <v>617</v>
      </c>
      <c r="K36" s="1">
        <f t="shared" si="10"/>
        <v>912</v>
      </c>
      <c r="L36" s="1" t="str">
        <f t="shared" si="2"/>
        <v>Normal</v>
      </c>
      <c r="M36" s="2">
        <f t="shared" si="3"/>
        <v>65.634674922600624</v>
      </c>
      <c r="N36" s="1" t="str">
        <f t="shared" si="4"/>
        <v>Lembab</v>
      </c>
      <c r="O36" t="str">
        <f t="shared" si="5"/>
        <v>Fuzzy</v>
      </c>
      <c r="P36" t="str">
        <f t="shared" si="6"/>
        <v>Fuzzy</v>
      </c>
    </row>
    <row r="37" spans="1:16" x14ac:dyDescent="0.35">
      <c r="A37" t="s">
        <v>40</v>
      </c>
      <c r="B37">
        <v>4183</v>
      </c>
      <c r="C37">
        <v>26</v>
      </c>
      <c r="D37">
        <v>67</v>
      </c>
      <c r="E37">
        <v>828</v>
      </c>
      <c r="F37">
        <v>618</v>
      </c>
      <c r="K37" s="1">
        <f t="shared" si="10"/>
        <v>828</v>
      </c>
      <c r="L37" s="1" t="str">
        <f t="shared" si="2"/>
        <v>Normal</v>
      </c>
      <c r="M37" s="2">
        <f t="shared" si="3"/>
        <v>39.628482972136226</v>
      </c>
      <c r="N37" s="1" t="str">
        <f t="shared" si="4"/>
        <v>Lembab</v>
      </c>
      <c r="O37" t="str">
        <f t="shared" si="5"/>
        <v>Fuzzy</v>
      </c>
      <c r="P37" t="str">
        <f t="shared" si="6"/>
        <v>Fuzzy</v>
      </c>
    </row>
    <row r="38" spans="1:16" x14ac:dyDescent="0.35">
      <c r="A38" t="s">
        <v>41</v>
      </c>
      <c r="B38">
        <v>4184</v>
      </c>
      <c r="C38">
        <v>26</v>
      </c>
      <c r="D38">
        <v>68</v>
      </c>
      <c r="E38">
        <v>891</v>
      </c>
      <c r="F38">
        <v>618</v>
      </c>
      <c r="K38" s="1">
        <f t="shared" si="10"/>
        <v>891</v>
      </c>
      <c r="L38" s="1" t="str">
        <f t="shared" si="2"/>
        <v>Normal</v>
      </c>
      <c r="M38" s="2">
        <f t="shared" si="3"/>
        <v>59.133126934984524</v>
      </c>
      <c r="N38" s="1" t="str">
        <f t="shared" si="4"/>
        <v>Lembab</v>
      </c>
      <c r="O38" t="str">
        <f t="shared" si="5"/>
        <v>Fuzzy</v>
      </c>
      <c r="P38" t="str">
        <f t="shared" si="6"/>
        <v>Fuzzy</v>
      </c>
    </row>
    <row r="39" spans="1:16" x14ac:dyDescent="0.35">
      <c r="A39" t="s">
        <v>42</v>
      </c>
      <c r="B39">
        <v>4185</v>
      </c>
      <c r="C39">
        <v>26</v>
      </c>
      <c r="D39">
        <v>68</v>
      </c>
      <c r="E39">
        <v>974</v>
      </c>
      <c r="F39">
        <v>618</v>
      </c>
      <c r="K39" s="1">
        <f t="shared" si="10"/>
        <v>974</v>
      </c>
      <c r="L39" s="1" t="str">
        <f t="shared" si="2"/>
        <v>Normal</v>
      </c>
      <c r="M39" s="2">
        <f t="shared" si="3"/>
        <v>84.829721362229108</v>
      </c>
      <c r="N39" s="1" t="str">
        <f t="shared" si="4"/>
        <v>Basah</v>
      </c>
      <c r="O39" t="str">
        <f t="shared" si="5"/>
        <v>Fuzzy</v>
      </c>
      <c r="P39" t="str">
        <f t="shared" si="6"/>
        <v>Fuzzy</v>
      </c>
    </row>
    <row r="40" spans="1:16" x14ac:dyDescent="0.35">
      <c r="A40" t="s">
        <v>43</v>
      </c>
      <c r="B40">
        <v>4186</v>
      </c>
      <c r="C40">
        <v>26</v>
      </c>
      <c r="D40">
        <v>69</v>
      </c>
      <c r="E40">
        <v>1009</v>
      </c>
      <c r="F40">
        <v>618</v>
      </c>
      <c r="K40" s="1">
        <f t="shared" si="10"/>
        <v>1009</v>
      </c>
      <c r="L40" s="1" t="str">
        <f t="shared" si="2"/>
        <v>Normal</v>
      </c>
      <c r="M40" s="2">
        <f t="shared" si="3"/>
        <v>95.6656346749226</v>
      </c>
      <c r="N40" s="1" t="str">
        <f t="shared" si="4"/>
        <v>Basah</v>
      </c>
      <c r="O40" t="str">
        <f t="shared" si="5"/>
        <v>Fuzzy</v>
      </c>
      <c r="P40" t="str">
        <f t="shared" si="6"/>
        <v>Fuzzy</v>
      </c>
    </row>
    <row r="41" spans="1:16" x14ac:dyDescent="0.35">
      <c r="A41" t="s">
        <v>44</v>
      </c>
      <c r="B41">
        <v>4187</v>
      </c>
      <c r="C41">
        <v>26</v>
      </c>
      <c r="D41">
        <v>69</v>
      </c>
      <c r="E41">
        <v>881</v>
      </c>
      <c r="F41">
        <v>618</v>
      </c>
      <c r="K41" s="1">
        <f t="shared" si="10"/>
        <v>881</v>
      </c>
      <c r="L41" s="1" t="str">
        <f t="shared" si="2"/>
        <v>Normal</v>
      </c>
      <c r="M41" s="2">
        <f t="shared" si="3"/>
        <v>56.037151702786382</v>
      </c>
      <c r="N41" s="1" t="str">
        <f t="shared" si="4"/>
        <v>Lembab</v>
      </c>
      <c r="O41" t="str">
        <f t="shared" si="5"/>
        <v>Fuzzy</v>
      </c>
      <c r="P41" t="str">
        <f t="shared" si="6"/>
        <v>Fuzzy</v>
      </c>
    </row>
    <row r="42" spans="1:16" x14ac:dyDescent="0.35">
      <c r="A42" t="s">
        <v>45</v>
      </c>
      <c r="B42">
        <v>4188</v>
      </c>
      <c r="C42">
        <v>26</v>
      </c>
      <c r="D42">
        <v>69</v>
      </c>
      <c r="E42">
        <v>925</v>
      </c>
      <c r="F42">
        <v>618</v>
      </c>
      <c r="K42" s="1">
        <f t="shared" si="10"/>
        <v>925</v>
      </c>
      <c r="L42" s="1" t="str">
        <f t="shared" si="2"/>
        <v>Normal</v>
      </c>
      <c r="M42" s="2">
        <f t="shared" si="3"/>
        <v>69.659442724458216</v>
      </c>
      <c r="N42" s="1" t="str">
        <f t="shared" si="4"/>
        <v>Basah</v>
      </c>
      <c r="O42" t="str">
        <f t="shared" si="5"/>
        <v>Fuzzy</v>
      </c>
      <c r="P42" t="str">
        <f t="shared" si="6"/>
        <v>Fuzzy</v>
      </c>
    </row>
    <row r="43" spans="1:16" x14ac:dyDescent="0.35">
      <c r="A43" t="s">
        <v>46</v>
      </c>
      <c r="B43">
        <v>4189</v>
      </c>
      <c r="C43">
        <v>26</v>
      </c>
      <c r="D43">
        <v>67</v>
      </c>
      <c r="E43">
        <v>928</v>
      </c>
      <c r="F43">
        <v>618</v>
      </c>
      <c r="K43" s="1">
        <f t="shared" si="10"/>
        <v>928</v>
      </c>
      <c r="L43" s="1" t="str">
        <f t="shared" si="2"/>
        <v>Normal</v>
      </c>
      <c r="M43" s="2">
        <f t="shared" si="3"/>
        <v>70.588235294117652</v>
      </c>
      <c r="N43" s="1" t="str">
        <f t="shared" si="4"/>
        <v>Basah</v>
      </c>
      <c r="O43" t="str">
        <f t="shared" si="5"/>
        <v>Fuzzy</v>
      </c>
      <c r="P43" t="str">
        <f t="shared" si="6"/>
        <v>Fuzzy</v>
      </c>
    </row>
    <row r="44" spans="1:16" x14ac:dyDescent="0.35">
      <c r="A44" t="s">
        <v>47</v>
      </c>
      <c r="B44">
        <v>4190</v>
      </c>
      <c r="C44">
        <v>26</v>
      </c>
      <c r="D44">
        <v>69</v>
      </c>
      <c r="E44">
        <v>956</v>
      </c>
      <c r="F44">
        <v>618</v>
      </c>
      <c r="K44" s="1">
        <f t="shared" si="10"/>
        <v>956</v>
      </c>
      <c r="L44" s="1" t="str">
        <f t="shared" si="2"/>
        <v>Normal</v>
      </c>
      <c r="M44" s="2">
        <f t="shared" si="3"/>
        <v>79.256965944272451</v>
      </c>
      <c r="N44" s="1" t="str">
        <f t="shared" si="4"/>
        <v>Basah</v>
      </c>
      <c r="O44" t="str">
        <f t="shared" si="5"/>
        <v>Fuzzy</v>
      </c>
      <c r="P44" t="str">
        <f t="shared" si="6"/>
        <v>Fuzzy</v>
      </c>
    </row>
    <row r="45" spans="1:16" x14ac:dyDescent="0.35">
      <c r="A45" t="s">
        <v>48</v>
      </c>
      <c r="B45">
        <v>4191</v>
      </c>
      <c r="C45">
        <v>26</v>
      </c>
      <c r="D45">
        <v>68</v>
      </c>
      <c r="E45">
        <v>902</v>
      </c>
      <c r="F45">
        <v>619</v>
      </c>
      <c r="K45" s="1">
        <f t="shared" si="10"/>
        <v>902</v>
      </c>
      <c r="L45" s="1" t="str">
        <f t="shared" si="2"/>
        <v>Normal</v>
      </c>
      <c r="M45" s="2">
        <f t="shared" si="3"/>
        <v>62.538699690402474</v>
      </c>
      <c r="N45" s="1" t="str">
        <f t="shared" si="4"/>
        <v>Lembab</v>
      </c>
      <c r="O45" t="str">
        <f t="shared" si="5"/>
        <v>Fuzzy</v>
      </c>
      <c r="P45" t="str">
        <f t="shared" si="6"/>
        <v>Fuzzy</v>
      </c>
    </row>
    <row r="46" spans="1:16" x14ac:dyDescent="0.35">
      <c r="A46" t="s">
        <v>49</v>
      </c>
      <c r="B46">
        <v>4192</v>
      </c>
      <c r="C46">
        <v>26</v>
      </c>
      <c r="D46">
        <v>68</v>
      </c>
      <c r="E46">
        <v>980</v>
      </c>
      <c r="F46">
        <v>619</v>
      </c>
      <c r="K46" s="1">
        <f t="shared" si="10"/>
        <v>980</v>
      </c>
      <c r="L46" s="1" t="str">
        <f t="shared" si="2"/>
        <v>Normal</v>
      </c>
      <c r="M46" s="2">
        <f t="shared" si="3"/>
        <v>86.687306501547994</v>
      </c>
      <c r="N46" s="1" t="str">
        <f t="shared" si="4"/>
        <v>Basah</v>
      </c>
      <c r="O46" t="str">
        <f t="shared" si="5"/>
        <v>Fuzzy</v>
      </c>
      <c r="P46" t="str">
        <f t="shared" si="6"/>
        <v>Fuzzy</v>
      </c>
    </row>
    <row r="47" spans="1:16" x14ac:dyDescent="0.35">
      <c r="A47" t="s">
        <v>50</v>
      </c>
      <c r="B47">
        <v>4193</v>
      </c>
      <c r="C47">
        <v>26</v>
      </c>
      <c r="D47">
        <v>67</v>
      </c>
      <c r="E47">
        <v>856</v>
      </c>
      <c r="F47">
        <v>619</v>
      </c>
      <c r="K47" s="1">
        <f t="shared" si="10"/>
        <v>856</v>
      </c>
      <c r="L47" s="1" t="str">
        <f t="shared" si="2"/>
        <v>Normal</v>
      </c>
      <c r="M47" s="2">
        <f t="shared" si="3"/>
        <v>48.297213622291025</v>
      </c>
      <c r="N47" s="1" t="str">
        <f t="shared" si="4"/>
        <v>Lembab</v>
      </c>
      <c r="O47" t="str">
        <f t="shared" si="5"/>
        <v>Fuzzy</v>
      </c>
      <c r="P47" t="str">
        <f t="shared" si="6"/>
        <v>Fuzzy</v>
      </c>
    </row>
    <row r="48" spans="1:16" x14ac:dyDescent="0.35">
      <c r="A48" t="s">
        <v>51</v>
      </c>
      <c r="B48">
        <v>4194</v>
      </c>
      <c r="C48">
        <v>26</v>
      </c>
      <c r="D48">
        <v>67</v>
      </c>
      <c r="E48">
        <v>982</v>
      </c>
      <c r="F48">
        <v>619</v>
      </c>
      <c r="K48" s="1">
        <f t="shared" si="10"/>
        <v>982</v>
      </c>
      <c r="L48" s="1" t="str">
        <f t="shared" si="2"/>
        <v>Normal</v>
      </c>
      <c r="M48" s="2">
        <f t="shared" si="3"/>
        <v>87.306501547987608</v>
      </c>
      <c r="N48" s="1" t="str">
        <f t="shared" si="4"/>
        <v>Basah</v>
      </c>
      <c r="O48" t="str">
        <f t="shared" si="5"/>
        <v>Fuzzy</v>
      </c>
      <c r="P48" t="str">
        <f t="shared" si="6"/>
        <v>Fuzzy</v>
      </c>
    </row>
    <row r="49" spans="1:16" x14ac:dyDescent="0.35">
      <c r="A49" t="s">
        <v>52</v>
      </c>
      <c r="B49">
        <v>4195</v>
      </c>
      <c r="C49">
        <v>26</v>
      </c>
      <c r="D49">
        <v>66</v>
      </c>
      <c r="E49">
        <v>880</v>
      </c>
      <c r="F49">
        <v>618</v>
      </c>
      <c r="K49" s="1">
        <f t="shared" si="10"/>
        <v>880</v>
      </c>
      <c r="L49" s="1" t="str">
        <f t="shared" si="2"/>
        <v>Normal</v>
      </c>
      <c r="M49" s="2">
        <f t="shared" si="3"/>
        <v>55.72755417956656</v>
      </c>
      <c r="N49" s="1" t="str">
        <f t="shared" si="4"/>
        <v>Lembab</v>
      </c>
      <c r="O49" t="str">
        <f t="shared" si="5"/>
        <v>Fuzzy</v>
      </c>
      <c r="P49" t="str">
        <f t="shared" si="6"/>
        <v>Fuzzy</v>
      </c>
    </row>
    <row r="50" spans="1:16" x14ac:dyDescent="0.35">
      <c r="A50" t="s">
        <v>53</v>
      </c>
      <c r="B50">
        <v>4197</v>
      </c>
      <c r="C50">
        <v>26</v>
      </c>
      <c r="D50">
        <v>66</v>
      </c>
      <c r="E50">
        <v>979</v>
      </c>
      <c r="F50">
        <v>619</v>
      </c>
      <c r="K50" s="1">
        <f t="shared" si="10"/>
        <v>979</v>
      </c>
      <c r="L50" s="1" t="str">
        <f t="shared" si="2"/>
        <v>Normal</v>
      </c>
      <c r="M50" s="2">
        <f t="shared" si="3"/>
        <v>86.377708978328172</v>
      </c>
      <c r="N50" s="1" t="str">
        <f t="shared" si="4"/>
        <v>Basah</v>
      </c>
      <c r="O50" t="str">
        <f t="shared" si="5"/>
        <v>Fuzzy</v>
      </c>
      <c r="P50" t="str">
        <f t="shared" si="6"/>
        <v>Fuzzy</v>
      </c>
    </row>
    <row r="51" spans="1:16" x14ac:dyDescent="0.35">
      <c r="A51" t="s">
        <v>54</v>
      </c>
      <c r="B51">
        <v>4198</v>
      </c>
      <c r="C51">
        <v>26</v>
      </c>
      <c r="D51">
        <v>65</v>
      </c>
      <c r="E51">
        <v>945</v>
      </c>
      <c r="F51">
        <v>619</v>
      </c>
      <c r="K51" s="1">
        <f t="shared" si="10"/>
        <v>945</v>
      </c>
      <c r="L51" s="1" t="str">
        <f t="shared" si="2"/>
        <v>Normal</v>
      </c>
      <c r="M51" s="2">
        <f t="shared" si="3"/>
        <v>75.851393188854487</v>
      </c>
      <c r="N51" s="1" t="str">
        <f t="shared" si="4"/>
        <v>Basah</v>
      </c>
      <c r="O51" t="str">
        <f t="shared" si="5"/>
        <v>Fuzzy</v>
      </c>
      <c r="P51" t="str">
        <f t="shared" si="6"/>
        <v>Fuzzy</v>
      </c>
    </row>
    <row r="52" spans="1:16" x14ac:dyDescent="0.35">
      <c r="A52" t="s">
        <v>55</v>
      </c>
      <c r="B52">
        <v>4199</v>
      </c>
      <c r="C52">
        <v>26</v>
      </c>
      <c r="D52">
        <v>64</v>
      </c>
      <c r="E52">
        <v>1011</v>
      </c>
      <c r="F52">
        <v>619</v>
      </c>
      <c r="K52" s="1">
        <f t="shared" si="10"/>
        <v>1011</v>
      </c>
      <c r="L52" s="1" t="str">
        <f t="shared" si="2"/>
        <v>Normal</v>
      </c>
      <c r="M52" s="2">
        <f t="shared" si="3"/>
        <v>96.284829721362229</v>
      </c>
      <c r="N52" s="1" t="str">
        <f t="shared" si="4"/>
        <v>Basah</v>
      </c>
      <c r="O52" t="str">
        <f t="shared" si="5"/>
        <v>Fuzzy</v>
      </c>
      <c r="P52" t="str">
        <f t="shared" si="6"/>
        <v>Fuzzy</v>
      </c>
    </row>
    <row r="53" spans="1:16" x14ac:dyDescent="0.35">
      <c r="A53" t="s">
        <v>56</v>
      </c>
      <c r="B53">
        <v>4200</v>
      </c>
      <c r="C53">
        <v>26</v>
      </c>
      <c r="D53">
        <v>65</v>
      </c>
      <c r="E53">
        <v>1007</v>
      </c>
      <c r="F53">
        <v>619</v>
      </c>
      <c r="K53" s="1">
        <f t="shared" si="10"/>
        <v>1007</v>
      </c>
      <c r="L53" s="1" t="str">
        <f t="shared" si="2"/>
        <v>Normal</v>
      </c>
      <c r="M53" s="2">
        <f t="shared" si="3"/>
        <v>95.046439628482972</v>
      </c>
      <c r="N53" s="1" t="str">
        <f t="shared" si="4"/>
        <v>Basah</v>
      </c>
      <c r="O53" t="str">
        <f t="shared" si="5"/>
        <v>Fuzzy</v>
      </c>
      <c r="P53" t="str">
        <f t="shared" si="6"/>
        <v>Fuzzy</v>
      </c>
    </row>
    <row r="54" spans="1:16" x14ac:dyDescent="0.35">
      <c r="A54" t="s">
        <v>57</v>
      </c>
      <c r="B54">
        <v>4202</v>
      </c>
      <c r="C54">
        <v>26</v>
      </c>
      <c r="D54">
        <v>66</v>
      </c>
      <c r="E54">
        <v>925</v>
      </c>
      <c r="F54">
        <v>619</v>
      </c>
      <c r="K54" s="1">
        <f t="shared" si="10"/>
        <v>925</v>
      </c>
      <c r="L54" s="1" t="str">
        <f t="shared" si="2"/>
        <v>Normal</v>
      </c>
      <c r="M54" s="2">
        <f t="shared" si="3"/>
        <v>69.659442724458216</v>
      </c>
      <c r="N54" s="1" t="str">
        <f t="shared" si="4"/>
        <v>Basah</v>
      </c>
      <c r="O54" t="str">
        <f t="shared" si="5"/>
        <v>Fuzzy</v>
      </c>
      <c r="P54" t="str">
        <f t="shared" si="6"/>
        <v>Fuzzy</v>
      </c>
    </row>
    <row r="55" spans="1:16" x14ac:dyDescent="0.35">
      <c r="A55" t="s">
        <v>58</v>
      </c>
      <c r="B55">
        <v>4203</v>
      </c>
      <c r="C55">
        <v>26</v>
      </c>
      <c r="D55">
        <v>65</v>
      </c>
      <c r="E55">
        <v>981</v>
      </c>
      <c r="F55">
        <v>619</v>
      </c>
      <c r="K55" s="1">
        <f t="shared" si="10"/>
        <v>981</v>
      </c>
      <c r="L55" s="1" t="str">
        <f t="shared" si="2"/>
        <v>Normal</v>
      </c>
      <c r="M55" s="2">
        <f t="shared" si="3"/>
        <v>86.996904024767801</v>
      </c>
      <c r="N55" s="1" t="str">
        <f t="shared" si="4"/>
        <v>Basah</v>
      </c>
      <c r="O55" t="str">
        <f t="shared" si="5"/>
        <v>Fuzzy</v>
      </c>
      <c r="P55" t="str">
        <f t="shared" si="6"/>
        <v>Fuzzy</v>
      </c>
    </row>
    <row r="56" spans="1:16" x14ac:dyDescent="0.35">
      <c r="A56" t="s">
        <v>59</v>
      </c>
      <c r="B56">
        <v>4204</v>
      </c>
      <c r="C56">
        <v>26</v>
      </c>
      <c r="D56">
        <v>65</v>
      </c>
      <c r="E56">
        <v>1005</v>
      </c>
      <c r="F56">
        <v>619</v>
      </c>
      <c r="K56" s="1">
        <f t="shared" si="10"/>
        <v>1005</v>
      </c>
      <c r="L56" s="1" t="str">
        <f t="shared" si="2"/>
        <v>Normal</v>
      </c>
      <c r="M56" s="2">
        <f t="shared" si="3"/>
        <v>94.427244582043343</v>
      </c>
      <c r="N56" s="1" t="str">
        <f t="shared" si="4"/>
        <v>Basah</v>
      </c>
      <c r="O56" t="str">
        <f t="shared" si="5"/>
        <v>Fuzzy</v>
      </c>
      <c r="P56" t="str">
        <f t="shared" si="6"/>
        <v>Fuzzy</v>
      </c>
    </row>
    <row r="57" spans="1:16" x14ac:dyDescent="0.35">
      <c r="A57" t="s">
        <v>60</v>
      </c>
      <c r="B57">
        <v>4205</v>
      </c>
      <c r="C57">
        <v>26</v>
      </c>
      <c r="D57">
        <v>64</v>
      </c>
      <c r="E57">
        <v>1012</v>
      </c>
      <c r="F57">
        <v>620</v>
      </c>
      <c r="K57" s="1">
        <f t="shared" si="10"/>
        <v>1012</v>
      </c>
      <c r="L57" s="1" t="str">
        <f t="shared" si="2"/>
        <v>Normal</v>
      </c>
      <c r="M57" s="2">
        <f t="shared" si="3"/>
        <v>96.59442724458205</v>
      </c>
      <c r="N57" s="1" t="str">
        <f t="shared" si="4"/>
        <v>Basah</v>
      </c>
      <c r="O57" t="str">
        <f t="shared" si="5"/>
        <v>Fuzzy</v>
      </c>
      <c r="P57" t="str">
        <f t="shared" si="6"/>
        <v>Fuzzy</v>
      </c>
    </row>
    <row r="58" spans="1:16" x14ac:dyDescent="0.35">
      <c r="A58" t="s">
        <v>61</v>
      </c>
      <c r="B58">
        <v>4206</v>
      </c>
      <c r="C58">
        <v>26</v>
      </c>
      <c r="D58">
        <v>65</v>
      </c>
      <c r="E58">
        <v>934</v>
      </c>
      <c r="F58">
        <v>619</v>
      </c>
      <c r="K58" s="1">
        <f t="shared" si="10"/>
        <v>934</v>
      </c>
      <c r="L58" s="1" t="str">
        <f t="shared" si="2"/>
        <v>Normal</v>
      </c>
      <c r="M58" s="2">
        <f t="shared" si="3"/>
        <v>72.445820433436538</v>
      </c>
      <c r="N58" s="1" t="str">
        <f t="shared" si="4"/>
        <v>Basah</v>
      </c>
      <c r="O58" t="str">
        <f t="shared" si="5"/>
        <v>Fuzzy</v>
      </c>
      <c r="P58" t="str">
        <f t="shared" si="6"/>
        <v>Fuzzy</v>
      </c>
    </row>
    <row r="59" spans="1:16" x14ac:dyDescent="0.35">
      <c r="A59" t="s">
        <v>62</v>
      </c>
      <c r="B59">
        <v>4207</v>
      </c>
      <c r="C59">
        <v>26</v>
      </c>
      <c r="D59">
        <v>64</v>
      </c>
      <c r="E59">
        <v>956</v>
      </c>
      <c r="F59">
        <v>619</v>
      </c>
      <c r="K59" s="1">
        <f t="shared" si="10"/>
        <v>956</v>
      </c>
      <c r="L59" s="1" t="str">
        <f t="shared" si="2"/>
        <v>Normal</v>
      </c>
      <c r="M59" s="2">
        <f t="shared" si="3"/>
        <v>79.256965944272451</v>
      </c>
      <c r="N59" s="1" t="str">
        <f t="shared" si="4"/>
        <v>Basah</v>
      </c>
      <c r="O59" t="str">
        <f t="shared" si="5"/>
        <v>Fuzzy</v>
      </c>
      <c r="P59" t="str">
        <f t="shared" si="6"/>
        <v>Fuzzy</v>
      </c>
    </row>
    <row r="60" spans="1:16" x14ac:dyDescent="0.35">
      <c r="A60" t="s">
        <v>63</v>
      </c>
      <c r="B60">
        <v>4208</v>
      </c>
      <c r="C60">
        <v>26</v>
      </c>
      <c r="D60">
        <v>66</v>
      </c>
      <c r="E60">
        <v>940</v>
      </c>
      <c r="F60">
        <v>619</v>
      </c>
      <c r="K60" s="1">
        <f t="shared" si="10"/>
        <v>940</v>
      </c>
      <c r="L60" s="1" t="str">
        <f t="shared" si="2"/>
        <v>Normal</v>
      </c>
      <c r="M60" s="2">
        <f t="shared" si="3"/>
        <v>74.303405572755423</v>
      </c>
      <c r="N60" s="1" t="str">
        <f t="shared" si="4"/>
        <v>Basah</v>
      </c>
      <c r="O60" t="str">
        <f t="shared" si="5"/>
        <v>Fuzzy</v>
      </c>
      <c r="P60" t="str">
        <f t="shared" si="6"/>
        <v>Fuzzy</v>
      </c>
    </row>
    <row r="61" spans="1:16" x14ac:dyDescent="0.35">
      <c r="A61" t="s">
        <v>64</v>
      </c>
      <c r="B61">
        <v>4209</v>
      </c>
      <c r="C61">
        <v>26</v>
      </c>
      <c r="D61">
        <v>65</v>
      </c>
      <c r="E61">
        <v>809</v>
      </c>
      <c r="F61">
        <v>619</v>
      </c>
      <c r="K61" s="1">
        <f t="shared" si="10"/>
        <v>809</v>
      </c>
      <c r="L61" s="1" t="str">
        <f t="shared" si="2"/>
        <v>Normal</v>
      </c>
      <c r="M61" s="2">
        <f t="shared" si="3"/>
        <v>33.746130030959755</v>
      </c>
      <c r="N61" s="1" t="str">
        <f t="shared" si="4"/>
        <v>Lembab</v>
      </c>
      <c r="O61" t="str">
        <f t="shared" si="5"/>
        <v>Fuzzy</v>
      </c>
      <c r="P61" t="str">
        <f t="shared" si="6"/>
        <v>Fuzzy</v>
      </c>
    </row>
    <row r="62" spans="1:16" x14ac:dyDescent="0.35">
      <c r="A62" t="s">
        <v>65</v>
      </c>
      <c r="B62">
        <v>4210</v>
      </c>
      <c r="C62">
        <v>26</v>
      </c>
      <c r="D62">
        <v>65</v>
      </c>
      <c r="E62">
        <v>812</v>
      </c>
      <c r="F62">
        <v>620</v>
      </c>
      <c r="K62" s="1">
        <f t="shared" si="10"/>
        <v>812</v>
      </c>
      <c r="L62" s="1" t="str">
        <f t="shared" si="2"/>
        <v>Normal</v>
      </c>
      <c r="M62" s="2">
        <f t="shared" si="3"/>
        <v>34.674922600619198</v>
      </c>
      <c r="N62" s="1" t="str">
        <f t="shared" si="4"/>
        <v>Lembab</v>
      </c>
      <c r="O62" t="str">
        <f t="shared" si="5"/>
        <v>Fuzzy</v>
      </c>
      <c r="P62" t="str">
        <f t="shared" si="6"/>
        <v>Fuzzy</v>
      </c>
    </row>
    <row r="63" spans="1:16" x14ac:dyDescent="0.35">
      <c r="A63" t="s">
        <v>66</v>
      </c>
      <c r="B63">
        <v>4212</v>
      </c>
      <c r="C63">
        <v>26</v>
      </c>
      <c r="D63">
        <v>63</v>
      </c>
      <c r="E63">
        <v>942</v>
      </c>
      <c r="F63">
        <v>619</v>
      </c>
      <c r="K63" s="1">
        <f t="shared" si="10"/>
        <v>942</v>
      </c>
      <c r="L63" s="1" t="str">
        <f t="shared" si="2"/>
        <v>Normal</v>
      </c>
      <c r="M63" s="2">
        <f t="shared" si="3"/>
        <v>74.922600619195052</v>
      </c>
      <c r="N63" s="1" t="str">
        <f t="shared" si="4"/>
        <v>Basah</v>
      </c>
      <c r="O63" t="str">
        <f t="shared" si="5"/>
        <v>Fuzzy</v>
      </c>
      <c r="P63" t="str">
        <f t="shared" si="6"/>
        <v>Fuzzy</v>
      </c>
    </row>
    <row r="64" spans="1:16" x14ac:dyDescent="0.35">
      <c r="A64" t="s">
        <v>67</v>
      </c>
      <c r="B64">
        <v>4214</v>
      </c>
      <c r="C64">
        <v>26</v>
      </c>
      <c r="D64">
        <v>64</v>
      </c>
      <c r="E64">
        <v>968</v>
      </c>
      <c r="F64">
        <v>618</v>
      </c>
      <c r="K64" s="1">
        <f t="shared" si="10"/>
        <v>968</v>
      </c>
      <c r="L64" s="1" t="str">
        <f t="shared" si="2"/>
        <v>Normal</v>
      </c>
      <c r="M64" s="2">
        <f t="shared" si="3"/>
        <v>82.972136222910223</v>
      </c>
      <c r="N64" s="1" t="str">
        <f t="shared" si="4"/>
        <v>Basah</v>
      </c>
      <c r="O64" t="str">
        <f t="shared" si="5"/>
        <v>Fuzzy</v>
      </c>
      <c r="P64" t="str">
        <f t="shared" si="6"/>
        <v>Fuzzy</v>
      </c>
    </row>
    <row r="65" spans="1:16" x14ac:dyDescent="0.35">
      <c r="A65" t="s">
        <v>68</v>
      </c>
      <c r="B65">
        <v>4216</v>
      </c>
      <c r="C65">
        <v>27</v>
      </c>
      <c r="D65">
        <v>65</v>
      </c>
      <c r="E65">
        <v>831</v>
      </c>
      <c r="F65">
        <v>619</v>
      </c>
      <c r="K65" s="1">
        <f t="shared" si="10"/>
        <v>831</v>
      </c>
      <c r="L65" s="1" t="str">
        <f t="shared" si="2"/>
        <v>Normal</v>
      </c>
      <c r="M65" s="2">
        <f t="shared" si="3"/>
        <v>40.557275541795669</v>
      </c>
      <c r="N65" s="1" t="str">
        <f t="shared" si="4"/>
        <v>Lembab</v>
      </c>
      <c r="O65" t="str">
        <f t="shared" si="5"/>
        <v>Fuzzy</v>
      </c>
      <c r="P65" t="str">
        <f t="shared" si="6"/>
        <v>Fuzzy</v>
      </c>
    </row>
    <row r="66" spans="1:16" x14ac:dyDescent="0.35">
      <c r="A66" t="s">
        <v>69</v>
      </c>
      <c r="B66">
        <v>4217</v>
      </c>
      <c r="C66">
        <v>27</v>
      </c>
      <c r="D66">
        <v>63</v>
      </c>
      <c r="E66">
        <v>922</v>
      </c>
      <c r="F66">
        <v>619</v>
      </c>
      <c r="K66" s="1">
        <f t="shared" si="10"/>
        <v>922</v>
      </c>
      <c r="L66" s="1" t="str">
        <f t="shared" si="2"/>
        <v>Normal</v>
      </c>
      <c r="M66" s="2">
        <f t="shared" si="3"/>
        <v>68.730650154798766</v>
      </c>
      <c r="N66" s="1" t="str">
        <f t="shared" si="4"/>
        <v>Basah</v>
      </c>
      <c r="O66" t="str">
        <f t="shared" si="5"/>
        <v>Fuzzy</v>
      </c>
      <c r="P66" t="str">
        <f t="shared" si="6"/>
        <v>Fuzzy</v>
      </c>
    </row>
    <row r="67" spans="1:16" x14ac:dyDescent="0.35">
      <c r="A67" t="s">
        <v>70</v>
      </c>
      <c r="B67">
        <v>4219</v>
      </c>
      <c r="C67">
        <v>27</v>
      </c>
      <c r="D67">
        <v>64</v>
      </c>
      <c r="E67">
        <v>985</v>
      </c>
      <c r="F67">
        <v>619</v>
      </c>
      <c r="K67" s="1">
        <f t="shared" si="10"/>
        <v>985</v>
      </c>
      <c r="L67" s="1" t="str">
        <f t="shared" ref="L67:L130" si="11">IF(A66 &lt;= 10, "Dingin", IF(OR(A66 &gt;= 10, A66 &lt; 35), "Normal", "Panas"))</f>
        <v>Normal</v>
      </c>
      <c r="M67" s="2">
        <f t="shared" ref="M67:M130" si="12">IF(K67&lt;=300, K67/1023*100, IF(K67&lt;=700, (K67-300)/(700-301+1)*100, (K67-700)/(1023-701+1)*100))</f>
        <v>88.235294117647058</v>
      </c>
      <c r="N67" s="1" t="str">
        <f t="shared" ref="N67:N130" si="13">IF(M67&lt;=29.32, "Kering", IF(M67&lt;=68.53, "Lembab", "Basah"))</f>
        <v>Basah</v>
      </c>
      <c r="O67" t="str">
        <f t="shared" ref="O67:O130" si="14">IF(OR(AND(C67 &gt; 10, C67 &lt; 22.5), AND(C67 &gt;= 22.5, C67 &lt; 35)), "Fuzzy", "")</f>
        <v>Fuzzy</v>
      </c>
      <c r="P67" t="str">
        <f t="shared" ref="P67:P130" si="15">IF(OR(AND(M67 &gt;= 0, M67 &lt; 50), AND(M67 &gt;= 50, M67 &lt; 100)), "Fuzzy", "")</f>
        <v>Fuzzy</v>
      </c>
    </row>
    <row r="68" spans="1:16" x14ac:dyDescent="0.35">
      <c r="A68" t="s">
        <v>71</v>
      </c>
      <c r="B68">
        <v>4221</v>
      </c>
      <c r="C68">
        <v>27</v>
      </c>
      <c r="D68">
        <v>64</v>
      </c>
      <c r="E68">
        <v>994</v>
      </c>
      <c r="F68">
        <v>619</v>
      </c>
      <c r="K68" s="1">
        <f t="shared" si="10"/>
        <v>994</v>
      </c>
      <c r="L68" s="1" t="str">
        <f t="shared" si="11"/>
        <v>Normal</v>
      </c>
      <c r="M68" s="2">
        <f t="shared" si="12"/>
        <v>91.021671826625379</v>
      </c>
      <c r="N68" s="1" t="str">
        <f t="shared" si="13"/>
        <v>Basah</v>
      </c>
      <c r="O68" t="str">
        <f t="shared" si="14"/>
        <v>Fuzzy</v>
      </c>
      <c r="P68" t="str">
        <f t="shared" si="15"/>
        <v>Fuzzy</v>
      </c>
    </row>
    <row r="69" spans="1:16" x14ac:dyDescent="0.35">
      <c r="A69" t="s">
        <v>72</v>
      </c>
      <c r="B69">
        <v>4223</v>
      </c>
      <c r="C69">
        <v>27</v>
      </c>
      <c r="D69">
        <v>65</v>
      </c>
      <c r="E69">
        <v>991</v>
      </c>
      <c r="F69">
        <v>619</v>
      </c>
      <c r="K69" s="1">
        <f t="shared" si="10"/>
        <v>991</v>
      </c>
      <c r="L69" s="1" t="str">
        <f t="shared" si="11"/>
        <v>Normal</v>
      </c>
      <c r="M69" s="2">
        <f t="shared" si="12"/>
        <v>90.092879256965944</v>
      </c>
      <c r="N69" s="1" t="str">
        <f t="shared" si="13"/>
        <v>Basah</v>
      </c>
      <c r="O69" t="str">
        <f t="shared" si="14"/>
        <v>Fuzzy</v>
      </c>
      <c r="P69" t="str">
        <f t="shared" si="15"/>
        <v>Fuzzy</v>
      </c>
    </row>
    <row r="70" spans="1:16" x14ac:dyDescent="0.35">
      <c r="A70" t="s">
        <v>73</v>
      </c>
      <c r="B70">
        <v>4225</v>
      </c>
      <c r="C70">
        <v>27</v>
      </c>
      <c r="D70">
        <v>65</v>
      </c>
      <c r="E70">
        <v>990</v>
      </c>
      <c r="F70">
        <v>619</v>
      </c>
      <c r="K70" s="1">
        <f t="shared" si="10"/>
        <v>990</v>
      </c>
      <c r="L70" s="1" t="str">
        <f t="shared" si="11"/>
        <v>Normal</v>
      </c>
      <c r="M70" s="2">
        <f t="shared" si="12"/>
        <v>89.783281733746136</v>
      </c>
      <c r="N70" s="1" t="str">
        <f t="shared" si="13"/>
        <v>Basah</v>
      </c>
      <c r="O70" t="str">
        <f t="shared" si="14"/>
        <v>Fuzzy</v>
      </c>
      <c r="P70" t="str">
        <f t="shared" si="15"/>
        <v>Fuzzy</v>
      </c>
    </row>
    <row r="71" spans="1:16" x14ac:dyDescent="0.35">
      <c r="A71" t="s">
        <v>74</v>
      </c>
      <c r="B71">
        <v>4227</v>
      </c>
      <c r="C71">
        <v>27</v>
      </c>
      <c r="D71">
        <v>64</v>
      </c>
      <c r="E71">
        <v>934</v>
      </c>
      <c r="F71">
        <v>619</v>
      </c>
      <c r="K71" s="1">
        <f t="shared" ref="K71:K110" si="16">IF(E71&lt;=1023, E71, "")</f>
        <v>934</v>
      </c>
      <c r="L71" s="1" t="str">
        <f t="shared" si="11"/>
        <v>Normal</v>
      </c>
      <c r="M71" s="2">
        <f t="shared" si="12"/>
        <v>72.445820433436538</v>
      </c>
      <c r="N71" s="1" t="str">
        <f t="shared" si="13"/>
        <v>Basah</v>
      </c>
      <c r="O71" t="str">
        <f t="shared" si="14"/>
        <v>Fuzzy</v>
      </c>
      <c r="P71" t="str">
        <f t="shared" si="15"/>
        <v>Fuzzy</v>
      </c>
    </row>
    <row r="72" spans="1:16" x14ac:dyDescent="0.35">
      <c r="A72" t="s">
        <v>75</v>
      </c>
      <c r="B72">
        <v>4229</v>
      </c>
      <c r="C72">
        <v>27</v>
      </c>
      <c r="D72">
        <v>63</v>
      </c>
      <c r="E72">
        <v>924</v>
      </c>
      <c r="F72">
        <v>619</v>
      </c>
      <c r="K72" s="1">
        <f t="shared" si="16"/>
        <v>924</v>
      </c>
      <c r="L72" s="1" t="str">
        <f t="shared" si="11"/>
        <v>Normal</v>
      </c>
      <c r="M72" s="2">
        <f t="shared" si="12"/>
        <v>69.349845201238395</v>
      </c>
      <c r="N72" s="1" t="str">
        <f t="shared" si="13"/>
        <v>Basah</v>
      </c>
      <c r="O72" t="str">
        <f t="shared" si="14"/>
        <v>Fuzzy</v>
      </c>
      <c r="P72" t="str">
        <f t="shared" si="15"/>
        <v>Fuzzy</v>
      </c>
    </row>
    <row r="73" spans="1:16" x14ac:dyDescent="0.35">
      <c r="A73" t="s">
        <v>76</v>
      </c>
      <c r="B73">
        <v>4232</v>
      </c>
      <c r="C73">
        <v>27</v>
      </c>
      <c r="D73">
        <v>62</v>
      </c>
      <c r="E73">
        <v>917</v>
      </c>
      <c r="F73">
        <v>620</v>
      </c>
      <c r="K73" s="1">
        <f t="shared" si="16"/>
        <v>917</v>
      </c>
      <c r="L73" s="1" t="str">
        <f t="shared" si="11"/>
        <v>Normal</v>
      </c>
      <c r="M73" s="2">
        <f t="shared" si="12"/>
        <v>67.182662538699688</v>
      </c>
      <c r="N73" s="1" t="str">
        <f t="shared" si="13"/>
        <v>Lembab</v>
      </c>
      <c r="O73" t="str">
        <f t="shared" si="14"/>
        <v>Fuzzy</v>
      </c>
      <c r="P73" t="str">
        <f t="shared" si="15"/>
        <v>Fuzzy</v>
      </c>
    </row>
    <row r="74" spans="1:16" x14ac:dyDescent="0.35">
      <c r="A74" t="s">
        <v>77</v>
      </c>
      <c r="B74">
        <v>4233</v>
      </c>
      <c r="C74">
        <v>27</v>
      </c>
      <c r="D74">
        <v>62</v>
      </c>
      <c r="E74">
        <v>981</v>
      </c>
      <c r="F74">
        <v>619</v>
      </c>
      <c r="K74" s="1">
        <f t="shared" si="16"/>
        <v>981</v>
      </c>
      <c r="L74" s="1" t="str">
        <f t="shared" si="11"/>
        <v>Normal</v>
      </c>
      <c r="M74" s="2">
        <f t="shared" si="12"/>
        <v>86.996904024767801</v>
      </c>
      <c r="N74" s="1" t="str">
        <f t="shared" si="13"/>
        <v>Basah</v>
      </c>
      <c r="O74" t="str">
        <f t="shared" si="14"/>
        <v>Fuzzy</v>
      </c>
      <c r="P74" t="str">
        <f t="shared" si="15"/>
        <v>Fuzzy</v>
      </c>
    </row>
    <row r="75" spans="1:16" x14ac:dyDescent="0.35">
      <c r="A75" t="s">
        <v>78</v>
      </c>
      <c r="B75">
        <v>4236</v>
      </c>
      <c r="C75">
        <v>27</v>
      </c>
      <c r="D75">
        <v>63</v>
      </c>
      <c r="E75">
        <v>979</v>
      </c>
      <c r="F75">
        <v>619</v>
      </c>
      <c r="K75" s="1">
        <f t="shared" si="16"/>
        <v>979</v>
      </c>
      <c r="L75" s="1" t="str">
        <f t="shared" si="11"/>
        <v>Normal</v>
      </c>
      <c r="M75" s="2">
        <f t="shared" si="12"/>
        <v>86.377708978328172</v>
      </c>
      <c r="N75" s="1" t="str">
        <f t="shared" si="13"/>
        <v>Basah</v>
      </c>
      <c r="O75" t="str">
        <f t="shared" si="14"/>
        <v>Fuzzy</v>
      </c>
      <c r="P75" t="str">
        <f t="shared" si="15"/>
        <v>Fuzzy</v>
      </c>
    </row>
    <row r="76" spans="1:16" x14ac:dyDescent="0.35">
      <c r="A76" t="s">
        <v>79</v>
      </c>
      <c r="B76">
        <v>4237</v>
      </c>
      <c r="C76">
        <v>27</v>
      </c>
      <c r="D76">
        <v>62</v>
      </c>
      <c r="E76">
        <v>992</v>
      </c>
      <c r="F76">
        <v>619</v>
      </c>
      <c r="K76" s="1">
        <f t="shared" si="16"/>
        <v>992</v>
      </c>
      <c r="L76" s="1" t="str">
        <f t="shared" si="11"/>
        <v>Normal</v>
      </c>
      <c r="M76" s="2">
        <f t="shared" si="12"/>
        <v>90.402476780185765</v>
      </c>
      <c r="N76" s="1" t="str">
        <f t="shared" si="13"/>
        <v>Basah</v>
      </c>
      <c r="O76" t="str">
        <f t="shared" si="14"/>
        <v>Fuzzy</v>
      </c>
      <c r="P76" t="str">
        <f t="shared" si="15"/>
        <v>Fuzzy</v>
      </c>
    </row>
    <row r="77" spans="1:16" x14ac:dyDescent="0.35">
      <c r="A77" t="s">
        <v>80</v>
      </c>
      <c r="B77">
        <v>4238</v>
      </c>
      <c r="C77">
        <v>27</v>
      </c>
      <c r="D77">
        <v>63</v>
      </c>
      <c r="E77">
        <v>974</v>
      </c>
      <c r="F77">
        <v>619</v>
      </c>
      <c r="K77" s="1">
        <f t="shared" si="16"/>
        <v>974</v>
      </c>
      <c r="L77" s="1" t="str">
        <f t="shared" si="11"/>
        <v>Normal</v>
      </c>
      <c r="M77" s="2">
        <f t="shared" si="12"/>
        <v>84.829721362229108</v>
      </c>
      <c r="N77" s="1" t="str">
        <f t="shared" si="13"/>
        <v>Basah</v>
      </c>
      <c r="O77" t="str">
        <f t="shared" si="14"/>
        <v>Fuzzy</v>
      </c>
      <c r="P77" t="str">
        <f t="shared" si="15"/>
        <v>Fuzzy</v>
      </c>
    </row>
    <row r="78" spans="1:16" x14ac:dyDescent="0.35">
      <c r="A78" t="s">
        <v>81</v>
      </c>
      <c r="B78">
        <v>4239</v>
      </c>
      <c r="C78">
        <v>27</v>
      </c>
      <c r="D78">
        <v>64</v>
      </c>
      <c r="E78">
        <v>972</v>
      </c>
      <c r="F78">
        <v>618</v>
      </c>
      <c r="K78" s="1">
        <f t="shared" si="16"/>
        <v>972</v>
      </c>
      <c r="L78" s="1" t="str">
        <f t="shared" si="11"/>
        <v>Normal</v>
      </c>
      <c r="M78" s="2">
        <f t="shared" si="12"/>
        <v>84.210526315789465</v>
      </c>
      <c r="N78" s="1" t="str">
        <f t="shared" si="13"/>
        <v>Basah</v>
      </c>
      <c r="O78" t="str">
        <f t="shared" si="14"/>
        <v>Fuzzy</v>
      </c>
      <c r="P78" t="str">
        <f t="shared" si="15"/>
        <v>Fuzzy</v>
      </c>
    </row>
    <row r="79" spans="1:16" x14ac:dyDescent="0.35">
      <c r="A79" t="s">
        <v>82</v>
      </c>
      <c r="B79">
        <v>4240</v>
      </c>
      <c r="C79">
        <v>27</v>
      </c>
      <c r="D79">
        <v>63</v>
      </c>
      <c r="E79">
        <v>850</v>
      </c>
      <c r="F79">
        <v>618</v>
      </c>
      <c r="K79" s="1">
        <f t="shared" si="16"/>
        <v>850</v>
      </c>
      <c r="L79" s="1" t="str">
        <f t="shared" si="11"/>
        <v>Normal</v>
      </c>
      <c r="M79" s="2">
        <f t="shared" si="12"/>
        <v>46.439628482972132</v>
      </c>
      <c r="N79" s="1" t="str">
        <f t="shared" si="13"/>
        <v>Lembab</v>
      </c>
      <c r="O79" t="str">
        <f t="shared" si="14"/>
        <v>Fuzzy</v>
      </c>
      <c r="P79" t="str">
        <f t="shared" si="15"/>
        <v>Fuzzy</v>
      </c>
    </row>
    <row r="80" spans="1:16" x14ac:dyDescent="0.35">
      <c r="A80" t="s">
        <v>83</v>
      </c>
      <c r="B80">
        <v>4241</v>
      </c>
      <c r="C80">
        <v>27</v>
      </c>
      <c r="D80">
        <v>63</v>
      </c>
      <c r="E80">
        <v>981</v>
      </c>
      <c r="F80">
        <v>619</v>
      </c>
      <c r="K80" s="1">
        <f t="shared" si="16"/>
        <v>981</v>
      </c>
      <c r="L80" s="1" t="str">
        <f t="shared" si="11"/>
        <v>Normal</v>
      </c>
      <c r="M80" s="2">
        <f t="shared" si="12"/>
        <v>86.996904024767801</v>
      </c>
      <c r="N80" s="1" t="str">
        <f t="shared" si="13"/>
        <v>Basah</v>
      </c>
      <c r="O80" t="str">
        <f t="shared" si="14"/>
        <v>Fuzzy</v>
      </c>
      <c r="P80" t="str">
        <f t="shared" si="15"/>
        <v>Fuzzy</v>
      </c>
    </row>
    <row r="81" spans="1:16" x14ac:dyDescent="0.35">
      <c r="A81" t="s">
        <v>84</v>
      </c>
      <c r="B81">
        <v>4242</v>
      </c>
      <c r="C81">
        <v>27</v>
      </c>
      <c r="D81">
        <v>64</v>
      </c>
      <c r="E81">
        <v>1016</v>
      </c>
      <c r="F81">
        <v>619</v>
      </c>
      <c r="K81" s="1">
        <f t="shared" si="16"/>
        <v>1016</v>
      </c>
      <c r="L81" s="1" t="str">
        <f t="shared" si="11"/>
        <v>Normal</v>
      </c>
      <c r="M81" s="2">
        <f t="shared" si="12"/>
        <v>97.832817337461293</v>
      </c>
      <c r="N81" s="1" t="str">
        <f t="shared" si="13"/>
        <v>Basah</v>
      </c>
      <c r="O81" t="str">
        <f t="shared" si="14"/>
        <v>Fuzzy</v>
      </c>
      <c r="P81" t="str">
        <f t="shared" si="15"/>
        <v>Fuzzy</v>
      </c>
    </row>
    <row r="82" spans="1:16" x14ac:dyDescent="0.35">
      <c r="A82" t="s">
        <v>85</v>
      </c>
      <c r="B82">
        <v>4243</v>
      </c>
      <c r="C82">
        <v>27</v>
      </c>
      <c r="D82">
        <v>62</v>
      </c>
      <c r="E82">
        <v>938</v>
      </c>
      <c r="F82">
        <v>619</v>
      </c>
      <c r="K82" s="1">
        <f t="shared" si="16"/>
        <v>938</v>
      </c>
      <c r="L82" s="1" t="str">
        <f t="shared" si="11"/>
        <v>Normal</v>
      </c>
      <c r="M82" s="2">
        <f t="shared" si="12"/>
        <v>73.68421052631578</v>
      </c>
      <c r="N82" s="1" t="str">
        <f t="shared" si="13"/>
        <v>Basah</v>
      </c>
      <c r="O82" t="str">
        <f t="shared" si="14"/>
        <v>Fuzzy</v>
      </c>
      <c r="P82" t="str">
        <f t="shared" si="15"/>
        <v>Fuzzy</v>
      </c>
    </row>
    <row r="83" spans="1:16" x14ac:dyDescent="0.35">
      <c r="A83" t="s">
        <v>86</v>
      </c>
      <c r="B83">
        <v>4244</v>
      </c>
      <c r="C83">
        <v>27</v>
      </c>
      <c r="D83">
        <v>62</v>
      </c>
      <c r="E83">
        <v>1022</v>
      </c>
      <c r="F83">
        <v>620</v>
      </c>
      <c r="K83" s="1">
        <f t="shared" si="16"/>
        <v>1022</v>
      </c>
      <c r="L83" s="1" t="str">
        <f t="shared" si="11"/>
        <v>Normal</v>
      </c>
      <c r="M83" s="2">
        <f t="shared" si="12"/>
        <v>99.690402476780179</v>
      </c>
      <c r="N83" s="1" t="str">
        <f t="shared" si="13"/>
        <v>Basah</v>
      </c>
      <c r="O83" t="str">
        <f t="shared" si="14"/>
        <v>Fuzzy</v>
      </c>
      <c r="P83" t="str">
        <f t="shared" si="15"/>
        <v>Fuzzy</v>
      </c>
    </row>
    <row r="84" spans="1:16" x14ac:dyDescent="0.35">
      <c r="A84" t="s">
        <v>87</v>
      </c>
      <c r="B84">
        <v>4246</v>
      </c>
      <c r="C84">
        <v>27</v>
      </c>
      <c r="D84">
        <v>62</v>
      </c>
      <c r="E84">
        <v>901</v>
      </c>
      <c r="F84">
        <v>619</v>
      </c>
      <c r="K84" s="1">
        <f t="shared" si="16"/>
        <v>901</v>
      </c>
      <c r="L84" s="1" t="str">
        <f t="shared" si="11"/>
        <v>Normal</v>
      </c>
      <c r="M84" s="2">
        <f t="shared" si="12"/>
        <v>62.22910216718266</v>
      </c>
      <c r="N84" s="1" t="str">
        <f t="shared" si="13"/>
        <v>Lembab</v>
      </c>
      <c r="O84" t="str">
        <f t="shared" si="14"/>
        <v>Fuzzy</v>
      </c>
      <c r="P84" t="str">
        <f t="shared" si="15"/>
        <v>Fuzzy</v>
      </c>
    </row>
    <row r="85" spans="1:16" x14ac:dyDescent="0.35">
      <c r="A85" t="s">
        <v>88</v>
      </c>
      <c r="B85">
        <v>4248</v>
      </c>
      <c r="C85">
        <v>27</v>
      </c>
      <c r="D85">
        <v>63</v>
      </c>
      <c r="E85">
        <v>974</v>
      </c>
      <c r="F85">
        <v>619</v>
      </c>
      <c r="K85" s="1">
        <f t="shared" si="16"/>
        <v>974</v>
      </c>
      <c r="L85" s="1" t="str">
        <f t="shared" si="11"/>
        <v>Normal</v>
      </c>
      <c r="M85" s="2">
        <f t="shared" si="12"/>
        <v>84.829721362229108</v>
      </c>
      <c r="N85" s="1" t="str">
        <f t="shared" si="13"/>
        <v>Basah</v>
      </c>
      <c r="O85" t="str">
        <f t="shared" si="14"/>
        <v>Fuzzy</v>
      </c>
      <c r="P85" t="str">
        <f t="shared" si="15"/>
        <v>Fuzzy</v>
      </c>
    </row>
    <row r="86" spans="1:16" x14ac:dyDescent="0.35">
      <c r="A86" t="s">
        <v>89</v>
      </c>
      <c r="B86">
        <v>4249</v>
      </c>
      <c r="C86">
        <v>27</v>
      </c>
      <c r="D86">
        <v>63</v>
      </c>
      <c r="E86">
        <v>959</v>
      </c>
      <c r="F86">
        <v>619</v>
      </c>
      <c r="K86" s="1">
        <f t="shared" si="16"/>
        <v>959</v>
      </c>
      <c r="L86" s="1" t="str">
        <f t="shared" si="11"/>
        <v>Normal</v>
      </c>
      <c r="M86" s="2">
        <f t="shared" si="12"/>
        <v>80.185758513931887</v>
      </c>
      <c r="N86" s="1" t="str">
        <f t="shared" si="13"/>
        <v>Basah</v>
      </c>
      <c r="O86" t="str">
        <f t="shared" si="14"/>
        <v>Fuzzy</v>
      </c>
      <c r="P86" t="str">
        <f t="shared" si="15"/>
        <v>Fuzzy</v>
      </c>
    </row>
    <row r="87" spans="1:16" x14ac:dyDescent="0.35">
      <c r="A87" t="s">
        <v>90</v>
      </c>
      <c r="B87">
        <v>4254</v>
      </c>
      <c r="C87" s="3">
        <v>28</v>
      </c>
      <c r="D87">
        <v>68</v>
      </c>
      <c r="E87">
        <v>983</v>
      </c>
      <c r="F87">
        <v>621</v>
      </c>
      <c r="K87" s="1">
        <f t="shared" si="16"/>
        <v>983</v>
      </c>
      <c r="L87" s="1" t="str">
        <f t="shared" si="11"/>
        <v>Normal</v>
      </c>
      <c r="M87" s="2">
        <f t="shared" si="12"/>
        <v>87.616099071207429</v>
      </c>
      <c r="N87" s="1" t="str">
        <f t="shared" si="13"/>
        <v>Basah</v>
      </c>
      <c r="O87" t="str">
        <f t="shared" si="14"/>
        <v>Fuzzy</v>
      </c>
      <c r="P87" t="str">
        <f t="shared" si="15"/>
        <v>Fuzzy</v>
      </c>
    </row>
    <row r="88" spans="1:16" x14ac:dyDescent="0.35">
      <c r="A88" t="s">
        <v>91</v>
      </c>
      <c r="B88">
        <v>4256</v>
      </c>
      <c r="C88">
        <v>28</v>
      </c>
      <c r="D88">
        <v>68</v>
      </c>
      <c r="E88">
        <v>961</v>
      </c>
      <c r="F88">
        <v>621</v>
      </c>
      <c r="K88" s="1">
        <f t="shared" si="16"/>
        <v>961</v>
      </c>
      <c r="L88" s="1" t="str">
        <f t="shared" si="11"/>
        <v>Normal</v>
      </c>
      <c r="M88" s="2">
        <f t="shared" si="12"/>
        <v>80.804953560371516</v>
      </c>
      <c r="N88" s="1" t="str">
        <f t="shared" si="13"/>
        <v>Basah</v>
      </c>
      <c r="O88" t="str">
        <f t="shared" si="14"/>
        <v>Fuzzy</v>
      </c>
      <c r="P88" t="str">
        <f t="shared" si="15"/>
        <v>Fuzzy</v>
      </c>
    </row>
    <row r="89" spans="1:16" x14ac:dyDescent="0.35">
      <c r="A89" t="s">
        <v>92</v>
      </c>
      <c r="B89">
        <v>4257</v>
      </c>
      <c r="C89">
        <v>28</v>
      </c>
      <c r="D89">
        <v>68</v>
      </c>
      <c r="E89">
        <v>895</v>
      </c>
      <c r="F89">
        <v>621</v>
      </c>
      <c r="K89" s="1">
        <f t="shared" si="16"/>
        <v>895</v>
      </c>
      <c r="L89" s="1" t="str">
        <f t="shared" si="11"/>
        <v>Normal</v>
      </c>
      <c r="M89" s="2">
        <f t="shared" si="12"/>
        <v>60.371517027863774</v>
      </c>
      <c r="N89" s="1" t="str">
        <f t="shared" si="13"/>
        <v>Lembab</v>
      </c>
      <c r="O89" t="str">
        <f t="shared" si="14"/>
        <v>Fuzzy</v>
      </c>
      <c r="P89" t="str">
        <f t="shared" si="15"/>
        <v>Fuzzy</v>
      </c>
    </row>
    <row r="90" spans="1:16" x14ac:dyDescent="0.35">
      <c r="A90" t="s">
        <v>93</v>
      </c>
      <c r="B90">
        <v>4258</v>
      </c>
      <c r="C90">
        <v>28</v>
      </c>
      <c r="D90">
        <v>69</v>
      </c>
      <c r="E90">
        <v>983</v>
      </c>
      <c r="F90">
        <v>621</v>
      </c>
      <c r="K90" s="1">
        <f t="shared" si="16"/>
        <v>983</v>
      </c>
      <c r="L90" s="1" t="str">
        <f t="shared" si="11"/>
        <v>Normal</v>
      </c>
      <c r="M90" s="2">
        <f t="shared" si="12"/>
        <v>87.616099071207429</v>
      </c>
      <c r="N90" s="1" t="str">
        <f t="shared" si="13"/>
        <v>Basah</v>
      </c>
      <c r="O90" t="str">
        <f t="shared" si="14"/>
        <v>Fuzzy</v>
      </c>
      <c r="P90" t="str">
        <f t="shared" si="15"/>
        <v>Fuzzy</v>
      </c>
    </row>
    <row r="91" spans="1:16" x14ac:dyDescent="0.35">
      <c r="A91" t="s">
        <v>94</v>
      </c>
      <c r="B91">
        <v>4259</v>
      </c>
      <c r="C91">
        <v>28</v>
      </c>
      <c r="D91">
        <v>68</v>
      </c>
      <c r="E91">
        <v>1012</v>
      </c>
      <c r="F91">
        <v>621</v>
      </c>
      <c r="K91" s="1">
        <f t="shared" si="16"/>
        <v>1012</v>
      </c>
      <c r="L91" s="1" t="str">
        <f t="shared" si="11"/>
        <v>Normal</v>
      </c>
      <c r="M91" s="2">
        <f t="shared" si="12"/>
        <v>96.59442724458205</v>
      </c>
      <c r="N91" s="1" t="str">
        <f t="shared" si="13"/>
        <v>Basah</v>
      </c>
      <c r="O91" t="str">
        <f t="shared" si="14"/>
        <v>Fuzzy</v>
      </c>
      <c r="P91" t="str">
        <f t="shared" si="15"/>
        <v>Fuzzy</v>
      </c>
    </row>
    <row r="92" spans="1:16" x14ac:dyDescent="0.35">
      <c r="A92" t="s">
        <v>95</v>
      </c>
      <c r="B92">
        <v>4260</v>
      </c>
      <c r="C92">
        <v>28</v>
      </c>
      <c r="D92">
        <v>69</v>
      </c>
      <c r="E92">
        <v>1021</v>
      </c>
      <c r="F92">
        <v>621</v>
      </c>
      <c r="K92" s="1">
        <f t="shared" si="16"/>
        <v>1021</v>
      </c>
      <c r="L92" s="1" t="str">
        <f t="shared" si="11"/>
        <v>Normal</v>
      </c>
      <c r="M92" s="2">
        <f t="shared" si="12"/>
        <v>99.380804953560371</v>
      </c>
      <c r="N92" s="1" t="str">
        <f t="shared" si="13"/>
        <v>Basah</v>
      </c>
      <c r="O92" t="str">
        <f t="shared" si="14"/>
        <v>Fuzzy</v>
      </c>
      <c r="P92" t="str">
        <f t="shared" si="15"/>
        <v>Fuzzy</v>
      </c>
    </row>
    <row r="93" spans="1:16" x14ac:dyDescent="0.35">
      <c r="A93" t="s">
        <v>96</v>
      </c>
      <c r="B93">
        <v>4264</v>
      </c>
      <c r="C93">
        <v>28</v>
      </c>
      <c r="D93">
        <v>66</v>
      </c>
      <c r="E93">
        <v>990</v>
      </c>
      <c r="F93">
        <v>621</v>
      </c>
      <c r="K93" s="1">
        <f t="shared" si="16"/>
        <v>990</v>
      </c>
      <c r="L93" s="1" t="str">
        <f t="shared" si="11"/>
        <v>Normal</v>
      </c>
      <c r="M93" s="2">
        <f t="shared" si="12"/>
        <v>89.783281733746136</v>
      </c>
      <c r="N93" s="1" t="str">
        <f t="shared" si="13"/>
        <v>Basah</v>
      </c>
      <c r="O93" t="str">
        <f t="shared" si="14"/>
        <v>Fuzzy</v>
      </c>
      <c r="P93" t="str">
        <f t="shared" si="15"/>
        <v>Fuzzy</v>
      </c>
    </row>
    <row r="94" spans="1:16" x14ac:dyDescent="0.35">
      <c r="A94" t="s">
        <v>97</v>
      </c>
      <c r="B94">
        <v>4265</v>
      </c>
      <c r="C94">
        <v>28</v>
      </c>
      <c r="D94">
        <v>66</v>
      </c>
      <c r="E94">
        <v>982</v>
      </c>
      <c r="F94">
        <v>621</v>
      </c>
      <c r="K94" s="1">
        <f t="shared" si="16"/>
        <v>982</v>
      </c>
      <c r="L94" s="1" t="str">
        <f t="shared" si="11"/>
        <v>Normal</v>
      </c>
      <c r="M94" s="2">
        <f t="shared" si="12"/>
        <v>87.306501547987608</v>
      </c>
      <c r="N94" s="1" t="str">
        <f t="shared" si="13"/>
        <v>Basah</v>
      </c>
      <c r="O94" t="str">
        <f t="shared" si="14"/>
        <v>Fuzzy</v>
      </c>
      <c r="P94" t="str">
        <f t="shared" si="15"/>
        <v>Fuzzy</v>
      </c>
    </row>
    <row r="95" spans="1:16" x14ac:dyDescent="0.35">
      <c r="A95" t="s">
        <v>98</v>
      </c>
      <c r="B95">
        <v>4266</v>
      </c>
      <c r="C95">
        <v>28</v>
      </c>
      <c r="D95">
        <v>66</v>
      </c>
      <c r="E95">
        <v>935</v>
      </c>
      <c r="F95">
        <v>621</v>
      </c>
      <c r="K95" s="1">
        <f t="shared" si="16"/>
        <v>935</v>
      </c>
      <c r="L95" s="1" t="str">
        <f t="shared" si="11"/>
        <v>Normal</v>
      </c>
      <c r="M95" s="2">
        <f t="shared" si="12"/>
        <v>72.755417956656345</v>
      </c>
      <c r="N95" s="1" t="str">
        <f t="shared" si="13"/>
        <v>Basah</v>
      </c>
      <c r="O95" t="str">
        <f t="shared" si="14"/>
        <v>Fuzzy</v>
      </c>
      <c r="P95" t="str">
        <f t="shared" si="15"/>
        <v>Fuzzy</v>
      </c>
    </row>
    <row r="96" spans="1:16" x14ac:dyDescent="0.35">
      <c r="A96" t="s">
        <v>99</v>
      </c>
      <c r="B96">
        <v>4267</v>
      </c>
      <c r="C96">
        <v>28</v>
      </c>
      <c r="D96">
        <v>66</v>
      </c>
      <c r="E96">
        <v>915</v>
      </c>
      <c r="F96">
        <v>621</v>
      </c>
      <c r="K96" s="1">
        <f t="shared" si="16"/>
        <v>915</v>
      </c>
      <c r="L96" s="1" t="str">
        <f t="shared" si="11"/>
        <v>Normal</v>
      </c>
      <c r="M96" s="2">
        <f t="shared" si="12"/>
        <v>66.56346749226006</v>
      </c>
      <c r="N96" s="1" t="str">
        <f t="shared" si="13"/>
        <v>Lembab</v>
      </c>
      <c r="O96" t="str">
        <f t="shared" si="14"/>
        <v>Fuzzy</v>
      </c>
      <c r="P96" t="str">
        <f t="shared" si="15"/>
        <v>Fuzzy</v>
      </c>
    </row>
    <row r="97" spans="1:16" x14ac:dyDescent="0.35">
      <c r="A97" t="s">
        <v>100</v>
      </c>
      <c r="B97">
        <v>4269</v>
      </c>
      <c r="C97">
        <v>28</v>
      </c>
      <c r="D97">
        <v>68</v>
      </c>
      <c r="E97">
        <v>840</v>
      </c>
      <c r="F97">
        <v>621</v>
      </c>
      <c r="K97" s="1">
        <f t="shared" si="16"/>
        <v>840</v>
      </c>
      <c r="L97" s="1" t="str">
        <f t="shared" si="11"/>
        <v>Normal</v>
      </c>
      <c r="M97" s="2">
        <f t="shared" si="12"/>
        <v>43.343653250773997</v>
      </c>
      <c r="N97" s="1" t="str">
        <f t="shared" si="13"/>
        <v>Lembab</v>
      </c>
      <c r="O97" t="str">
        <f t="shared" si="14"/>
        <v>Fuzzy</v>
      </c>
      <c r="P97" t="str">
        <f t="shared" si="15"/>
        <v>Fuzzy</v>
      </c>
    </row>
    <row r="98" spans="1:16" x14ac:dyDescent="0.35">
      <c r="A98" t="s">
        <v>101</v>
      </c>
      <c r="B98">
        <v>4270</v>
      </c>
      <c r="C98">
        <v>28</v>
      </c>
      <c r="D98">
        <v>68</v>
      </c>
      <c r="E98">
        <v>1003</v>
      </c>
      <c r="F98">
        <v>621</v>
      </c>
      <c r="K98" s="1">
        <f t="shared" si="16"/>
        <v>1003</v>
      </c>
      <c r="L98" s="1" t="str">
        <f t="shared" si="11"/>
        <v>Normal</v>
      </c>
      <c r="M98" s="2">
        <f t="shared" si="12"/>
        <v>93.808049535603715</v>
      </c>
      <c r="N98" s="1" t="str">
        <f t="shared" si="13"/>
        <v>Basah</v>
      </c>
      <c r="O98" t="str">
        <f t="shared" si="14"/>
        <v>Fuzzy</v>
      </c>
      <c r="P98" t="str">
        <f t="shared" si="15"/>
        <v>Fuzzy</v>
      </c>
    </row>
    <row r="99" spans="1:16" x14ac:dyDescent="0.35">
      <c r="A99" t="s">
        <v>102</v>
      </c>
      <c r="B99">
        <v>4273</v>
      </c>
      <c r="C99">
        <v>28</v>
      </c>
      <c r="D99">
        <v>66</v>
      </c>
      <c r="E99">
        <v>945</v>
      </c>
      <c r="F99">
        <v>621</v>
      </c>
      <c r="K99" s="1">
        <f t="shared" si="16"/>
        <v>945</v>
      </c>
      <c r="L99" s="1" t="str">
        <f t="shared" si="11"/>
        <v>Normal</v>
      </c>
      <c r="M99" s="2">
        <f t="shared" si="12"/>
        <v>75.851393188854487</v>
      </c>
      <c r="N99" s="1" t="str">
        <f t="shared" si="13"/>
        <v>Basah</v>
      </c>
      <c r="O99" t="str">
        <f t="shared" si="14"/>
        <v>Fuzzy</v>
      </c>
      <c r="P99" t="str">
        <f t="shared" si="15"/>
        <v>Fuzzy</v>
      </c>
    </row>
    <row r="100" spans="1:16" x14ac:dyDescent="0.35">
      <c r="A100" t="s">
        <v>103</v>
      </c>
      <c r="B100">
        <v>4274</v>
      </c>
      <c r="C100">
        <v>28</v>
      </c>
      <c r="D100">
        <v>65</v>
      </c>
      <c r="E100">
        <v>961</v>
      </c>
      <c r="F100">
        <v>621</v>
      </c>
      <c r="K100" s="1">
        <f t="shared" si="16"/>
        <v>961</v>
      </c>
      <c r="L100" s="1" t="str">
        <f t="shared" si="11"/>
        <v>Normal</v>
      </c>
      <c r="M100" s="2">
        <f t="shared" si="12"/>
        <v>80.804953560371516</v>
      </c>
      <c r="N100" s="1" t="str">
        <f t="shared" si="13"/>
        <v>Basah</v>
      </c>
      <c r="O100" t="str">
        <f t="shared" si="14"/>
        <v>Fuzzy</v>
      </c>
      <c r="P100" t="str">
        <f t="shared" si="15"/>
        <v>Fuzzy</v>
      </c>
    </row>
    <row r="101" spans="1:16" x14ac:dyDescent="0.35">
      <c r="A101" t="s">
        <v>104</v>
      </c>
      <c r="B101">
        <v>4275</v>
      </c>
      <c r="C101">
        <v>28</v>
      </c>
      <c r="D101">
        <v>65</v>
      </c>
      <c r="E101">
        <v>895</v>
      </c>
      <c r="F101">
        <v>621</v>
      </c>
      <c r="K101" s="1">
        <f t="shared" si="16"/>
        <v>895</v>
      </c>
      <c r="L101" s="1" t="str">
        <f t="shared" si="11"/>
        <v>Normal</v>
      </c>
      <c r="M101" s="2">
        <f t="shared" si="12"/>
        <v>60.371517027863774</v>
      </c>
      <c r="N101" s="1" t="str">
        <f t="shared" si="13"/>
        <v>Lembab</v>
      </c>
      <c r="O101" t="str">
        <f t="shared" si="14"/>
        <v>Fuzzy</v>
      </c>
      <c r="P101" t="str">
        <f t="shared" si="15"/>
        <v>Fuzzy</v>
      </c>
    </row>
    <row r="102" spans="1:16" x14ac:dyDescent="0.35">
      <c r="A102" t="s">
        <v>105</v>
      </c>
      <c r="B102">
        <v>4276</v>
      </c>
      <c r="C102">
        <v>28</v>
      </c>
      <c r="D102">
        <v>65</v>
      </c>
      <c r="E102">
        <v>961</v>
      </c>
      <c r="F102">
        <v>621</v>
      </c>
      <c r="K102" s="1">
        <f t="shared" si="16"/>
        <v>961</v>
      </c>
      <c r="L102" s="1" t="str">
        <f t="shared" si="11"/>
        <v>Normal</v>
      </c>
      <c r="M102" s="2">
        <f t="shared" si="12"/>
        <v>80.804953560371516</v>
      </c>
      <c r="N102" s="1" t="str">
        <f t="shared" si="13"/>
        <v>Basah</v>
      </c>
      <c r="O102" t="str">
        <f t="shared" si="14"/>
        <v>Fuzzy</v>
      </c>
      <c r="P102" t="str">
        <f t="shared" si="15"/>
        <v>Fuzzy</v>
      </c>
    </row>
    <row r="103" spans="1:16" x14ac:dyDescent="0.35">
      <c r="A103" t="s">
        <v>106</v>
      </c>
      <c r="B103">
        <v>4277</v>
      </c>
      <c r="C103">
        <v>28</v>
      </c>
      <c r="D103">
        <v>65</v>
      </c>
      <c r="E103">
        <v>986</v>
      </c>
      <c r="F103">
        <v>621</v>
      </c>
      <c r="K103" s="1">
        <f t="shared" si="16"/>
        <v>986</v>
      </c>
      <c r="L103" s="1" t="str">
        <f t="shared" si="11"/>
        <v>Normal</v>
      </c>
      <c r="M103" s="2">
        <f t="shared" si="12"/>
        <v>88.544891640866879</v>
      </c>
      <c r="N103" s="1" t="str">
        <f t="shared" si="13"/>
        <v>Basah</v>
      </c>
      <c r="O103" t="str">
        <f t="shared" si="14"/>
        <v>Fuzzy</v>
      </c>
      <c r="P103" t="str">
        <f t="shared" si="15"/>
        <v>Fuzzy</v>
      </c>
    </row>
    <row r="104" spans="1:16" x14ac:dyDescent="0.35">
      <c r="A104" t="s">
        <v>107</v>
      </c>
      <c r="B104">
        <v>4278</v>
      </c>
      <c r="C104">
        <v>28</v>
      </c>
      <c r="D104">
        <v>66</v>
      </c>
      <c r="E104">
        <v>982</v>
      </c>
      <c r="F104">
        <v>621</v>
      </c>
      <c r="K104" s="1">
        <f t="shared" si="16"/>
        <v>982</v>
      </c>
      <c r="L104" s="1" t="str">
        <f t="shared" si="11"/>
        <v>Normal</v>
      </c>
      <c r="M104" s="2">
        <f t="shared" si="12"/>
        <v>87.306501547987608</v>
      </c>
      <c r="N104" s="1" t="str">
        <f t="shared" si="13"/>
        <v>Basah</v>
      </c>
      <c r="O104" t="str">
        <f t="shared" si="14"/>
        <v>Fuzzy</v>
      </c>
      <c r="P104" t="str">
        <f t="shared" si="15"/>
        <v>Fuzzy</v>
      </c>
    </row>
    <row r="105" spans="1:16" x14ac:dyDescent="0.35">
      <c r="A105" t="s">
        <v>108</v>
      </c>
      <c r="B105">
        <v>4280</v>
      </c>
      <c r="C105">
        <v>28</v>
      </c>
      <c r="D105">
        <v>66</v>
      </c>
      <c r="E105">
        <v>994</v>
      </c>
      <c r="F105">
        <v>622</v>
      </c>
      <c r="K105" s="1">
        <f t="shared" si="16"/>
        <v>994</v>
      </c>
      <c r="L105" s="1" t="str">
        <f t="shared" si="11"/>
        <v>Normal</v>
      </c>
      <c r="M105" s="2">
        <f t="shared" si="12"/>
        <v>91.021671826625379</v>
      </c>
      <c r="N105" s="1" t="str">
        <f t="shared" si="13"/>
        <v>Basah</v>
      </c>
      <c r="O105" t="str">
        <f t="shared" si="14"/>
        <v>Fuzzy</v>
      </c>
      <c r="P105" t="str">
        <f t="shared" si="15"/>
        <v>Fuzzy</v>
      </c>
    </row>
    <row r="106" spans="1:16" x14ac:dyDescent="0.35">
      <c r="A106" t="s">
        <v>109</v>
      </c>
      <c r="B106">
        <v>4282</v>
      </c>
      <c r="C106">
        <v>28</v>
      </c>
      <c r="D106">
        <v>65</v>
      </c>
      <c r="E106">
        <v>928</v>
      </c>
      <c r="F106">
        <v>621</v>
      </c>
      <c r="K106" s="1">
        <f t="shared" si="16"/>
        <v>928</v>
      </c>
      <c r="L106" s="1" t="str">
        <f t="shared" si="11"/>
        <v>Normal</v>
      </c>
      <c r="M106" s="2">
        <f t="shared" si="12"/>
        <v>70.588235294117652</v>
      </c>
      <c r="N106" s="1" t="str">
        <f t="shared" si="13"/>
        <v>Basah</v>
      </c>
      <c r="O106" t="str">
        <f t="shared" si="14"/>
        <v>Fuzzy</v>
      </c>
      <c r="P106" t="str">
        <f t="shared" si="15"/>
        <v>Fuzzy</v>
      </c>
    </row>
    <row r="107" spans="1:16" x14ac:dyDescent="0.35">
      <c r="A107" t="s">
        <v>110</v>
      </c>
      <c r="B107">
        <v>4283</v>
      </c>
      <c r="C107">
        <v>28</v>
      </c>
      <c r="D107">
        <v>65</v>
      </c>
      <c r="E107">
        <v>1019</v>
      </c>
      <c r="F107">
        <v>621</v>
      </c>
      <c r="K107" s="1">
        <f t="shared" si="16"/>
        <v>1019</v>
      </c>
      <c r="L107" s="1" t="str">
        <f t="shared" si="11"/>
        <v>Normal</v>
      </c>
      <c r="M107" s="2">
        <f t="shared" si="12"/>
        <v>98.761609907120743</v>
      </c>
      <c r="N107" s="1" t="str">
        <f t="shared" si="13"/>
        <v>Basah</v>
      </c>
      <c r="O107" t="str">
        <f t="shared" si="14"/>
        <v>Fuzzy</v>
      </c>
      <c r="P107" t="str">
        <f t="shared" si="15"/>
        <v>Fuzzy</v>
      </c>
    </row>
    <row r="108" spans="1:16" x14ac:dyDescent="0.35">
      <c r="A108" t="s">
        <v>111</v>
      </c>
      <c r="B108">
        <v>4284</v>
      </c>
      <c r="C108">
        <v>28</v>
      </c>
      <c r="D108">
        <v>66</v>
      </c>
      <c r="E108">
        <v>971</v>
      </c>
      <c r="F108">
        <v>622</v>
      </c>
      <c r="K108" s="1">
        <f t="shared" si="16"/>
        <v>971</v>
      </c>
      <c r="L108" s="1" t="str">
        <f t="shared" si="11"/>
        <v>Normal</v>
      </c>
      <c r="M108" s="2">
        <f t="shared" si="12"/>
        <v>83.900928792569658</v>
      </c>
      <c r="N108" s="1" t="str">
        <f t="shared" si="13"/>
        <v>Basah</v>
      </c>
      <c r="O108" t="str">
        <f t="shared" si="14"/>
        <v>Fuzzy</v>
      </c>
      <c r="P108" t="str">
        <f t="shared" si="15"/>
        <v>Fuzzy</v>
      </c>
    </row>
    <row r="109" spans="1:16" x14ac:dyDescent="0.35">
      <c r="A109" t="s">
        <v>112</v>
      </c>
      <c r="B109">
        <v>4286</v>
      </c>
      <c r="C109">
        <v>28</v>
      </c>
      <c r="D109">
        <v>65</v>
      </c>
      <c r="E109">
        <v>965</v>
      </c>
      <c r="F109">
        <v>621</v>
      </c>
      <c r="K109" s="1">
        <f t="shared" si="16"/>
        <v>965</v>
      </c>
      <c r="L109" s="1" t="str">
        <f t="shared" si="11"/>
        <v>Normal</v>
      </c>
      <c r="M109" s="2">
        <f t="shared" si="12"/>
        <v>82.043343653250773</v>
      </c>
      <c r="N109" s="1" t="str">
        <f t="shared" si="13"/>
        <v>Basah</v>
      </c>
      <c r="O109" t="str">
        <f t="shared" si="14"/>
        <v>Fuzzy</v>
      </c>
      <c r="P109" t="str">
        <f t="shared" si="15"/>
        <v>Fuzzy</v>
      </c>
    </row>
    <row r="110" spans="1:16" x14ac:dyDescent="0.35">
      <c r="A110" t="s">
        <v>113</v>
      </c>
      <c r="B110">
        <v>4287</v>
      </c>
      <c r="C110">
        <v>28</v>
      </c>
      <c r="D110">
        <v>66</v>
      </c>
      <c r="E110">
        <v>959</v>
      </c>
      <c r="F110">
        <v>619</v>
      </c>
      <c r="K110" s="1">
        <f t="shared" si="16"/>
        <v>959</v>
      </c>
      <c r="L110" s="1" t="str">
        <f t="shared" si="11"/>
        <v>Normal</v>
      </c>
      <c r="M110" s="2">
        <f t="shared" si="12"/>
        <v>80.185758513931887</v>
      </c>
      <c r="N110" s="1" t="str">
        <f t="shared" si="13"/>
        <v>Basah</v>
      </c>
      <c r="O110" t="str">
        <f t="shared" si="14"/>
        <v>Fuzzy</v>
      </c>
      <c r="P110" t="str">
        <f t="shared" si="15"/>
        <v>Fuzzy</v>
      </c>
    </row>
    <row r="111" spans="1:16" x14ac:dyDescent="0.35">
      <c r="A111" t="s">
        <v>114</v>
      </c>
      <c r="B111">
        <v>4290</v>
      </c>
      <c r="C111">
        <v>28</v>
      </c>
      <c r="D111">
        <v>64</v>
      </c>
      <c r="E111">
        <v>1007</v>
      </c>
      <c r="F111">
        <v>621</v>
      </c>
      <c r="K111" s="1">
        <f t="shared" ref="K111:K147" si="17">IF(E111&lt;=1023, E111, "")</f>
        <v>1007</v>
      </c>
      <c r="L111" s="1" t="str">
        <f t="shared" si="11"/>
        <v>Normal</v>
      </c>
      <c r="M111" s="2">
        <f t="shared" si="12"/>
        <v>95.046439628482972</v>
      </c>
      <c r="N111" s="1" t="str">
        <f t="shared" si="13"/>
        <v>Basah</v>
      </c>
      <c r="O111" t="str">
        <f t="shared" si="14"/>
        <v>Fuzzy</v>
      </c>
      <c r="P111" t="str">
        <f t="shared" si="15"/>
        <v>Fuzzy</v>
      </c>
    </row>
    <row r="112" spans="1:16" x14ac:dyDescent="0.35">
      <c r="A112" t="s">
        <v>115</v>
      </c>
      <c r="B112">
        <v>4291</v>
      </c>
      <c r="C112">
        <v>28</v>
      </c>
      <c r="D112">
        <v>64</v>
      </c>
      <c r="E112">
        <v>976</v>
      </c>
      <c r="F112">
        <v>621</v>
      </c>
      <c r="K112" s="1">
        <f t="shared" si="17"/>
        <v>976</v>
      </c>
      <c r="L112" s="1" t="str">
        <f t="shared" si="11"/>
        <v>Normal</v>
      </c>
      <c r="M112" s="2">
        <f t="shared" si="12"/>
        <v>85.448916408668723</v>
      </c>
      <c r="N112" s="1" t="str">
        <f t="shared" si="13"/>
        <v>Basah</v>
      </c>
      <c r="O112" t="str">
        <f t="shared" si="14"/>
        <v>Fuzzy</v>
      </c>
      <c r="P112" t="str">
        <f t="shared" si="15"/>
        <v>Fuzzy</v>
      </c>
    </row>
    <row r="113" spans="1:16" x14ac:dyDescent="0.35">
      <c r="A113" t="s">
        <v>116</v>
      </c>
      <c r="B113">
        <v>4292</v>
      </c>
      <c r="C113">
        <v>28</v>
      </c>
      <c r="D113">
        <v>65</v>
      </c>
      <c r="E113">
        <v>999</v>
      </c>
      <c r="F113">
        <v>622</v>
      </c>
      <c r="K113" s="1">
        <f t="shared" si="17"/>
        <v>999</v>
      </c>
      <c r="L113" s="1" t="str">
        <f t="shared" si="11"/>
        <v>Normal</v>
      </c>
      <c r="M113" s="2">
        <f t="shared" si="12"/>
        <v>92.569659442724458</v>
      </c>
      <c r="N113" s="1" t="str">
        <f t="shared" si="13"/>
        <v>Basah</v>
      </c>
      <c r="O113" t="str">
        <f t="shared" si="14"/>
        <v>Fuzzy</v>
      </c>
      <c r="P113" t="str">
        <f t="shared" si="15"/>
        <v>Fuzzy</v>
      </c>
    </row>
    <row r="114" spans="1:16" x14ac:dyDescent="0.35">
      <c r="A114" t="s">
        <v>117</v>
      </c>
      <c r="B114">
        <v>4294</v>
      </c>
      <c r="C114">
        <v>28</v>
      </c>
      <c r="D114">
        <v>64</v>
      </c>
      <c r="E114">
        <v>955</v>
      </c>
      <c r="F114">
        <v>621</v>
      </c>
      <c r="K114" s="1">
        <f t="shared" si="17"/>
        <v>955</v>
      </c>
      <c r="L114" s="1" t="str">
        <f t="shared" si="11"/>
        <v>Normal</v>
      </c>
      <c r="M114" s="2">
        <f t="shared" si="12"/>
        <v>78.94736842105263</v>
      </c>
      <c r="N114" s="1" t="str">
        <f t="shared" si="13"/>
        <v>Basah</v>
      </c>
      <c r="O114" t="str">
        <f t="shared" si="14"/>
        <v>Fuzzy</v>
      </c>
      <c r="P114" t="str">
        <f t="shared" si="15"/>
        <v>Fuzzy</v>
      </c>
    </row>
    <row r="115" spans="1:16" x14ac:dyDescent="0.35">
      <c r="A115" t="s">
        <v>118</v>
      </c>
      <c r="B115">
        <v>4295</v>
      </c>
      <c r="C115">
        <v>28</v>
      </c>
      <c r="D115">
        <v>66</v>
      </c>
      <c r="E115">
        <v>982</v>
      </c>
      <c r="F115">
        <v>621</v>
      </c>
      <c r="K115" s="1">
        <f t="shared" si="17"/>
        <v>982</v>
      </c>
      <c r="L115" s="1" t="str">
        <f t="shared" si="11"/>
        <v>Normal</v>
      </c>
      <c r="M115" s="2">
        <f t="shared" si="12"/>
        <v>87.306501547987608</v>
      </c>
      <c r="N115" s="1" t="str">
        <f t="shared" si="13"/>
        <v>Basah</v>
      </c>
      <c r="O115" t="str">
        <f t="shared" si="14"/>
        <v>Fuzzy</v>
      </c>
      <c r="P115" t="str">
        <f t="shared" si="15"/>
        <v>Fuzzy</v>
      </c>
    </row>
    <row r="116" spans="1:16" x14ac:dyDescent="0.35">
      <c r="A116" t="s">
        <v>119</v>
      </c>
      <c r="B116">
        <v>4296</v>
      </c>
      <c r="C116">
        <v>28</v>
      </c>
      <c r="D116">
        <v>64</v>
      </c>
      <c r="E116">
        <v>1004</v>
      </c>
      <c r="F116">
        <v>622</v>
      </c>
      <c r="K116" s="1">
        <f t="shared" si="17"/>
        <v>1004</v>
      </c>
      <c r="L116" s="1" t="str">
        <f t="shared" si="11"/>
        <v>Normal</v>
      </c>
      <c r="M116" s="2">
        <f t="shared" si="12"/>
        <v>94.117647058823522</v>
      </c>
      <c r="N116" s="1" t="str">
        <f t="shared" si="13"/>
        <v>Basah</v>
      </c>
      <c r="O116" t="str">
        <f t="shared" si="14"/>
        <v>Fuzzy</v>
      </c>
      <c r="P116" t="str">
        <f t="shared" si="15"/>
        <v>Fuzzy</v>
      </c>
    </row>
    <row r="117" spans="1:16" x14ac:dyDescent="0.35">
      <c r="A117" t="s">
        <v>120</v>
      </c>
      <c r="B117">
        <v>4297</v>
      </c>
      <c r="C117">
        <v>28</v>
      </c>
      <c r="D117">
        <v>64</v>
      </c>
      <c r="E117">
        <v>984</v>
      </c>
      <c r="F117">
        <v>622</v>
      </c>
      <c r="K117" s="1">
        <f t="shared" si="17"/>
        <v>984</v>
      </c>
      <c r="L117" s="1" t="str">
        <f t="shared" si="11"/>
        <v>Normal</v>
      </c>
      <c r="M117" s="2">
        <f t="shared" si="12"/>
        <v>87.925696594427251</v>
      </c>
      <c r="N117" s="1" t="str">
        <f t="shared" si="13"/>
        <v>Basah</v>
      </c>
      <c r="O117" t="str">
        <f t="shared" si="14"/>
        <v>Fuzzy</v>
      </c>
      <c r="P117" t="str">
        <f t="shared" si="15"/>
        <v>Fuzzy</v>
      </c>
    </row>
    <row r="118" spans="1:16" x14ac:dyDescent="0.35">
      <c r="A118" t="s">
        <v>121</v>
      </c>
      <c r="B118">
        <v>4300</v>
      </c>
      <c r="C118">
        <v>28</v>
      </c>
      <c r="D118">
        <v>65</v>
      </c>
      <c r="E118">
        <v>984</v>
      </c>
      <c r="F118">
        <v>621</v>
      </c>
      <c r="K118" s="1">
        <f t="shared" si="17"/>
        <v>984</v>
      </c>
      <c r="L118" s="1" t="str">
        <f t="shared" si="11"/>
        <v>Normal</v>
      </c>
      <c r="M118" s="2">
        <f t="shared" si="12"/>
        <v>87.925696594427251</v>
      </c>
      <c r="N118" s="1" t="str">
        <f t="shared" si="13"/>
        <v>Basah</v>
      </c>
      <c r="O118" t="str">
        <f t="shared" si="14"/>
        <v>Fuzzy</v>
      </c>
      <c r="P118" t="str">
        <f t="shared" si="15"/>
        <v>Fuzzy</v>
      </c>
    </row>
    <row r="119" spans="1:16" x14ac:dyDescent="0.35">
      <c r="A119" t="s">
        <v>122</v>
      </c>
      <c r="B119">
        <v>4305</v>
      </c>
      <c r="C119">
        <v>28</v>
      </c>
      <c r="D119">
        <v>63</v>
      </c>
      <c r="E119">
        <v>979</v>
      </c>
      <c r="F119">
        <v>621</v>
      </c>
      <c r="K119" s="1">
        <f t="shared" si="17"/>
        <v>979</v>
      </c>
      <c r="L119" s="1" t="str">
        <f t="shared" si="11"/>
        <v>Normal</v>
      </c>
      <c r="M119" s="2">
        <f t="shared" si="12"/>
        <v>86.377708978328172</v>
      </c>
      <c r="N119" s="1" t="str">
        <f t="shared" si="13"/>
        <v>Basah</v>
      </c>
      <c r="O119" t="str">
        <f t="shared" si="14"/>
        <v>Fuzzy</v>
      </c>
      <c r="P119" t="str">
        <f t="shared" si="15"/>
        <v>Fuzzy</v>
      </c>
    </row>
    <row r="120" spans="1:16" x14ac:dyDescent="0.35">
      <c r="A120" t="s">
        <v>123</v>
      </c>
      <c r="B120">
        <v>4306</v>
      </c>
      <c r="C120">
        <v>28</v>
      </c>
      <c r="D120">
        <v>63</v>
      </c>
      <c r="E120">
        <v>942</v>
      </c>
      <c r="F120">
        <v>621</v>
      </c>
      <c r="K120" s="1">
        <f t="shared" si="17"/>
        <v>942</v>
      </c>
      <c r="L120" s="1" t="str">
        <f t="shared" si="11"/>
        <v>Normal</v>
      </c>
      <c r="M120" s="2">
        <f t="shared" si="12"/>
        <v>74.922600619195052</v>
      </c>
      <c r="N120" s="1" t="str">
        <f t="shared" si="13"/>
        <v>Basah</v>
      </c>
      <c r="O120" t="str">
        <f t="shared" si="14"/>
        <v>Fuzzy</v>
      </c>
      <c r="P120" t="str">
        <f t="shared" si="15"/>
        <v>Fuzzy</v>
      </c>
    </row>
    <row r="121" spans="1:16" x14ac:dyDescent="0.35">
      <c r="A121" t="s">
        <v>124</v>
      </c>
      <c r="B121">
        <v>4307</v>
      </c>
      <c r="C121">
        <v>28</v>
      </c>
      <c r="D121">
        <v>62</v>
      </c>
      <c r="E121">
        <v>920</v>
      </c>
      <c r="F121">
        <v>622</v>
      </c>
      <c r="K121" s="1">
        <f t="shared" si="17"/>
        <v>920</v>
      </c>
      <c r="L121" s="1" t="str">
        <f t="shared" si="11"/>
        <v>Normal</v>
      </c>
      <c r="M121" s="2">
        <f t="shared" si="12"/>
        <v>68.111455108359138</v>
      </c>
      <c r="N121" s="1" t="str">
        <f t="shared" si="13"/>
        <v>Lembab</v>
      </c>
      <c r="O121" t="str">
        <f t="shared" si="14"/>
        <v>Fuzzy</v>
      </c>
      <c r="P121" t="str">
        <f t="shared" si="15"/>
        <v>Fuzzy</v>
      </c>
    </row>
    <row r="122" spans="1:16" x14ac:dyDescent="0.35">
      <c r="A122" t="s">
        <v>125</v>
      </c>
      <c r="B122">
        <v>4309</v>
      </c>
      <c r="C122">
        <v>28</v>
      </c>
      <c r="D122">
        <v>62</v>
      </c>
      <c r="E122">
        <v>1023</v>
      </c>
      <c r="F122">
        <v>622</v>
      </c>
      <c r="K122" s="1">
        <f t="shared" si="17"/>
        <v>1023</v>
      </c>
      <c r="L122" s="1" t="str">
        <f t="shared" si="11"/>
        <v>Normal</v>
      </c>
      <c r="M122" s="2">
        <f t="shared" si="12"/>
        <v>100</v>
      </c>
      <c r="N122" s="1" t="str">
        <f t="shared" si="13"/>
        <v>Basah</v>
      </c>
      <c r="O122" t="str">
        <f t="shared" si="14"/>
        <v>Fuzzy</v>
      </c>
      <c r="P122" t="str">
        <f t="shared" si="15"/>
        <v/>
      </c>
    </row>
    <row r="123" spans="1:16" x14ac:dyDescent="0.35">
      <c r="A123" t="s">
        <v>126</v>
      </c>
      <c r="B123">
        <v>4310</v>
      </c>
      <c r="C123">
        <v>28</v>
      </c>
      <c r="D123">
        <v>62</v>
      </c>
      <c r="E123">
        <v>944</v>
      </c>
      <c r="F123">
        <v>622</v>
      </c>
      <c r="K123" s="1">
        <f t="shared" si="17"/>
        <v>944</v>
      </c>
      <c r="L123" s="1" t="str">
        <f t="shared" si="11"/>
        <v>Normal</v>
      </c>
      <c r="M123" s="2">
        <f t="shared" si="12"/>
        <v>75.541795665634666</v>
      </c>
      <c r="N123" s="1" t="str">
        <f t="shared" si="13"/>
        <v>Basah</v>
      </c>
      <c r="O123" t="str">
        <f t="shared" si="14"/>
        <v>Fuzzy</v>
      </c>
      <c r="P123" t="str">
        <f t="shared" si="15"/>
        <v>Fuzzy</v>
      </c>
    </row>
    <row r="124" spans="1:16" x14ac:dyDescent="0.35">
      <c r="A124" t="s">
        <v>127</v>
      </c>
      <c r="B124">
        <v>4314</v>
      </c>
      <c r="C124" s="3">
        <v>29</v>
      </c>
      <c r="D124">
        <v>64</v>
      </c>
      <c r="E124">
        <v>994</v>
      </c>
      <c r="F124">
        <v>627</v>
      </c>
      <c r="K124" s="1">
        <f t="shared" si="17"/>
        <v>994</v>
      </c>
      <c r="L124" s="1" t="str">
        <f t="shared" si="11"/>
        <v>Normal</v>
      </c>
      <c r="M124" s="2">
        <f t="shared" si="12"/>
        <v>91.021671826625379</v>
      </c>
      <c r="N124" s="1" t="str">
        <f t="shared" si="13"/>
        <v>Basah</v>
      </c>
      <c r="O124" t="str">
        <f t="shared" si="14"/>
        <v>Fuzzy</v>
      </c>
      <c r="P124" t="str">
        <f t="shared" si="15"/>
        <v>Fuzzy</v>
      </c>
    </row>
    <row r="125" spans="1:16" x14ac:dyDescent="0.35">
      <c r="A125" t="s">
        <v>128</v>
      </c>
      <c r="B125">
        <v>4315</v>
      </c>
      <c r="C125">
        <v>28</v>
      </c>
      <c r="D125">
        <v>63</v>
      </c>
      <c r="E125">
        <v>1005</v>
      </c>
      <c r="F125">
        <v>622</v>
      </c>
      <c r="K125" s="1">
        <f t="shared" si="17"/>
        <v>1005</v>
      </c>
      <c r="L125" s="1" t="str">
        <f t="shared" si="11"/>
        <v>Normal</v>
      </c>
      <c r="M125" s="2">
        <f t="shared" si="12"/>
        <v>94.427244582043343</v>
      </c>
      <c r="N125" s="1" t="str">
        <f t="shared" si="13"/>
        <v>Basah</v>
      </c>
      <c r="O125" t="str">
        <f t="shared" si="14"/>
        <v>Fuzzy</v>
      </c>
      <c r="P125" t="str">
        <f t="shared" si="15"/>
        <v>Fuzzy</v>
      </c>
    </row>
    <row r="126" spans="1:16" x14ac:dyDescent="0.35">
      <c r="A126" t="s">
        <v>129</v>
      </c>
      <c r="B126">
        <v>4316</v>
      </c>
      <c r="C126">
        <v>28</v>
      </c>
      <c r="D126">
        <v>63</v>
      </c>
      <c r="E126">
        <v>961</v>
      </c>
      <c r="F126">
        <v>622</v>
      </c>
      <c r="K126" s="1">
        <f t="shared" si="17"/>
        <v>961</v>
      </c>
      <c r="L126" s="1" t="str">
        <f t="shared" si="11"/>
        <v>Normal</v>
      </c>
      <c r="M126" s="2">
        <f t="shared" si="12"/>
        <v>80.804953560371516</v>
      </c>
      <c r="N126" s="1" t="str">
        <f t="shared" si="13"/>
        <v>Basah</v>
      </c>
      <c r="O126" t="str">
        <f t="shared" si="14"/>
        <v>Fuzzy</v>
      </c>
      <c r="P126" t="str">
        <f t="shared" si="15"/>
        <v>Fuzzy</v>
      </c>
    </row>
    <row r="127" spans="1:16" x14ac:dyDescent="0.35">
      <c r="A127" t="s">
        <v>130</v>
      </c>
      <c r="B127">
        <v>4317</v>
      </c>
      <c r="C127">
        <v>28</v>
      </c>
      <c r="D127">
        <v>63</v>
      </c>
      <c r="E127">
        <v>975</v>
      </c>
      <c r="F127">
        <v>622</v>
      </c>
      <c r="K127" s="1">
        <f t="shared" si="17"/>
        <v>975</v>
      </c>
      <c r="L127" s="1" t="str">
        <f t="shared" si="11"/>
        <v>Normal</v>
      </c>
      <c r="M127" s="2">
        <f t="shared" si="12"/>
        <v>85.139318885448915</v>
      </c>
      <c r="N127" s="1" t="str">
        <f t="shared" si="13"/>
        <v>Basah</v>
      </c>
      <c r="O127" t="str">
        <f t="shared" si="14"/>
        <v>Fuzzy</v>
      </c>
      <c r="P127" t="str">
        <f t="shared" si="15"/>
        <v>Fuzzy</v>
      </c>
    </row>
    <row r="128" spans="1:16" x14ac:dyDescent="0.35">
      <c r="A128" t="s">
        <v>131</v>
      </c>
      <c r="B128">
        <v>4322</v>
      </c>
      <c r="C128">
        <v>28</v>
      </c>
      <c r="D128">
        <v>63</v>
      </c>
      <c r="E128">
        <v>972</v>
      </c>
      <c r="F128">
        <v>622</v>
      </c>
      <c r="K128" s="1">
        <f t="shared" si="17"/>
        <v>972</v>
      </c>
      <c r="L128" s="1" t="str">
        <f t="shared" si="11"/>
        <v>Normal</v>
      </c>
      <c r="M128" s="2">
        <f t="shared" si="12"/>
        <v>84.210526315789465</v>
      </c>
      <c r="N128" s="1" t="str">
        <f t="shared" si="13"/>
        <v>Basah</v>
      </c>
      <c r="O128" t="str">
        <f t="shared" si="14"/>
        <v>Fuzzy</v>
      </c>
      <c r="P128" t="str">
        <f t="shared" si="15"/>
        <v>Fuzzy</v>
      </c>
    </row>
    <row r="129" spans="1:16" x14ac:dyDescent="0.35">
      <c r="A129" t="s">
        <v>132</v>
      </c>
      <c r="B129">
        <v>4325</v>
      </c>
      <c r="C129">
        <v>28</v>
      </c>
      <c r="D129">
        <v>63</v>
      </c>
      <c r="E129">
        <v>900</v>
      </c>
      <c r="F129">
        <v>623</v>
      </c>
      <c r="K129" s="1">
        <f t="shared" si="17"/>
        <v>900</v>
      </c>
      <c r="L129" s="1" t="str">
        <f t="shared" si="11"/>
        <v>Normal</v>
      </c>
      <c r="M129" s="2">
        <f t="shared" si="12"/>
        <v>61.919504643962853</v>
      </c>
      <c r="N129" s="1" t="str">
        <f t="shared" si="13"/>
        <v>Lembab</v>
      </c>
      <c r="O129" t="str">
        <f t="shared" si="14"/>
        <v>Fuzzy</v>
      </c>
      <c r="P129" t="str">
        <f t="shared" si="15"/>
        <v>Fuzzy</v>
      </c>
    </row>
    <row r="130" spans="1:16" x14ac:dyDescent="0.35">
      <c r="A130" t="s">
        <v>133</v>
      </c>
      <c r="B130">
        <v>4326</v>
      </c>
      <c r="C130">
        <v>28</v>
      </c>
      <c r="D130">
        <v>66</v>
      </c>
      <c r="E130">
        <v>966</v>
      </c>
      <c r="F130">
        <v>622</v>
      </c>
      <c r="K130" s="1">
        <f t="shared" si="17"/>
        <v>966</v>
      </c>
      <c r="L130" s="1" t="str">
        <f t="shared" si="11"/>
        <v>Normal</v>
      </c>
      <c r="M130" s="2">
        <f t="shared" si="12"/>
        <v>82.35294117647058</v>
      </c>
      <c r="N130" s="1" t="str">
        <f t="shared" si="13"/>
        <v>Basah</v>
      </c>
      <c r="O130" t="str">
        <f t="shared" si="14"/>
        <v>Fuzzy</v>
      </c>
      <c r="P130" t="str">
        <f t="shared" si="15"/>
        <v>Fuzzy</v>
      </c>
    </row>
    <row r="131" spans="1:16" x14ac:dyDescent="0.35">
      <c r="A131" t="s">
        <v>134</v>
      </c>
      <c r="B131">
        <v>4328</v>
      </c>
      <c r="C131">
        <v>28</v>
      </c>
      <c r="D131">
        <v>64</v>
      </c>
      <c r="E131">
        <v>924</v>
      </c>
      <c r="F131">
        <v>622</v>
      </c>
      <c r="K131" s="1">
        <f t="shared" si="17"/>
        <v>924</v>
      </c>
      <c r="L131" s="1" t="str">
        <f t="shared" ref="L131:L194" si="18">IF(A130 &lt;= 10, "Dingin", IF(OR(A130 &gt;= 10, A130 &lt; 35), "Normal", "Panas"))</f>
        <v>Normal</v>
      </c>
      <c r="M131" s="2">
        <f t="shared" ref="M131:M194" si="19">IF(K131&lt;=300, K131/1023*100, IF(K131&lt;=700, (K131-300)/(700-301+1)*100, (K131-700)/(1023-701+1)*100))</f>
        <v>69.349845201238395</v>
      </c>
      <c r="N131" s="1" t="str">
        <f t="shared" ref="N131:N194" si="20">IF(M131&lt;=29.32, "Kering", IF(M131&lt;=68.53, "Lembab", "Basah"))</f>
        <v>Basah</v>
      </c>
      <c r="O131" t="str">
        <f t="shared" ref="O131:O194" si="21">IF(OR(AND(C131 &gt; 10, C131 &lt; 22.5), AND(C131 &gt;= 22.5, C131 &lt; 35)), "Fuzzy", "")</f>
        <v>Fuzzy</v>
      </c>
      <c r="P131" t="str">
        <f t="shared" ref="P131:P194" si="22">IF(OR(AND(M131 &gt;= 0, M131 &lt; 50), AND(M131 &gt;= 50, M131 &lt; 100)), "Fuzzy", "")</f>
        <v>Fuzzy</v>
      </c>
    </row>
    <row r="132" spans="1:16" x14ac:dyDescent="0.35">
      <c r="A132" t="s">
        <v>135</v>
      </c>
      <c r="B132">
        <v>4329</v>
      </c>
      <c r="C132">
        <v>28</v>
      </c>
      <c r="D132">
        <v>63</v>
      </c>
      <c r="E132">
        <v>948</v>
      </c>
      <c r="F132">
        <v>622</v>
      </c>
      <c r="K132" s="1">
        <f t="shared" si="17"/>
        <v>948</v>
      </c>
      <c r="L132" s="1" t="str">
        <f t="shared" si="18"/>
        <v>Normal</v>
      </c>
      <c r="M132" s="2">
        <f t="shared" si="19"/>
        <v>76.780185758513937</v>
      </c>
      <c r="N132" s="1" t="str">
        <f t="shared" si="20"/>
        <v>Basah</v>
      </c>
      <c r="O132" t="str">
        <f t="shared" si="21"/>
        <v>Fuzzy</v>
      </c>
      <c r="P132" t="str">
        <f t="shared" si="22"/>
        <v>Fuzzy</v>
      </c>
    </row>
    <row r="133" spans="1:16" x14ac:dyDescent="0.35">
      <c r="A133" t="s">
        <v>136</v>
      </c>
      <c r="B133">
        <v>4330</v>
      </c>
      <c r="C133">
        <v>29</v>
      </c>
      <c r="D133">
        <v>64</v>
      </c>
      <c r="E133">
        <v>993</v>
      </c>
      <c r="F133">
        <v>622</v>
      </c>
      <c r="K133" s="1">
        <f t="shared" si="17"/>
        <v>993</v>
      </c>
      <c r="L133" s="1" t="str">
        <f t="shared" si="18"/>
        <v>Normal</v>
      </c>
      <c r="M133" s="2">
        <f t="shared" si="19"/>
        <v>90.712074303405572</v>
      </c>
      <c r="N133" s="1" t="str">
        <f t="shared" si="20"/>
        <v>Basah</v>
      </c>
      <c r="O133" t="str">
        <f t="shared" si="21"/>
        <v>Fuzzy</v>
      </c>
      <c r="P133" t="str">
        <f t="shared" si="22"/>
        <v>Fuzzy</v>
      </c>
    </row>
    <row r="134" spans="1:16" x14ac:dyDescent="0.35">
      <c r="A134" t="s">
        <v>137</v>
      </c>
      <c r="B134">
        <v>4331</v>
      </c>
      <c r="C134">
        <v>29</v>
      </c>
      <c r="D134">
        <v>64</v>
      </c>
      <c r="E134">
        <v>962</v>
      </c>
      <c r="F134">
        <v>622</v>
      </c>
      <c r="K134" s="1">
        <f t="shared" si="17"/>
        <v>962</v>
      </c>
      <c r="L134" s="1" t="str">
        <f t="shared" si="18"/>
        <v>Normal</v>
      </c>
      <c r="M134" s="2">
        <f t="shared" si="19"/>
        <v>81.114551083591337</v>
      </c>
      <c r="N134" s="1" t="str">
        <f t="shared" si="20"/>
        <v>Basah</v>
      </c>
      <c r="O134" t="str">
        <f t="shared" si="21"/>
        <v>Fuzzy</v>
      </c>
      <c r="P134" t="str">
        <f t="shared" si="22"/>
        <v>Fuzzy</v>
      </c>
    </row>
    <row r="135" spans="1:16" x14ac:dyDescent="0.35">
      <c r="A135" t="s">
        <v>138</v>
      </c>
      <c r="B135">
        <v>4332</v>
      </c>
      <c r="C135">
        <v>29</v>
      </c>
      <c r="D135">
        <v>64</v>
      </c>
      <c r="E135">
        <v>1021</v>
      </c>
      <c r="F135">
        <v>622</v>
      </c>
      <c r="K135" s="1">
        <f t="shared" si="17"/>
        <v>1021</v>
      </c>
      <c r="L135" s="1" t="str">
        <f t="shared" si="18"/>
        <v>Normal</v>
      </c>
      <c r="M135" s="2">
        <f t="shared" si="19"/>
        <v>99.380804953560371</v>
      </c>
      <c r="N135" s="1" t="str">
        <f t="shared" si="20"/>
        <v>Basah</v>
      </c>
      <c r="O135" t="str">
        <f t="shared" si="21"/>
        <v>Fuzzy</v>
      </c>
      <c r="P135" t="str">
        <f t="shared" si="22"/>
        <v>Fuzzy</v>
      </c>
    </row>
    <row r="136" spans="1:16" x14ac:dyDescent="0.35">
      <c r="A136" t="s">
        <v>139</v>
      </c>
      <c r="B136">
        <v>4334</v>
      </c>
      <c r="C136">
        <v>29</v>
      </c>
      <c r="D136">
        <v>63</v>
      </c>
      <c r="E136">
        <v>896</v>
      </c>
      <c r="F136">
        <v>622</v>
      </c>
      <c r="K136" s="1">
        <f t="shared" si="17"/>
        <v>896</v>
      </c>
      <c r="L136" s="1" t="str">
        <f t="shared" si="18"/>
        <v>Normal</v>
      </c>
      <c r="M136" s="2">
        <f t="shared" si="19"/>
        <v>60.681114551083596</v>
      </c>
      <c r="N136" s="1" t="str">
        <f t="shared" si="20"/>
        <v>Lembab</v>
      </c>
      <c r="O136" t="str">
        <f t="shared" si="21"/>
        <v>Fuzzy</v>
      </c>
      <c r="P136" t="str">
        <f t="shared" si="22"/>
        <v>Fuzzy</v>
      </c>
    </row>
    <row r="137" spans="1:16" x14ac:dyDescent="0.35">
      <c r="A137" t="s">
        <v>140</v>
      </c>
      <c r="B137">
        <v>4335</v>
      </c>
      <c r="C137">
        <v>29</v>
      </c>
      <c r="D137">
        <v>64</v>
      </c>
      <c r="E137">
        <v>993</v>
      </c>
      <c r="F137">
        <v>622</v>
      </c>
      <c r="K137" s="1">
        <f t="shared" si="17"/>
        <v>993</v>
      </c>
      <c r="L137" s="1" t="str">
        <f t="shared" si="18"/>
        <v>Normal</v>
      </c>
      <c r="M137" s="2">
        <f t="shared" si="19"/>
        <v>90.712074303405572</v>
      </c>
      <c r="N137" s="1" t="str">
        <f t="shared" si="20"/>
        <v>Basah</v>
      </c>
      <c r="O137" t="str">
        <f t="shared" si="21"/>
        <v>Fuzzy</v>
      </c>
      <c r="P137" t="str">
        <f t="shared" si="22"/>
        <v>Fuzzy</v>
      </c>
    </row>
    <row r="138" spans="1:16" x14ac:dyDescent="0.35">
      <c r="A138" t="s">
        <v>141</v>
      </c>
      <c r="B138">
        <v>4336</v>
      </c>
      <c r="C138">
        <v>29</v>
      </c>
      <c r="D138">
        <v>64</v>
      </c>
      <c r="E138">
        <v>999</v>
      </c>
      <c r="F138">
        <v>622</v>
      </c>
      <c r="K138" s="1">
        <f t="shared" si="17"/>
        <v>999</v>
      </c>
      <c r="L138" s="1" t="str">
        <f t="shared" si="18"/>
        <v>Normal</v>
      </c>
      <c r="M138" s="2">
        <f t="shared" si="19"/>
        <v>92.569659442724458</v>
      </c>
      <c r="N138" s="1" t="str">
        <f t="shared" si="20"/>
        <v>Basah</v>
      </c>
      <c r="O138" t="str">
        <f t="shared" si="21"/>
        <v>Fuzzy</v>
      </c>
      <c r="P138" t="str">
        <f t="shared" si="22"/>
        <v>Fuzzy</v>
      </c>
    </row>
    <row r="139" spans="1:16" x14ac:dyDescent="0.35">
      <c r="A139" t="s">
        <v>142</v>
      </c>
      <c r="B139">
        <v>4337</v>
      </c>
      <c r="C139">
        <v>29</v>
      </c>
      <c r="D139">
        <v>63</v>
      </c>
      <c r="E139">
        <v>985</v>
      </c>
      <c r="F139">
        <v>623</v>
      </c>
      <c r="K139" s="1">
        <f t="shared" si="17"/>
        <v>985</v>
      </c>
      <c r="L139" s="1" t="str">
        <f t="shared" si="18"/>
        <v>Normal</v>
      </c>
      <c r="M139" s="2">
        <f t="shared" si="19"/>
        <v>88.235294117647058</v>
      </c>
      <c r="N139" s="1" t="str">
        <f t="shared" si="20"/>
        <v>Basah</v>
      </c>
      <c r="O139" t="str">
        <f t="shared" si="21"/>
        <v>Fuzzy</v>
      </c>
      <c r="P139" t="str">
        <f t="shared" si="22"/>
        <v>Fuzzy</v>
      </c>
    </row>
    <row r="140" spans="1:16" x14ac:dyDescent="0.35">
      <c r="A140" t="s">
        <v>143</v>
      </c>
      <c r="B140">
        <v>4342</v>
      </c>
      <c r="C140">
        <v>29</v>
      </c>
      <c r="D140">
        <v>61</v>
      </c>
      <c r="E140">
        <v>975</v>
      </c>
      <c r="F140">
        <v>622</v>
      </c>
      <c r="K140" s="1">
        <f t="shared" si="17"/>
        <v>975</v>
      </c>
      <c r="L140" s="1" t="str">
        <f t="shared" si="18"/>
        <v>Normal</v>
      </c>
      <c r="M140" s="2">
        <f t="shared" si="19"/>
        <v>85.139318885448915</v>
      </c>
      <c r="N140" s="1" t="str">
        <f t="shared" si="20"/>
        <v>Basah</v>
      </c>
      <c r="O140" t="str">
        <f t="shared" si="21"/>
        <v>Fuzzy</v>
      </c>
      <c r="P140" t="str">
        <f t="shared" si="22"/>
        <v>Fuzzy</v>
      </c>
    </row>
    <row r="141" spans="1:16" x14ac:dyDescent="0.35">
      <c r="A141" t="s">
        <v>144</v>
      </c>
      <c r="B141">
        <v>4344</v>
      </c>
      <c r="C141">
        <v>29</v>
      </c>
      <c r="D141">
        <v>62</v>
      </c>
      <c r="E141">
        <v>961</v>
      </c>
      <c r="F141">
        <v>622</v>
      </c>
      <c r="K141" s="1">
        <f t="shared" si="17"/>
        <v>961</v>
      </c>
      <c r="L141" s="1" t="str">
        <f t="shared" si="18"/>
        <v>Normal</v>
      </c>
      <c r="M141" s="2">
        <f t="shared" si="19"/>
        <v>80.804953560371516</v>
      </c>
      <c r="N141" s="1" t="str">
        <f t="shared" si="20"/>
        <v>Basah</v>
      </c>
      <c r="O141" t="str">
        <f t="shared" si="21"/>
        <v>Fuzzy</v>
      </c>
      <c r="P141" t="str">
        <f t="shared" si="22"/>
        <v>Fuzzy</v>
      </c>
    </row>
    <row r="142" spans="1:16" x14ac:dyDescent="0.35">
      <c r="A142" t="s">
        <v>145</v>
      </c>
      <c r="B142">
        <v>4347</v>
      </c>
      <c r="C142">
        <v>29</v>
      </c>
      <c r="D142">
        <v>63</v>
      </c>
      <c r="E142">
        <v>990</v>
      </c>
      <c r="F142">
        <v>622</v>
      </c>
      <c r="K142" s="1">
        <f t="shared" si="17"/>
        <v>990</v>
      </c>
      <c r="L142" s="1" t="str">
        <f t="shared" si="18"/>
        <v>Normal</v>
      </c>
      <c r="M142" s="2">
        <f t="shared" si="19"/>
        <v>89.783281733746136</v>
      </c>
      <c r="N142" s="1" t="str">
        <f t="shared" si="20"/>
        <v>Basah</v>
      </c>
      <c r="O142" t="str">
        <f t="shared" si="21"/>
        <v>Fuzzy</v>
      </c>
      <c r="P142" t="str">
        <f t="shared" si="22"/>
        <v>Fuzzy</v>
      </c>
    </row>
    <row r="143" spans="1:16" x14ac:dyDescent="0.35">
      <c r="A143" t="s">
        <v>146</v>
      </c>
      <c r="B143">
        <v>4348</v>
      </c>
      <c r="C143">
        <v>29</v>
      </c>
      <c r="D143">
        <v>63</v>
      </c>
      <c r="E143">
        <v>962</v>
      </c>
      <c r="F143">
        <v>622</v>
      </c>
      <c r="K143" s="1">
        <f t="shared" si="17"/>
        <v>962</v>
      </c>
      <c r="L143" s="1" t="str">
        <f t="shared" si="18"/>
        <v>Normal</v>
      </c>
      <c r="M143" s="2">
        <f t="shared" si="19"/>
        <v>81.114551083591337</v>
      </c>
      <c r="N143" s="1" t="str">
        <f t="shared" si="20"/>
        <v>Basah</v>
      </c>
      <c r="O143" t="str">
        <f t="shared" si="21"/>
        <v>Fuzzy</v>
      </c>
      <c r="P143" t="str">
        <f t="shared" si="22"/>
        <v>Fuzzy</v>
      </c>
    </row>
    <row r="144" spans="1:16" x14ac:dyDescent="0.35">
      <c r="A144" t="s">
        <v>147</v>
      </c>
      <c r="B144">
        <v>4349</v>
      </c>
      <c r="C144">
        <v>29</v>
      </c>
      <c r="D144">
        <v>62</v>
      </c>
      <c r="E144">
        <v>1017</v>
      </c>
      <c r="F144">
        <v>622</v>
      </c>
      <c r="K144" s="1">
        <f t="shared" si="17"/>
        <v>1017</v>
      </c>
      <c r="L144" s="1" t="str">
        <f t="shared" si="18"/>
        <v>Normal</v>
      </c>
      <c r="M144" s="2">
        <f t="shared" si="19"/>
        <v>98.142414860681114</v>
      </c>
      <c r="N144" s="1" t="str">
        <f t="shared" si="20"/>
        <v>Basah</v>
      </c>
      <c r="O144" t="str">
        <f t="shared" si="21"/>
        <v>Fuzzy</v>
      </c>
      <c r="P144" t="str">
        <f t="shared" si="22"/>
        <v>Fuzzy</v>
      </c>
    </row>
    <row r="145" spans="1:16" x14ac:dyDescent="0.35">
      <c r="A145" t="s">
        <v>148</v>
      </c>
      <c r="B145">
        <v>4350</v>
      </c>
      <c r="C145">
        <v>29</v>
      </c>
      <c r="D145">
        <v>63</v>
      </c>
      <c r="E145">
        <v>800</v>
      </c>
      <c r="F145">
        <v>622</v>
      </c>
      <c r="K145" s="1">
        <f t="shared" si="17"/>
        <v>800</v>
      </c>
      <c r="L145" s="1" t="str">
        <f t="shared" si="18"/>
        <v>Normal</v>
      </c>
      <c r="M145" s="2">
        <f t="shared" si="19"/>
        <v>30.959752321981426</v>
      </c>
      <c r="N145" s="1" t="str">
        <f t="shared" si="20"/>
        <v>Lembab</v>
      </c>
      <c r="O145" t="str">
        <f t="shared" si="21"/>
        <v>Fuzzy</v>
      </c>
      <c r="P145" t="str">
        <f t="shared" si="22"/>
        <v>Fuzzy</v>
      </c>
    </row>
    <row r="146" spans="1:16" x14ac:dyDescent="0.35">
      <c r="A146" t="s">
        <v>149</v>
      </c>
      <c r="B146">
        <v>4351</v>
      </c>
      <c r="C146">
        <v>29</v>
      </c>
      <c r="D146">
        <v>63</v>
      </c>
      <c r="E146">
        <v>958</v>
      </c>
      <c r="F146">
        <v>622</v>
      </c>
      <c r="K146" s="1">
        <f t="shared" si="17"/>
        <v>958</v>
      </c>
      <c r="L146" s="1" t="str">
        <f t="shared" si="18"/>
        <v>Normal</v>
      </c>
      <c r="M146" s="2">
        <f t="shared" si="19"/>
        <v>79.87616099071208</v>
      </c>
      <c r="N146" s="1" t="str">
        <f t="shared" si="20"/>
        <v>Basah</v>
      </c>
      <c r="O146" t="str">
        <f t="shared" si="21"/>
        <v>Fuzzy</v>
      </c>
      <c r="P146" t="str">
        <f t="shared" si="22"/>
        <v>Fuzzy</v>
      </c>
    </row>
    <row r="147" spans="1:16" x14ac:dyDescent="0.35">
      <c r="A147" t="s">
        <v>150</v>
      </c>
      <c r="B147">
        <v>4353</v>
      </c>
      <c r="C147">
        <v>29</v>
      </c>
      <c r="D147">
        <v>62</v>
      </c>
      <c r="E147">
        <v>965</v>
      </c>
      <c r="F147">
        <v>622</v>
      </c>
      <c r="K147" s="1">
        <f t="shared" si="17"/>
        <v>965</v>
      </c>
      <c r="L147" s="1" t="str">
        <f t="shared" si="18"/>
        <v>Normal</v>
      </c>
      <c r="M147" s="2">
        <f t="shared" si="19"/>
        <v>82.043343653250773</v>
      </c>
      <c r="N147" s="1" t="str">
        <f t="shared" si="20"/>
        <v>Basah</v>
      </c>
      <c r="O147" t="str">
        <f t="shared" si="21"/>
        <v>Fuzzy</v>
      </c>
      <c r="P147" t="str">
        <f t="shared" si="22"/>
        <v>Fuzzy</v>
      </c>
    </row>
    <row r="148" spans="1:16" x14ac:dyDescent="0.35">
      <c r="A148" t="s">
        <v>151</v>
      </c>
      <c r="B148">
        <v>4356</v>
      </c>
      <c r="C148">
        <v>29</v>
      </c>
      <c r="D148">
        <v>63</v>
      </c>
      <c r="E148">
        <v>986</v>
      </c>
      <c r="F148">
        <v>622</v>
      </c>
      <c r="K148" s="1">
        <f t="shared" ref="K148:K204" si="23">IF(E148&lt;=1023, E148, "")</f>
        <v>986</v>
      </c>
      <c r="L148" s="1" t="str">
        <f t="shared" si="18"/>
        <v>Normal</v>
      </c>
      <c r="M148" s="2">
        <f t="shared" si="19"/>
        <v>88.544891640866879</v>
      </c>
      <c r="N148" s="1" t="str">
        <f t="shared" si="20"/>
        <v>Basah</v>
      </c>
      <c r="O148" t="str">
        <f t="shared" si="21"/>
        <v>Fuzzy</v>
      </c>
      <c r="P148" t="str">
        <f t="shared" si="22"/>
        <v>Fuzzy</v>
      </c>
    </row>
    <row r="149" spans="1:16" x14ac:dyDescent="0.35">
      <c r="A149" t="s">
        <v>152</v>
      </c>
      <c r="B149">
        <v>4362</v>
      </c>
      <c r="C149">
        <v>29</v>
      </c>
      <c r="D149">
        <v>63</v>
      </c>
      <c r="E149">
        <v>173</v>
      </c>
      <c r="F149">
        <v>5</v>
      </c>
      <c r="K149" s="1">
        <f t="shared" si="23"/>
        <v>173</v>
      </c>
      <c r="L149" s="1" t="str">
        <f t="shared" si="18"/>
        <v>Normal</v>
      </c>
      <c r="M149" s="2">
        <f t="shared" si="19"/>
        <v>16.911045943304007</v>
      </c>
      <c r="N149" s="1" t="str">
        <f t="shared" si="20"/>
        <v>Kering</v>
      </c>
      <c r="O149" t="str">
        <f t="shared" si="21"/>
        <v>Fuzzy</v>
      </c>
      <c r="P149" t="str">
        <f t="shared" si="22"/>
        <v>Fuzzy</v>
      </c>
    </row>
    <row r="150" spans="1:16" x14ac:dyDescent="0.35">
      <c r="A150" t="s">
        <v>153</v>
      </c>
      <c r="B150">
        <v>4363</v>
      </c>
      <c r="C150">
        <v>29</v>
      </c>
      <c r="D150">
        <v>74</v>
      </c>
      <c r="E150">
        <v>347</v>
      </c>
      <c r="F150">
        <v>6</v>
      </c>
      <c r="K150" s="1">
        <f t="shared" si="23"/>
        <v>347</v>
      </c>
      <c r="L150" s="1" t="str">
        <f t="shared" si="18"/>
        <v>Normal</v>
      </c>
      <c r="M150" s="2">
        <f t="shared" si="19"/>
        <v>11.75</v>
      </c>
      <c r="N150" s="1" t="str">
        <f t="shared" si="20"/>
        <v>Kering</v>
      </c>
      <c r="O150" t="str">
        <f t="shared" si="21"/>
        <v>Fuzzy</v>
      </c>
      <c r="P150" t="str">
        <f t="shared" si="22"/>
        <v>Fuzzy</v>
      </c>
    </row>
    <row r="151" spans="1:16" x14ac:dyDescent="0.35">
      <c r="A151" t="s">
        <v>154</v>
      </c>
      <c r="B151">
        <v>4364</v>
      </c>
      <c r="C151">
        <v>29</v>
      </c>
      <c r="D151">
        <v>74</v>
      </c>
      <c r="E151">
        <v>406</v>
      </c>
      <c r="F151">
        <v>6</v>
      </c>
      <c r="K151" s="1">
        <f t="shared" si="23"/>
        <v>406</v>
      </c>
      <c r="L151" s="1" t="str">
        <f t="shared" si="18"/>
        <v>Normal</v>
      </c>
      <c r="M151" s="2">
        <f t="shared" si="19"/>
        <v>26.5</v>
      </c>
      <c r="N151" s="1" t="str">
        <f t="shared" si="20"/>
        <v>Kering</v>
      </c>
      <c r="O151" t="str">
        <f t="shared" si="21"/>
        <v>Fuzzy</v>
      </c>
      <c r="P151" t="str">
        <f t="shared" si="22"/>
        <v>Fuzzy</v>
      </c>
    </row>
    <row r="152" spans="1:16" x14ac:dyDescent="0.35">
      <c r="A152" t="s">
        <v>155</v>
      </c>
      <c r="B152">
        <v>4365</v>
      </c>
      <c r="C152">
        <v>28</v>
      </c>
      <c r="D152">
        <v>74</v>
      </c>
      <c r="E152">
        <v>471</v>
      </c>
      <c r="F152">
        <v>6</v>
      </c>
      <c r="K152" s="1">
        <f t="shared" si="23"/>
        <v>471</v>
      </c>
      <c r="L152" s="1" t="str">
        <f t="shared" si="18"/>
        <v>Normal</v>
      </c>
      <c r="M152" s="2">
        <f t="shared" si="19"/>
        <v>42.75</v>
      </c>
      <c r="N152" s="1" t="str">
        <f t="shared" si="20"/>
        <v>Lembab</v>
      </c>
      <c r="O152" t="str">
        <f t="shared" si="21"/>
        <v>Fuzzy</v>
      </c>
      <c r="P152" t="str">
        <f t="shared" si="22"/>
        <v>Fuzzy</v>
      </c>
    </row>
    <row r="153" spans="1:16" x14ac:dyDescent="0.35">
      <c r="A153" t="s">
        <v>156</v>
      </c>
      <c r="B153">
        <v>4366</v>
      </c>
      <c r="C153">
        <v>28</v>
      </c>
      <c r="D153">
        <v>73</v>
      </c>
      <c r="E153">
        <v>517</v>
      </c>
      <c r="F153">
        <v>6</v>
      </c>
      <c r="K153" s="1">
        <f t="shared" si="23"/>
        <v>517</v>
      </c>
      <c r="L153" s="1" t="str">
        <f t="shared" si="18"/>
        <v>Normal</v>
      </c>
      <c r="M153" s="2">
        <f t="shared" si="19"/>
        <v>54.25</v>
      </c>
      <c r="N153" s="1" t="str">
        <f t="shared" si="20"/>
        <v>Lembab</v>
      </c>
      <c r="O153" t="str">
        <f t="shared" si="21"/>
        <v>Fuzzy</v>
      </c>
      <c r="P153" t="str">
        <f t="shared" si="22"/>
        <v>Fuzzy</v>
      </c>
    </row>
    <row r="154" spans="1:16" x14ac:dyDescent="0.35">
      <c r="A154" t="s">
        <v>157</v>
      </c>
      <c r="B154">
        <v>4367</v>
      </c>
      <c r="C154">
        <v>28</v>
      </c>
      <c r="D154">
        <v>71</v>
      </c>
      <c r="E154">
        <v>514</v>
      </c>
      <c r="F154">
        <v>5</v>
      </c>
      <c r="K154" s="1">
        <f t="shared" si="23"/>
        <v>514</v>
      </c>
      <c r="L154" s="1" t="str">
        <f t="shared" si="18"/>
        <v>Normal</v>
      </c>
      <c r="M154" s="2">
        <f t="shared" si="19"/>
        <v>53.5</v>
      </c>
      <c r="N154" s="1" t="str">
        <f t="shared" si="20"/>
        <v>Lembab</v>
      </c>
      <c r="O154" t="str">
        <f t="shared" si="21"/>
        <v>Fuzzy</v>
      </c>
      <c r="P154" t="str">
        <f t="shared" si="22"/>
        <v>Fuzzy</v>
      </c>
    </row>
    <row r="155" spans="1:16" x14ac:dyDescent="0.35">
      <c r="A155" t="s">
        <v>158</v>
      </c>
      <c r="B155">
        <v>4368</v>
      </c>
      <c r="C155">
        <v>28</v>
      </c>
      <c r="D155">
        <v>70</v>
      </c>
      <c r="E155">
        <v>593</v>
      </c>
      <c r="F155">
        <v>6</v>
      </c>
      <c r="K155" s="1">
        <f t="shared" si="23"/>
        <v>593</v>
      </c>
      <c r="L155" s="1" t="str">
        <f t="shared" si="18"/>
        <v>Normal</v>
      </c>
      <c r="M155" s="2">
        <f t="shared" si="19"/>
        <v>73.25</v>
      </c>
      <c r="N155" s="1" t="str">
        <f t="shared" si="20"/>
        <v>Basah</v>
      </c>
      <c r="O155" t="str">
        <f t="shared" si="21"/>
        <v>Fuzzy</v>
      </c>
      <c r="P155" t="str">
        <f t="shared" si="22"/>
        <v>Fuzzy</v>
      </c>
    </row>
    <row r="156" spans="1:16" x14ac:dyDescent="0.35">
      <c r="A156" t="s">
        <v>159</v>
      </c>
      <c r="B156">
        <v>4369</v>
      </c>
      <c r="C156">
        <v>28</v>
      </c>
      <c r="D156">
        <v>70</v>
      </c>
      <c r="E156">
        <v>606</v>
      </c>
      <c r="F156">
        <v>6</v>
      </c>
      <c r="K156" s="1">
        <f t="shared" si="23"/>
        <v>606</v>
      </c>
      <c r="L156" s="1" t="str">
        <f t="shared" si="18"/>
        <v>Normal</v>
      </c>
      <c r="M156" s="2">
        <f t="shared" si="19"/>
        <v>76.5</v>
      </c>
      <c r="N156" s="1" t="str">
        <f t="shared" si="20"/>
        <v>Basah</v>
      </c>
      <c r="O156" t="str">
        <f t="shared" si="21"/>
        <v>Fuzzy</v>
      </c>
      <c r="P156" t="str">
        <f t="shared" si="22"/>
        <v>Fuzzy</v>
      </c>
    </row>
    <row r="157" spans="1:16" x14ac:dyDescent="0.35">
      <c r="A157" t="s">
        <v>160</v>
      </c>
      <c r="B157">
        <v>4370</v>
      </c>
      <c r="C157">
        <v>28</v>
      </c>
      <c r="D157">
        <v>69</v>
      </c>
      <c r="E157">
        <v>583</v>
      </c>
      <c r="F157">
        <v>6</v>
      </c>
      <c r="K157" s="1">
        <f t="shared" si="23"/>
        <v>583</v>
      </c>
      <c r="L157" s="1" t="str">
        <f t="shared" si="18"/>
        <v>Normal</v>
      </c>
      <c r="M157" s="2">
        <f t="shared" si="19"/>
        <v>70.75</v>
      </c>
      <c r="N157" s="1" t="str">
        <f t="shared" si="20"/>
        <v>Basah</v>
      </c>
      <c r="O157" t="str">
        <f t="shared" si="21"/>
        <v>Fuzzy</v>
      </c>
      <c r="P157" t="str">
        <f t="shared" si="22"/>
        <v>Fuzzy</v>
      </c>
    </row>
    <row r="158" spans="1:16" x14ac:dyDescent="0.35">
      <c r="A158" t="s">
        <v>161</v>
      </c>
      <c r="B158">
        <v>4371</v>
      </c>
      <c r="C158">
        <v>28</v>
      </c>
      <c r="D158">
        <v>69</v>
      </c>
      <c r="E158">
        <v>625</v>
      </c>
      <c r="F158">
        <v>6</v>
      </c>
      <c r="K158" s="1">
        <f t="shared" si="23"/>
        <v>625</v>
      </c>
      <c r="L158" s="1" t="str">
        <f t="shared" si="18"/>
        <v>Normal</v>
      </c>
      <c r="M158" s="2">
        <f t="shared" si="19"/>
        <v>81.25</v>
      </c>
      <c r="N158" s="1" t="str">
        <f t="shared" si="20"/>
        <v>Basah</v>
      </c>
      <c r="O158" t="str">
        <f t="shared" si="21"/>
        <v>Fuzzy</v>
      </c>
      <c r="P158" t="str">
        <f t="shared" si="22"/>
        <v>Fuzzy</v>
      </c>
    </row>
    <row r="159" spans="1:16" x14ac:dyDescent="0.35">
      <c r="A159" t="s">
        <v>162</v>
      </c>
      <c r="B159">
        <v>4372</v>
      </c>
      <c r="C159">
        <v>28</v>
      </c>
      <c r="D159">
        <v>69</v>
      </c>
      <c r="E159">
        <v>690</v>
      </c>
      <c r="F159">
        <v>6</v>
      </c>
      <c r="K159" s="1">
        <f t="shared" si="23"/>
        <v>690</v>
      </c>
      <c r="L159" s="1" t="str">
        <f t="shared" si="18"/>
        <v>Normal</v>
      </c>
      <c r="M159" s="2">
        <f t="shared" si="19"/>
        <v>97.5</v>
      </c>
      <c r="N159" s="1" t="str">
        <f t="shared" si="20"/>
        <v>Basah</v>
      </c>
      <c r="O159" t="str">
        <f t="shared" si="21"/>
        <v>Fuzzy</v>
      </c>
      <c r="P159" t="str">
        <f t="shared" si="22"/>
        <v>Fuzzy</v>
      </c>
    </row>
    <row r="160" spans="1:16" x14ac:dyDescent="0.35">
      <c r="A160" t="s">
        <v>163</v>
      </c>
      <c r="B160">
        <v>4373</v>
      </c>
      <c r="C160">
        <v>28</v>
      </c>
      <c r="D160">
        <v>69</v>
      </c>
      <c r="E160">
        <v>934</v>
      </c>
      <c r="F160">
        <v>6</v>
      </c>
      <c r="K160" s="1">
        <f t="shared" si="23"/>
        <v>934</v>
      </c>
      <c r="L160" s="1" t="str">
        <f t="shared" si="18"/>
        <v>Normal</v>
      </c>
      <c r="M160" s="2">
        <f t="shared" si="19"/>
        <v>72.445820433436538</v>
      </c>
      <c r="N160" s="1" t="str">
        <f t="shared" si="20"/>
        <v>Basah</v>
      </c>
      <c r="O160" t="str">
        <f t="shared" si="21"/>
        <v>Fuzzy</v>
      </c>
      <c r="P160" t="str">
        <f t="shared" si="22"/>
        <v>Fuzzy</v>
      </c>
    </row>
    <row r="161" spans="1:16" x14ac:dyDescent="0.35">
      <c r="A161" t="s">
        <v>164</v>
      </c>
      <c r="B161">
        <v>4374</v>
      </c>
      <c r="C161">
        <v>27</v>
      </c>
      <c r="D161">
        <v>68</v>
      </c>
      <c r="E161">
        <v>807</v>
      </c>
      <c r="F161">
        <v>6</v>
      </c>
      <c r="K161" s="1">
        <f t="shared" si="23"/>
        <v>807</v>
      </c>
      <c r="L161" s="1" t="str">
        <f t="shared" si="18"/>
        <v>Normal</v>
      </c>
      <c r="M161" s="2">
        <f t="shared" si="19"/>
        <v>33.126934984520126</v>
      </c>
      <c r="N161" s="1" t="str">
        <f t="shared" si="20"/>
        <v>Lembab</v>
      </c>
      <c r="O161" t="str">
        <f t="shared" si="21"/>
        <v>Fuzzy</v>
      </c>
      <c r="P161" t="str">
        <f t="shared" si="22"/>
        <v>Fuzzy</v>
      </c>
    </row>
    <row r="162" spans="1:16" x14ac:dyDescent="0.35">
      <c r="A162" t="s">
        <v>165</v>
      </c>
      <c r="B162">
        <v>4375</v>
      </c>
      <c r="C162">
        <v>27</v>
      </c>
      <c r="D162">
        <v>68</v>
      </c>
      <c r="E162">
        <v>692</v>
      </c>
      <c r="F162">
        <v>6</v>
      </c>
      <c r="K162" s="1">
        <f t="shared" si="23"/>
        <v>692</v>
      </c>
      <c r="L162" s="1" t="str">
        <f t="shared" si="18"/>
        <v>Normal</v>
      </c>
      <c r="M162" s="2">
        <f t="shared" si="19"/>
        <v>98</v>
      </c>
      <c r="N162" s="1" t="str">
        <f t="shared" si="20"/>
        <v>Basah</v>
      </c>
      <c r="O162" t="str">
        <f t="shared" si="21"/>
        <v>Fuzzy</v>
      </c>
      <c r="P162" t="str">
        <f t="shared" si="22"/>
        <v>Fuzzy</v>
      </c>
    </row>
    <row r="163" spans="1:16" x14ac:dyDescent="0.35">
      <c r="A163" t="s">
        <v>166</v>
      </c>
      <c r="B163">
        <v>4376</v>
      </c>
      <c r="C163">
        <v>27</v>
      </c>
      <c r="D163">
        <v>68</v>
      </c>
      <c r="E163">
        <v>653</v>
      </c>
      <c r="F163">
        <v>6</v>
      </c>
      <c r="K163" s="1">
        <f t="shared" si="23"/>
        <v>653</v>
      </c>
      <c r="L163" s="1" t="str">
        <f t="shared" si="18"/>
        <v>Normal</v>
      </c>
      <c r="M163" s="2">
        <f t="shared" si="19"/>
        <v>88.25</v>
      </c>
      <c r="N163" s="1" t="str">
        <f t="shared" si="20"/>
        <v>Basah</v>
      </c>
      <c r="O163" t="str">
        <f t="shared" si="21"/>
        <v>Fuzzy</v>
      </c>
      <c r="P163" t="str">
        <f t="shared" si="22"/>
        <v>Fuzzy</v>
      </c>
    </row>
    <row r="164" spans="1:16" x14ac:dyDescent="0.35">
      <c r="A164" t="s">
        <v>167</v>
      </c>
      <c r="B164">
        <v>4377</v>
      </c>
      <c r="C164">
        <v>27</v>
      </c>
      <c r="D164">
        <v>68</v>
      </c>
      <c r="E164">
        <v>650</v>
      </c>
      <c r="F164">
        <v>6</v>
      </c>
      <c r="K164" s="1">
        <f t="shared" si="23"/>
        <v>650</v>
      </c>
      <c r="L164" s="1" t="str">
        <f t="shared" si="18"/>
        <v>Normal</v>
      </c>
      <c r="M164" s="2">
        <f t="shared" si="19"/>
        <v>87.5</v>
      </c>
      <c r="N164" s="1" t="str">
        <f t="shared" si="20"/>
        <v>Basah</v>
      </c>
      <c r="O164" t="str">
        <f t="shared" si="21"/>
        <v>Fuzzy</v>
      </c>
      <c r="P164" t="str">
        <f t="shared" si="22"/>
        <v>Fuzzy</v>
      </c>
    </row>
    <row r="165" spans="1:16" x14ac:dyDescent="0.35">
      <c r="A165" t="s">
        <v>168</v>
      </c>
      <c r="B165">
        <v>4378</v>
      </c>
      <c r="C165">
        <v>27</v>
      </c>
      <c r="D165">
        <v>68</v>
      </c>
      <c r="E165">
        <v>663</v>
      </c>
      <c r="F165">
        <v>7</v>
      </c>
      <c r="K165" s="1">
        <f t="shared" si="23"/>
        <v>663</v>
      </c>
      <c r="L165" s="1" t="str">
        <f t="shared" si="18"/>
        <v>Normal</v>
      </c>
      <c r="M165" s="2">
        <f t="shared" si="19"/>
        <v>90.75</v>
      </c>
      <c r="N165" s="1" t="str">
        <f t="shared" si="20"/>
        <v>Basah</v>
      </c>
      <c r="O165" t="str">
        <f t="shared" si="21"/>
        <v>Fuzzy</v>
      </c>
      <c r="P165" t="str">
        <f t="shared" si="22"/>
        <v>Fuzzy</v>
      </c>
    </row>
    <row r="166" spans="1:16" x14ac:dyDescent="0.35">
      <c r="A166" t="s">
        <v>169</v>
      </c>
      <c r="B166">
        <v>4379</v>
      </c>
      <c r="C166">
        <v>27</v>
      </c>
      <c r="D166">
        <v>67</v>
      </c>
      <c r="E166">
        <v>669</v>
      </c>
      <c r="F166">
        <v>6</v>
      </c>
      <c r="K166" s="1">
        <f t="shared" si="23"/>
        <v>669</v>
      </c>
      <c r="L166" s="1" t="str">
        <f t="shared" si="18"/>
        <v>Normal</v>
      </c>
      <c r="M166" s="2">
        <f t="shared" si="19"/>
        <v>92.25</v>
      </c>
      <c r="N166" s="1" t="str">
        <f t="shared" si="20"/>
        <v>Basah</v>
      </c>
      <c r="O166" t="str">
        <f t="shared" si="21"/>
        <v>Fuzzy</v>
      </c>
      <c r="P166" t="str">
        <f t="shared" si="22"/>
        <v>Fuzzy</v>
      </c>
    </row>
    <row r="167" spans="1:16" x14ac:dyDescent="0.35">
      <c r="A167" t="s">
        <v>170</v>
      </c>
      <c r="B167">
        <v>4380</v>
      </c>
      <c r="C167">
        <v>27</v>
      </c>
      <c r="D167">
        <v>67</v>
      </c>
      <c r="E167">
        <v>687</v>
      </c>
      <c r="F167">
        <v>6</v>
      </c>
      <c r="K167" s="1">
        <f t="shared" si="23"/>
        <v>687</v>
      </c>
      <c r="L167" s="1" t="str">
        <f t="shared" si="18"/>
        <v>Normal</v>
      </c>
      <c r="M167" s="2">
        <f t="shared" si="19"/>
        <v>96.75</v>
      </c>
      <c r="N167" s="1" t="str">
        <f t="shared" si="20"/>
        <v>Basah</v>
      </c>
      <c r="O167" t="str">
        <f t="shared" si="21"/>
        <v>Fuzzy</v>
      </c>
      <c r="P167" t="str">
        <f t="shared" si="22"/>
        <v>Fuzzy</v>
      </c>
    </row>
    <row r="168" spans="1:16" x14ac:dyDescent="0.35">
      <c r="A168" t="s">
        <v>171</v>
      </c>
      <c r="B168">
        <v>4381</v>
      </c>
      <c r="C168">
        <v>27</v>
      </c>
      <c r="D168">
        <v>66</v>
      </c>
      <c r="E168">
        <v>679</v>
      </c>
      <c r="F168">
        <v>6</v>
      </c>
      <c r="K168" s="1">
        <f t="shared" si="23"/>
        <v>679</v>
      </c>
      <c r="L168" s="1" t="str">
        <f t="shared" si="18"/>
        <v>Normal</v>
      </c>
      <c r="M168" s="2">
        <f t="shared" si="19"/>
        <v>94.75</v>
      </c>
      <c r="N168" s="1" t="str">
        <f t="shared" si="20"/>
        <v>Basah</v>
      </c>
      <c r="O168" t="str">
        <f t="shared" si="21"/>
        <v>Fuzzy</v>
      </c>
      <c r="P168" t="str">
        <f t="shared" si="22"/>
        <v>Fuzzy</v>
      </c>
    </row>
    <row r="169" spans="1:16" x14ac:dyDescent="0.35">
      <c r="A169" t="s">
        <v>172</v>
      </c>
      <c r="B169">
        <v>4382</v>
      </c>
      <c r="C169">
        <v>27</v>
      </c>
      <c r="D169">
        <v>67</v>
      </c>
      <c r="E169">
        <v>681</v>
      </c>
      <c r="F169">
        <v>6</v>
      </c>
      <c r="K169" s="1">
        <f t="shared" si="23"/>
        <v>681</v>
      </c>
      <c r="L169" s="1" t="str">
        <f t="shared" si="18"/>
        <v>Normal</v>
      </c>
      <c r="M169" s="2">
        <f t="shared" si="19"/>
        <v>95.25</v>
      </c>
      <c r="N169" s="1" t="str">
        <f t="shared" si="20"/>
        <v>Basah</v>
      </c>
      <c r="O169" t="str">
        <f t="shared" si="21"/>
        <v>Fuzzy</v>
      </c>
      <c r="P169" t="str">
        <f t="shared" si="22"/>
        <v>Fuzzy</v>
      </c>
    </row>
    <row r="170" spans="1:16" x14ac:dyDescent="0.35">
      <c r="A170" t="s">
        <v>173</v>
      </c>
      <c r="B170">
        <v>4383</v>
      </c>
      <c r="C170">
        <v>27</v>
      </c>
      <c r="D170">
        <v>67</v>
      </c>
      <c r="E170">
        <v>703</v>
      </c>
      <c r="F170">
        <v>6</v>
      </c>
      <c r="K170" s="1">
        <f t="shared" si="23"/>
        <v>703</v>
      </c>
      <c r="L170" s="1" t="str">
        <f t="shared" si="18"/>
        <v>Normal</v>
      </c>
      <c r="M170" s="2">
        <f t="shared" si="19"/>
        <v>0.92879256965944268</v>
      </c>
      <c r="N170" s="1" t="str">
        <f t="shared" si="20"/>
        <v>Kering</v>
      </c>
      <c r="O170" t="str">
        <f t="shared" si="21"/>
        <v>Fuzzy</v>
      </c>
      <c r="P170" t="str">
        <f t="shared" si="22"/>
        <v>Fuzzy</v>
      </c>
    </row>
    <row r="171" spans="1:16" x14ac:dyDescent="0.35">
      <c r="A171" t="s">
        <v>174</v>
      </c>
      <c r="B171">
        <v>4384</v>
      </c>
      <c r="C171">
        <v>27</v>
      </c>
      <c r="D171">
        <v>66</v>
      </c>
      <c r="E171">
        <v>665</v>
      </c>
      <c r="F171">
        <v>6</v>
      </c>
      <c r="K171" s="1">
        <f t="shared" si="23"/>
        <v>665</v>
      </c>
      <c r="L171" s="1" t="str">
        <f t="shared" si="18"/>
        <v>Normal</v>
      </c>
      <c r="M171" s="2">
        <f t="shared" si="19"/>
        <v>91.25</v>
      </c>
      <c r="N171" s="1" t="str">
        <f t="shared" si="20"/>
        <v>Basah</v>
      </c>
      <c r="O171" t="str">
        <f t="shared" si="21"/>
        <v>Fuzzy</v>
      </c>
      <c r="P171" t="str">
        <f t="shared" si="22"/>
        <v>Fuzzy</v>
      </c>
    </row>
    <row r="172" spans="1:16" x14ac:dyDescent="0.35">
      <c r="A172" t="s">
        <v>175</v>
      </c>
      <c r="B172">
        <v>4385</v>
      </c>
      <c r="C172">
        <v>27</v>
      </c>
      <c r="D172">
        <v>66</v>
      </c>
      <c r="E172">
        <v>637</v>
      </c>
      <c r="F172">
        <v>6</v>
      </c>
      <c r="K172" s="1">
        <f t="shared" si="23"/>
        <v>637</v>
      </c>
      <c r="L172" s="1" t="str">
        <f t="shared" si="18"/>
        <v>Normal</v>
      </c>
      <c r="M172" s="2">
        <f t="shared" si="19"/>
        <v>84.25</v>
      </c>
      <c r="N172" s="1" t="str">
        <f t="shared" si="20"/>
        <v>Basah</v>
      </c>
      <c r="O172" t="str">
        <f t="shared" si="21"/>
        <v>Fuzzy</v>
      </c>
      <c r="P172" t="str">
        <f t="shared" si="22"/>
        <v>Fuzzy</v>
      </c>
    </row>
    <row r="173" spans="1:16" x14ac:dyDescent="0.35">
      <c r="A173" t="s">
        <v>176</v>
      </c>
      <c r="B173">
        <v>4386</v>
      </c>
      <c r="C173">
        <v>27</v>
      </c>
      <c r="D173">
        <v>66</v>
      </c>
      <c r="E173">
        <v>700</v>
      </c>
      <c r="F173">
        <v>6</v>
      </c>
      <c r="K173" s="1">
        <f t="shared" si="23"/>
        <v>700</v>
      </c>
      <c r="L173" s="1" t="str">
        <f t="shared" si="18"/>
        <v>Normal</v>
      </c>
      <c r="M173" s="2">
        <f t="shared" si="19"/>
        <v>100</v>
      </c>
      <c r="N173" s="1" t="str">
        <f t="shared" si="20"/>
        <v>Basah</v>
      </c>
      <c r="O173" t="str">
        <f t="shared" si="21"/>
        <v>Fuzzy</v>
      </c>
      <c r="P173" t="str">
        <f t="shared" si="22"/>
        <v/>
      </c>
    </row>
    <row r="174" spans="1:16" x14ac:dyDescent="0.35">
      <c r="A174" t="s">
        <v>177</v>
      </c>
      <c r="B174">
        <v>4387</v>
      </c>
      <c r="C174">
        <v>27</v>
      </c>
      <c r="D174">
        <v>66</v>
      </c>
      <c r="E174">
        <v>634</v>
      </c>
      <c r="F174">
        <v>6</v>
      </c>
      <c r="K174" s="1">
        <f t="shared" si="23"/>
        <v>634</v>
      </c>
      <c r="L174" s="1" t="str">
        <f t="shared" si="18"/>
        <v>Normal</v>
      </c>
      <c r="M174" s="2">
        <f t="shared" si="19"/>
        <v>83.5</v>
      </c>
      <c r="N174" s="1" t="str">
        <f t="shared" si="20"/>
        <v>Basah</v>
      </c>
      <c r="O174" t="str">
        <f t="shared" si="21"/>
        <v>Fuzzy</v>
      </c>
      <c r="P174" t="str">
        <f t="shared" si="22"/>
        <v>Fuzzy</v>
      </c>
    </row>
    <row r="175" spans="1:16" x14ac:dyDescent="0.35">
      <c r="A175" t="s">
        <v>178</v>
      </c>
      <c r="B175">
        <v>4388</v>
      </c>
      <c r="C175">
        <v>27</v>
      </c>
      <c r="D175">
        <v>66</v>
      </c>
      <c r="E175">
        <v>658</v>
      </c>
      <c r="F175">
        <v>6</v>
      </c>
      <c r="K175" s="1">
        <f t="shared" si="23"/>
        <v>658</v>
      </c>
      <c r="L175" s="1" t="str">
        <f t="shared" si="18"/>
        <v>Normal</v>
      </c>
      <c r="M175" s="2">
        <f t="shared" si="19"/>
        <v>89.5</v>
      </c>
      <c r="N175" s="1" t="str">
        <f t="shared" si="20"/>
        <v>Basah</v>
      </c>
      <c r="O175" t="str">
        <f t="shared" si="21"/>
        <v>Fuzzy</v>
      </c>
      <c r="P175" t="str">
        <f t="shared" si="22"/>
        <v>Fuzzy</v>
      </c>
    </row>
    <row r="176" spans="1:16" x14ac:dyDescent="0.35">
      <c r="A176" t="s">
        <v>179</v>
      </c>
      <c r="B176">
        <v>4389</v>
      </c>
      <c r="C176">
        <v>27</v>
      </c>
      <c r="D176">
        <v>66</v>
      </c>
      <c r="E176">
        <v>646</v>
      </c>
      <c r="F176">
        <v>6</v>
      </c>
      <c r="K176" s="1">
        <f t="shared" si="23"/>
        <v>646</v>
      </c>
      <c r="L176" s="1" t="str">
        <f t="shared" si="18"/>
        <v>Normal</v>
      </c>
      <c r="M176" s="2">
        <f t="shared" si="19"/>
        <v>86.5</v>
      </c>
      <c r="N176" s="1" t="str">
        <f t="shared" si="20"/>
        <v>Basah</v>
      </c>
      <c r="O176" t="str">
        <f t="shared" si="21"/>
        <v>Fuzzy</v>
      </c>
      <c r="P176" t="str">
        <f t="shared" si="22"/>
        <v>Fuzzy</v>
      </c>
    </row>
    <row r="177" spans="1:16" x14ac:dyDescent="0.35">
      <c r="A177" t="s">
        <v>180</v>
      </c>
      <c r="B177">
        <v>4390</v>
      </c>
      <c r="C177">
        <v>27</v>
      </c>
      <c r="D177">
        <v>66</v>
      </c>
      <c r="E177">
        <v>654</v>
      </c>
      <c r="F177">
        <v>6</v>
      </c>
      <c r="K177" s="1">
        <f t="shared" si="23"/>
        <v>654</v>
      </c>
      <c r="L177" s="1" t="str">
        <f t="shared" si="18"/>
        <v>Normal</v>
      </c>
      <c r="M177" s="2">
        <f t="shared" si="19"/>
        <v>88.5</v>
      </c>
      <c r="N177" s="1" t="str">
        <f t="shared" si="20"/>
        <v>Basah</v>
      </c>
      <c r="O177" t="str">
        <f t="shared" si="21"/>
        <v>Fuzzy</v>
      </c>
      <c r="P177" t="str">
        <f t="shared" si="22"/>
        <v>Fuzzy</v>
      </c>
    </row>
    <row r="178" spans="1:16" x14ac:dyDescent="0.35">
      <c r="A178" t="s">
        <v>181</v>
      </c>
      <c r="B178">
        <v>4391</v>
      </c>
      <c r="C178">
        <v>26</v>
      </c>
      <c r="D178">
        <v>66</v>
      </c>
      <c r="E178">
        <v>663</v>
      </c>
      <c r="F178">
        <v>6</v>
      </c>
      <c r="K178" s="1">
        <f t="shared" si="23"/>
        <v>663</v>
      </c>
      <c r="L178" s="1" t="str">
        <f t="shared" si="18"/>
        <v>Normal</v>
      </c>
      <c r="M178" s="2">
        <f t="shared" si="19"/>
        <v>90.75</v>
      </c>
      <c r="N178" s="1" t="str">
        <f t="shared" si="20"/>
        <v>Basah</v>
      </c>
      <c r="O178" t="str">
        <f t="shared" si="21"/>
        <v>Fuzzy</v>
      </c>
      <c r="P178" t="str">
        <f t="shared" si="22"/>
        <v>Fuzzy</v>
      </c>
    </row>
    <row r="179" spans="1:16" x14ac:dyDescent="0.35">
      <c r="A179" t="s">
        <v>182</v>
      </c>
      <c r="B179">
        <v>4392</v>
      </c>
      <c r="C179">
        <v>26</v>
      </c>
      <c r="D179">
        <v>66</v>
      </c>
      <c r="E179">
        <v>584</v>
      </c>
      <c r="F179">
        <v>6</v>
      </c>
      <c r="K179" s="1">
        <f t="shared" si="23"/>
        <v>584</v>
      </c>
      <c r="L179" s="1" t="str">
        <f t="shared" si="18"/>
        <v>Normal</v>
      </c>
      <c r="M179" s="2">
        <f t="shared" si="19"/>
        <v>71</v>
      </c>
      <c r="N179" s="1" t="str">
        <f t="shared" si="20"/>
        <v>Basah</v>
      </c>
      <c r="O179" t="str">
        <f t="shared" si="21"/>
        <v>Fuzzy</v>
      </c>
      <c r="P179" t="str">
        <f t="shared" si="22"/>
        <v>Fuzzy</v>
      </c>
    </row>
    <row r="180" spans="1:16" x14ac:dyDescent="0.35">
      <c r="A180" t="s">
        <v>183</v>
      </c>
      <c r="B180">
        <v>4393</v>
      </c>
      <c r="C180">
        <v>26</v>
      </c>
      <c r="D180">
        <v>67</v>
      </c>
      <c r="E180">
        <v>640</v>
      </c>
      <c r="F180">
        <v>6</v>
      </c>
      <c r="K180" s="1">
        <f t="shared" si="23"/>
        <v>640</v>
      </c>
      <c r="L180" s="1" t="str">
        <f t="shared" si="18"/>
        <v>Normal</v>
      </c>
      <c r="M180" s="2">
        <f t="shared" si="19"/>
        <v>85</v>
      </c>
      <c r="N180" s="1" t="str">
        <f t="shared" si="20"/>
        <v>Basah</v>
      </c>
      <c r="O180" t="str">
        <f t="shared" si="21"/>
        <v>Fuzzy</v>
      </c>
      <c r="P180" t="str">
        <f t="shared" si="22"/>
        <v>Fuzzy</v>
      </c>
    </row>
    <row r="181" spans="1:16" x14ac:dyDescent="0.35">
      <c r="A181" t="s">
        <v>184</v>
      </c>
      <c r="B181">
        <v>4394</v>
      </c>
      <c r="C181">
        <v>26</v>
      </c>
      <c r="D181">
        <v>66</v>
      </c>
      <c r="E181">
        <v>673</v>
      </c>
      <c r="F181">
        <v>6</v>
      </c>
      <c r="K181" s="1">
        <f t="shared" si="23"/>
        <v>673</v>
      </c>
      <c r="L181" s="1" t="str">
        <f t="shared" si="18"/>
        <v>Normal</v>
      </c>
      <c r="M181" s="2">
        <f t="shared" si="19"/>
        <v>93.25</v>
      </c>
      <c r="N181" s="1" t="str">
        <f t="shared" si="20"/>
        <v>Basah</v>
      </c>
      <c r="O181" t="str">
        <f t="shared" si="21"/>
        <v>Fuzzy</v>
      </c>
      <c r="P181" t="str">
        <f t="shared" si="22"/>
        <v>Fuzzy</v>
      </c>
    </row>
    <row r="182" spans="1:16" x14ac:dyDescent="0.35">
      <c r="A182" t="s">
        <v>185</v>
      </c>
      <c r="B182">
        <v>4395</v>
      </c>
      <c r="C182">
        <v>26</v>
      </c>
      <c r="D182">
        <v>66</v>
      </c>
      <c r="E182">
        <v>614</v>
      </c>
      <c r="F182">
        <v>6</v>
      </c>
      <c r="K182" s="1">
        <f t="shared" si="23"/>
        <v>614</v>
      </c>
      <c r="L182" s="1" t="str">
        <f t="shared" si="18"/>
        <v>Normal</v>
      </c>
      <c r="M182" s="2">
        <f t="shared" si="19"/>
        <v>78.5</v>
      </c>
      <c r="N182" s="1" t="str">
        <f t="shared" si="20"/>
        <v>Basah</v>
      </c>
      <c r="O182" t="str">
        <f t="shared" si="21"/>
        <v>Fuzzy</v>
      </c>
      <c r="P182" t="str">
        <f t="shared" si="22"/>
        <v>Fuzzy</v>
      </c>
    </row>
    <row r="183" spans="1:16" x14ac:dyDescent="0.35">
      <c r="A183" t="s">
        <v>186</v>
      </c>
      <c r="B183">
        <v>4396</v>
      </c>
      <c r="C183">
        <v>26</v>
      </c>
      <c r="D183">
        <v>66</v>
      </c>
      <c r="E183">
        <v>719</v>
      </c>
      <c r="F183">
        <v>6</v>
      </c>
      <c r="K183" s="1">
        <f t="shared" si="23"/>
        <v>719</v>
      </c>
      <c r="L183" s="1" t="str">
        <f t="shared" si="18"/>
        <v>Normal</v>
      </c>
      <c r="M183" s="2">
        <f t="shared" si="19"/>
        <v>5.8823529411764701</v>
      </c>
      <c r="N183" s="1" t="str">
        <f t="shared" si="20"/>
        <v>Kering</v>
      </c>
      <c r="O183" t="str">
        <f t="shared" si="21"/>
        <v>Fuzzy</v>
      </c>
      <c r="P183" t="str">
        <f t="shared" si="22"/>
        <v>Fuzzy</v>
      </c>
    </row>
    <row r="184" spans="1:16" x14ac:dyDescent="0.35">
      <c r="A184" t="s">
        <v>187</v>
      </c>
      <c r="B184">
        <v>4397</v>
      </c>
      <c r="C184">
        <v>26</v>
      </c>
      <c r="D184">
        <v>66</v>
      </c>
      <c r="E184">
        <v>646</v>
      </c>
      <c r="F184">
        <v>6</v>
      </c>
      <c r="K184" s="1">
        <f t="shared" si="23"/>
        <v>646</v>
      </c>
      <c r="L184" s="1" t="str">
        <f t="shared" si="18"/>
        <v>Normal</v>
      </c>
      <c r="M184" s="2">
        <f t="shared" si="19"/>
        <v>86.5</v>
      </c>
      <c r="N184" s="1" t="str">
        <f t="shared" si="20"/>
        <v>Basah</v>
      </c>
      <c r="O184" t="str">
        <f t="shared" si="21"/>
        <v>Fuzzy</v>
      </c>
      <c r="P184" t="str">
        <f t="shared" si="22"/>
        <v>Fuzzy</v>
      </c>
    </row>
    <row r="185" spans="1:16" x14ac:dyDescent="0.35">
      <c r="A185" t="s">
        <v>188</v>
      </c>
      <c r="B185">
        <v>4398</v>
      </c>
      <c r="C185">
        <v>26</v>
      </c>
      <c r="D185">
        <v>65</v>
      </c>
      <c r="E185">
        <v>656</v>
      </c>
      <c r="F185">
        <v>6</v>
      </c>
      <c r="K185" s="1">
        <f t="shared" si="23"/>
        <v>656</v>
      </c>
      <c r="L185" s="1" t="str">
        <f t="shared" si="18"/>
        <v>Normal</v>
      </c>
      <c r="M185" s="2">
        <f t="shared" si="19"/>
        <v>89</v>
      </c>
      <c r="N185" s="1" t="str">
        <f t="shared" si="20"/>
        <v>Basah</v>
      </c>
      <c r="O185" t="str">
        <f t="shared" si="21"/>
        <v>Fuzzy</v>
      </c>
      <c r="P185" t="str">
        <f t="shared" si="22"/>
        <v>Fuzzy</v>
      </c>
    </row>
    <row r="186" spans="1:16" x14ac:dyDescent="0.35">
      <c r="A186" t="s">
        <v>189</v>
      </c>
      <c r="B186">
        <v>4399</v>
      </c>
      <c r="C186">
        <v>26</v>
      </c>
      <c r="D186">
        <v>66</v>
      </c>
      <c r="E186">
        <v>648</v>
      </c>
      <c r="F186">
        <v>6</v>
      </c>
      <c r="K186" s="1">
        <f t="shared" si="23"/>
        <v>648</v>
      </c>
      <c r="L186" s="1" t="str">
        <f t="shared" si="18"/>
        <v>Normal</v>
      </c>
      <c r="M186" s="2">
        <f t="shared" si="19"/>
        <v>87</v>
      </c>
      <c r="N186" s="1" t="str">
        <f t="shared" si="20"/>
        <v>Basah</v>
      </c>
      <c r="O186" t="str">
        <f t="shared" si="21"/>
        <v>Fuzzy</v>
      </c>
      <c r="P186" t="str">
        <f t="shared" si="22"/>
        <v>Fuzzy</v>
      </c>
    </row>
    <row r="187" spans="1:16" x14ac:dyDescent="0.35">
      <c r="A187" t="s">
        <v>190</v>
      </c>
      <c r="B187">
        <v>4400</v>
      </c>
      <c r="C187">
        <v>26</v>
      </c>
      <c r="D187">
        <v>66</v>
      </c>
      <c r="E187">
        <v>656</v>
      </c>
      <c r="F187">
        <v>6</v>
      </c>
      <c r="K187" s="1">
        <f t="shared" si="23"/>
        <v>656</v>
      </c>
      <c r="L187" s="1" t="str">
        <f t="shared" si="18"/>
        <v>Normal</v>
      </c>
      <c r="M187" s="2">
        <f t="shared" si="19"/>
        <v>89</v>
      </c>
      <c r="N187" s="1" t="str">
        <f t="shared" si="20"/>
        <v>Basah</v>
      </c>
      <c r="O187" t="str">
        <f t="shared" si="21"/>
        <v>Fuzzy</v>
      </c>
      <c r="P187" t="str">
        <f t="shared" si="22"/>
        <v>Fuzzy</v>
      </c>
    </row>
    <row r="188" spans="1:16" x14ac:dyDescent="0.35">
      <c r="A188" t="s">
        <v>191</v>
      </c>
      <c r="B188">
        <v>4401</v>
      </c>
      <c r="C188">
        <v>26</v>
      </c>
      <c r="D188">
        <v>66</v>
      </c>
      <c r="E188">
        <v>706</v>
      </c>
      <c r="F188">
        <v>6</v>
      </c>
      <c r="K188" s="1">
        <f t="shared" si="23"/>
        <v>706</v>
      </c>
      <c r="L188" s="1" t="str">
        <f t="shared" si="18"/>
        <v>Normal</v>
      </c>
      <c r="M188" s="2">
        <f t="shared" si="19"/>
        <v>1.8575851393188854</v>
      </c>
      <c r="N188" s="1" t="str">
        <f t="shared" si="20"/>
        <v>Kering</v>
      </c>
      <c r="O188" t="str">
        <f t="shared" si="21"/>
        <v>Fuzzy</v>
      </c>
      <c r="P188" t="str">
        <f t="shared" si="22"/>
        <v>Fuzzy</v>
      </c>
    </row>
    <row r="189" spans="1:16" x14ac:dyDescent="0.35">
      <c r="A189" t="s">
        <v>192</v>
      </c>
      <c r="B189">
        <v>4402</v>
      </c>
      <c r="C189">
        <v>26</v>
      </c>
      <c r="D189">
        <v>66</v>
      </c>
      <c r="E189">
        <v>650</v>
      </c>
      <c r="F189">
        <v>6</v>
      </c>
      <c r="K189" s="1">
        <f t="shared" si="23"/>
        <v>650</v>
      </c>
      <c r="L189" s="1" t="str">
        <f t="shared" si="18"/>
        <v>Normal</v>
      </c>
      <c r="M189" s="2">
        <f t="shared" si="19"/>
        <v>87.5</v>
      </c>
      <c r="N189" s="1" t="str">
        <f t="shared" si="20"/>
        <v>Basah</v>
      </c>
      <c r="O189" t="str">
        <f t="shared" si="21"/>
        <v>Fuzzy</v>
      </c>
      <c r="P189" t="str">
        <f t="shared" si="22"/>
        <v>Fuzzy</v>
      </c>
    </row>
    <row r="190" spans="1:16" x14ac:dyDescent="0.35">
      <c r="A190" t="s">
        <v>193</v>
      </c>
      <c r="B190">
        <v>4403</v>
      </c>
      <c r="C190">
        <v>26</v>
      </c>
      <c r="D190">
        <v>66</v>
      </c>
      <c r="E190">
        <v>685</v>
      </c>
      <c r="F190">
        <v>6</v>
      </c>
      <c r="K190" s="1">
        <f t="shared" si="23"/>
        <v>685</v>
      </c>
      <c r="L190" s="1" t="str">
        <f t="shared" si="18"/>
        <v>Normal</v>
      </c>
      <c r="M190" s="2">
        <f t="shared" si="19"/>
        <v>96.25</v>
      </c>
      <c r="N190" s="1" t="str">
        <f t="shared" si="20"/>
        <v>Basah</v>
      </c>
      <c r="O190" t="str">
        <f t="shared" si="21"/>
        <v>Fuzzy</v>
      </c>
      <c r="P190" t="str">
        <f t="shared" si="22"/>
        <v>Fuzzy</v>
      </c>
    </row>
    <row r="191" spans="1:16" x14ac:dyDescent="0.35">
      <c r="A191" t="s">
        <v>194</v>
      </c>
      <c r="B191">
        <v>4404</v>
      </c>
      <c r="C191">
        <v>26</v>
      </c>
      <c r="D191">
        <v>66</v>
      </c>
      <c r="E191">
        <v>584</v>
      </c>
      <c r="F191">
        <v>6</v>
      </c>
      <c r="K191" s="1">
        <f t="shared" si="23"/>
        <v>584</v>
      </c>
      <c r="L191" s="1" t="str">
        <f t="shared" si="18"/>
        <v>Normal</v>
      </c>
      <c r="M191" s="2">
        <f t="shared" si="19"/>
        <v>71</v>
      </c>
      <c r="N191" s="1" t="str">
        <f t="shared" si="20"/>
        <v>Basah</v>
      </c>
      <c r="O191" t="str">
        <f t="shared" si="21"/>
        <v>Fuzzy</v>
      </c>
      <c r="P191" t="str">
        <f t="shared" si="22"/>
        <v>Fuzzy</v>
      </c>
    </row>
    <row r="192" spans="1:16" x14ac:dyDescent="0.35">
      <c r="A192" t="s">
        <v>195</v>
      </c>
      <c r="B192">
        <v>4405</v>
      </c>
      <c r="C192">
        <v>26</v>
      </c>
      <c r="D192">
        <v>65</v>
      </c>
      <c r="E192">
        <v>636</v>
      </c>
      <c r="F192">
        <v>5</v>
      </c>
      <c r="K192" s="1">
        <f t="shared" si="23"/>
        <v>636</v>
      </c>
      <c r="L192" s="1" t="str">
        <f t="shared" si="18"/>
        <v>Normal</v>
      </c>
      <c r="M192" s="2">
        <f t="shared" si="19"/>
        <v>84</v>
      </c>
      <c r="N192" s="1" t="str">
        <f t="shared" si="20"/>
        <v>Basah</v>
      </c>
      <c r="O192" t="str">
        <f t="shared" si="21"/>
        <v>Fuzzy</v>
      </c>
      <c r="P192" t="str">
        <f t="shared" si="22"/>
        <v>Fuzzy</v>
      </c>
    </row>
    <row r="193" spans="1:16" x14ac:dyDescent="0.35">
      <c r="A193" t="s">
        <v>196</v>
      </c>
      <c r="B193">
        <v>4406</v>
      </c>
      <c r="C193">
        <v>26</v>
      </c>
      <c r="D193">
        <v>66</v>
      </c>
      <c r="E193">
        <v>653</v>
      </c>
      <c r="F193">
        <v>6</v>
      </c>
      <c r="K193" s="1">
        <f t="shared" si="23"/>
        <v>653</v>
      </c>
      <c r="L193" s="1" t="str">
        <f t="shared" si="18"/>
        <v>Normal</v>
      </c>
      <c r="M193" s="2">
        <f t="shared" si="19"/>
        <v>88.25</v>
      </c>
      <c r="N193" s="1" t="str">
        <f t="shared" si="20"/>
        <v>Basah</v>
      </c>
      <c r="O193" t="str">
        <f t="shared" si="21"/>
        <v>Fuzzy</v>
      </c>
      <c r="P193" t="str">
        <f t="shared" si="22"/>
        <v>Fuzzy</v>
      </c>
    </row>
    <row r="194" spans="1:16" x14ac:dyDescent="0.35">
      <c r="A194" t="s">
        <v>197</v>
      </c>
      <c r="B194">
        <v>4407</v>
      </c>
      <c r="C194">
        <v>26</v>
      </c>
      <c r="D194">
        <v>66</v>
      </c>
      <c r="E194">
        <v>669</v>
      </c>
      <c r="F194">
        <v>6</v>
      </c>
      <c r="K194" s="1">
        <f t="shared" si="23"/>
        <v>669</v>
      </c>
      <c r="L194" s="1" t="str">
        <f t="shared" si="18"/>
        <v>Normal</v>
      </c>
      <c r="M194" s="2">
        <f t="shared" si="19"/>
        <v>92.25</v>
      </c>
      <c r="N194" s="1" t="str">
        <f t="shared" si="20"/>
        <v>Basah</v>
      </c>
      <c r="O194" t="str">
        <f t="shared" si="21"/>
        <v>Fuzzy</v>
      </c>
      <c r="P194" t="str">
        <f t="shared" si="22"/>
        <v>Fuzzy</v>
      </c>
    </row>
    <row r="195" spans="1:16" x14ac:dyDescent="0.35">
      <c r="A195" t="s">
        <v>198</v>
      </c>
      <c r="B195">
        <v>4408</v>
      </c>
      <c r="C195">
        <v>26</v>
      </c>
      <c r="D195">
        <v>66</v>
      </c>
      <c r="E195">
        <v>663</v>
      </c>
      <c r="F195">
        <v>6</v>
      </c>
      <c r="K195" s="1">
        <f t="shared" si="23"/>
        <v>663</v>
      </c>
      <c r="L195" s="1" t="str">
        <f t="shared" ref="L195:L258" si="24">IF(A194 &lt;= 10, "Dingin", IF(OR(A194 &gt;= 10, A194 &lt; 35), "Normal", "Panas"))</f>
        <v>Normal</v>
      </c>
      <c r="M195" s="2">
        <f t="shared" ref="M195:M258" si="25">IF(K195&lt;=300, K195/1023*100, IF(K195&lt;=700, (K195-300)/(700-301+1)*100, (K195-700)/(1023-701+1)*100))</f>
        <v>90.75</v>
      </c>
      <c r="N195" s="1" t="str">
        <f t="shared" ref="N195:N258" si="26">IF(M195&lt;=29.32, "Kering", IF(M195&lt;=68.53, "Lembab", "Basah"))</f>
        <v>Basah</v>
      </c>
      <c r="O195" t="str">
        <f t="shared" ref="O195:O258" si="27">IF(OR(AND(C195 &gt; 10, C195 &lt; 22.5), AND(C195 &gt;= 22.5, C195 &lt; 35)), "Fuzzy", "")</f>
        <v>Fuzzy</v>
      </c>
      <c r="P195" t="str">
        <f t="shared" ref="P195:P258" si="28">IF(OR(AND(M195 &gt;= 0, M195 &lt; 50), AND(M195 &gt;= 50, M195 &lt; 100)), "Fuzzy", "")</f>
        <v>Fuzzy</v>
      </c>
    </row>
    <row r="196" spans="1:16" x14ac:dyDescent="0.35">
      <c r="A196" t="s">
        <v>199</v>
      </c>
      <c r="B196">
        <v>4409</v>
      </c>
      <c r="C196">
        <v>26</v>
      </c>
      <c r="D196">
        <v>66</v>
      </c>
      <c r="E196">
        <v>670</v>
      </c>
      <c r="F196">
        <v>6</v>
      </c>
      <c r="K196" s="1">
        <f t="shared" si="23"/>
        <v>670</v>
      </c>
      <c r="L196" s="1" t="str">
        <f t="shared" si="24"/>
        <v>Normal</v>
      </c>
      <c r="M196" s="2">
        <f t="shared" si="25"/>
        <v>92.5</v>
      </c>
      <c r="N196" s="1" t="str">
        <f t="shared" si="26"/>
        <v>Basah</v>
      </c>
      <c r="O196" t="str">
        <f t="shared" si="27"/>
        <v>Fuzzy</v>
      </c>
      <c r="P196" t="str">
        <f t="shared" si="28"/>
        <v>Fuzzy</v>
      </c>
    </row>
    <row r="197" spans="1:16" x14ac:dyDescent="0.35">
      <c r="A197" t="s">
        <v>200</v>
      </c>
      <c r="B197">
        <v>4410</v>
      </c>
      <c r="C197">
        <v>26</v>
      </c>
      <c r="D197">
        <v>66</v>
      </c>
      <c r="E197">
        <v>920</v>
      </c>
      <c r="F197">
        <v>6</v>
      </c>
      <c r="K197" s="1">
        <f t="shared" si="23"/>
        <v>920</v>
      </c>
      <c r="L197" s="1" t="str">
        <f t="shared" si="24"/>
        <v>Normal</v>
      </c>
      <c r="M197" s="2">
        <f t="shared" si="25"/>
        <v>68.111455108359138</v>
      </c>
      <c r="N197" s="1" t="str">
        <f t="shared" si="26"/>
        <v>Lembab</v>
      </c>
      <c r="O197" t="str">
        <f t="shared" si="27"/>
        <v>Fuzzy</v>
      </c>
      <c r="P197" t="str">
        <f t="shared" si="28"/>
        <v>Fuzzy</v>
      </c>
    </row>
    <row r="198" spans="1:16" x14ac:dyDescent="0.35">
      <c r="A198" t="s">
        <v>201</v>
      </c>
      <c r="B198">
        <v>4411</v>
      </c>
      <c r="C198">
        <v>26</v>
      </c>
      <c r="D198">
        <v>65</v>
      </c>
      <c r="E198">
        <v>713</v>
      </c>
      <c r="F198">
        <v>6</v>
      </c>
      <c r="K198" s="1">
        <f t="shared" si="23"/>
        <v>713</v>
      </c>
      <c r="L198" s="1" t="str">
        <f t="shared" si="24"/>
        <v>Normal</v>
      </c>
      <c r="M198" s="2">
        <f t="shared" si="25"/>
        <v>4.0247678018575854</v>
      </c>
      <c r="N198" s="1" t="str">
        <f t="shared" si="26"/>
        <v>Kering</v>
      </c>
      <c r="O198" t="str">
        <f t="shared" si="27"/>
        <v>Fuzzy</v>
      </c>
      <c r="P198" t="str">
        <f t="shared" si="28"/>
        <v>Fuzzy</v>
      </c>
    </row>
    <row r="199" spans="1:16" x14ac:dyDescent="0.35">
      <c r="A199" t="s">
        <v>202</v>
      </c>
      <c r="B199">
        <v>4412</v>
      </c>
      <c r="C199">
        <v>26</v>
      </c>
      <c r="D199">
        <v>66</v>
      </c>
      <c r="E199">
        <v>688</v>
      </c>
      <c r="F199">
        <v>6</v>
      </c>
      <c r="K199" s="1">
        <f t="shared" si="23"/>
        <v>688</v>
      </c>
      <c r="L199" s="1" t="str">
        <f t="shared" si="24"/>
        <v>Normal</v>
      </c>
      <c r="M199" s="2">
        <f t="shared" si="25"/>
        <v>97</v>
      </c>
      <c r="N199" s="1" t="str">
        <f t="shared" si="26"/>
        <v>Basah</v>
      </c>
      <c r="O199" t="str">
        <f t="shared" si="27"/>
        <v>Fuzzy</v>
      </c>
      <c r="P199" t="str">
        <f t="shared" si="28"/>
        <v>Fuzzy</v>
      </c>
    </row>
    <row r="200" spans="1:16" x14ac:dyDescent="0.35">
      <c r="A200" t="s">
        <v>203</v>
      </c>
      <c r="B200">
        <v>4413</v>
      </c>
      <c r="C200">
        <v>26</v>
      </c>
      <c r="D200">
        <v>65</v>
      </c>
      <c r="E200">
        <v>707</v>
      </c>
      <c r="F200">
        <v>6</v>
      </c>
      <c r="K200" s="1">
        <f t="shared" si="23"/>
        <v>707</v>
      </c>
      <c r="L200" s="1" t="str">
        <f t="shared" si="24"/>
        <v>Normal</v>
      </c>
      <c r="M200" s="2">
        <f t="shared" si="25"/>
        <v>2.1671826625386998</v>
      </c>
      <c r="N200" s="1" t="str">
        <f t="shared" si="26"/>
        <v>Kering</v>
      </c>
      <c r="O200" t="str">
        <f t="shared" si="27"/>
        <v>Fuzzy</v>
      </c>
      <c r="P200" t="str">
        <f t="shared" si="28"/>
        <v>Fuzzy</v>
      </c>
    </row>
    <row r="201" spans="1:16" x14ac:dyDescent="0.35">
      <c r="A201" t="s">
        <v>204</v>
      </c>
      <c r="B201">
        <v>4414</v>
      </c>
      <c r="C201">
        <v>26</v>
      </c>
      <c r="D201">
        <v>65</v>
      </c>
      <c r="E201">
        <v>638</v>
      </c>
      <c r="F201">
        <v>6</v>
      </c>
      <c r="K201" s="1">
        <f t="shared" si="23"/>
        <v>638</v>
      </c>
      <c r="L201" s="1" t="str">
        <f t="shared" si="24"/>
        <v>Normal</v>
      </c>
      <c r="M201" s="2">
        <f t="shared" si="25"/>
        <v>84.5</v>
      </c>
      <c r="N201" s="1" t="str">
        <f t="shared" si="26"/>
        <v>Basah</v>
      </c>
      <c r="O201" t="str">
        <f t="shared" si="27"/>
        <v>Fuzzy</v>
      </c>
      <c r="P201" t="str">
        <f t="shared" si="28"/>
        <v>Fuzzy</v>
      </c>
    </row>
    <row r="202" spans="1:16" x14ac:dyDescent="0.35">
      <c r="A202" t="s">
        <v>205</v>
      </c>
      <c r="B202">
        <v>4415</v>
      </c>
      <c r="C202">
        <v>26</v>
      </c>
      <c r="D202">
        <v>65</v>
      </c>
      <c r="E202">
        <v>669</v>
      </c>
      <c r="F202">
        <v>6</v>
      </c>
      <c r="K202" s="1">
        <f t="shared" si="23"/>
        <v>669</v>
      </c>
      <c r="L202" s="1" t="str">
        <f t="shared" si="24"/>
        <v>Normal</v>
      </c>
      <c r="M202" s="2">
        <f t="shared" si="25"/>
        <v>92.25</v>
      </c>
      <c r="N202" s="1" t="str">
        <f t="shared" si="26"/>
        <v>Basah</v>
      </c>
      <c r="O202" t="str">
        <f t="shared" si="27"/>
        <v>Fuzzy</v>
      </c>
      <c r="P202" t="str">
        <f t="shared" si="28"/>
        <v>Fuzzy</v>
      </c>
    </row>
    <row r="203" spans="1:16" x14ac:dyDescent="0.35">
      <c r="A203" t="s">
        <v>206</v>
      </c>
      <c r="B203">
        <v>4416</v>
      </c>
      <c r="C203">
        <v>26</v>
      </c>
      <c r="D203">
        <v>65</v>
      </c>
      <c r="E203">
        <v>779</v>
      </c>
      <c r="F203">
        <v>7</v>
      </c>
      <c r="K203" s="1">
        <f t="shared" si="23"/>
        <v>779</v>
      </c>
      <c r="L203" s="1" t="str">
        <f t="shared" si="24"/>
        <v>Normal</v>
      </c>
      <c r="M203" s="2">
        <f t="shared" si="25"/>
        <v>24.458204334365323</v>
      </c>
      <c r="N203" s="1" t="str">
        <f t="shared" si="26"/>
        <v>Kering</v>
      </c>
      <c r="O203" t="str">
        <f t="shared" si="27"/>
        <v>Fuzzy</v>
      </c>
      <c r="P203" t="str">
        <f t="shared" si="28"/>
        <v>Fuzzy</v>
      </c>
    </row>
    <row r="204" spans="1:16" x14ac:dyDescent="0.35">
      <c r="A204" t="s">
        <v>207</v>
      </c>
      <c r="B204">
        <v>4417</v>
      </c>
      <c r="C204">
        <v>26</v>
      </c>
      <c r="D204">
        <v>65</v>
      </c>
      <c r="E204">
        <v>678</v>
      </c>
      <c r="F204">
        <v>6</v>
      </c>
      <c r="K204" s="1">
        <f t="shared" si="23"/>
        <v>678</v>
      </c>
      <c r="L204" s="1" t="str">
        <f t="shared" si="24"/>
        <v>Normal</v>
      </c>
      <c r="M204" s="2">
        <f t="shared" si="25"/>
        <v>94.5</v>
      </c>
      <c r="N204" s="1" t="str">
        <f t="shared" si="26"/>
        <v>Basah</v>
      </c>
      <c r="O204" t="str">
        <f t="shared" si="27"/>
        <v>Fuzzy</v>
      </c>
      <c r="P204" t="str">
        <f t="shared" si="28"/>
        <v>Fuzzy</v>
      </c>
    </row>
    <row r="205" spans="1:16" x14ac:dyDescent="0.35">
      <c r="A205" t="s">
        <v>208</v>
      </c>
      <c r="B205">
        <v>4418</v>
      </c>
      <c r="C205">
        <v>26</v>
      </c>
      <c r="D205">
        <v>65</v>
      </c>
      <c r="E205">
        <v>659</v>
      </c>
      <c r="F205">
        <v>6</v>
      </c>
      <c r="K205" s="1">
        <f t="shared" ref="K205:K268" si="29">IF(E205&lt;=1023, E205, "")</f>
        <v>659</v>
      </c>
      <c r="L205" s="1" t="str">
        <f t="shared" si="24"/>
        <v>Normal</v>
      </c>
      <c r="M205" s="2">
        <f t="shared" si="25"/>
        <v>89.75</v>
      </c>
      <c r="N205" s="1" t="str">
        <f t="shared" si="26"/>
        <v>Basah</v>
      </c>
      <c r="O205" t="str">
        <f t="shared" si="27"/>
        <v>Fuzzy</v>
      </c>
      <c r="P205" t="str">
        <f t="shared" si="28"/>
        <v>Fuzzy</v>
      </c>
    </row>
    <row r="206" spans="1:16" x14ac:dyDescent="0.35">
      <c r="A206" t="s">
        <v>209</v>
      </c>
      <c r="B206">
        <v>4419</v>
      </c>
      <c r="C206">
        <v>26</v>
      </c>
      <c r="D206">
        <v>65</v>
      </c>
      <c r="E206">
        <v>780</v>
      </c>
      <c r="F206">
        <v>6</v>
      </c>
      <c r="K206" s="1">
        <f t="shared" si="29"/>
        <v>780</v>
      </c>
      <c r="L206" s="1" t="str">
        <f t="shared" si="24"/>
        <v>Normal</v>
      </c>
      <c r="M206" s="2">
        <f t="shared" si="25"/>
        <v>24.767801857585141</v>
      </c>
      <c r="N206" s="1" t="str">
        <f t="shared" si="26"/>
        <v>Kering</v>
      </c>
      <c r="O206" t="str">
        <f t="shared" si="27"/>
        <v>Fuzzy</v>
      </c>
      <c r="P206" t="str">
        <f t="shared" si="28"/>
        <v>Fuzzy</v>
      </c>
    </row>
    <row r="207" spans="1:16" x14ac:dyDescent="0.35">
      <c r="A207" t="s">
        <v>210</v>
      </c>
      <c r="B207">
        <v>4420</v>
      </c>
      <c r="C207">
        <v>26</v>
      </c>
      <c r="D207">
        <v>65</v>
      </c>
      <c r="E207">
        <v>708</v>
      </c>
      <c r="F207">
        <v>5</v>
      </c>
      <c r="K207" s="1">
        <f t="shared" si="29"/>
        <v>708</v>
      </c>
      <c r="L207" s="1" t="str">
        <f t="shared" si="24"/>
        <v>Normal</v>
      </c>
      <c r="M207" s="2">
        <f t="shared" si="25"/>
        <v>2.4767801857585141</v>
      </c>
      <c r="N207" s="1" t="str">
        <f t="shared" si="26"/>
        <v>Kering</v>
      </c>
      <c r="O207" t="str">
        <f t="shared" si="27"/>
        <v>Fuzzy</v>
      </c>
      <c r="P207" t="str">
        <f t="shared" si="28"/>
        <v>Fuzzy</v>
      </c>
    </row>
    <row r="208" spans="1:16" x14ac:dyDescent="0.35">
      <c r="A208" t="s">
        <v>211</v>
      </c>
      <c r="B208">
        <v>4421</v>
      </c>
      <c r="C208">
        <v>26</v>
      </c>
      <c r="D208">
        <v>65</v>
      </c>
      <c r="E208">
        <v>596</v>
      </c>
      <c r="F208">
        <v>6</v>
      </c>
      <c r="K208" s="1">
        <f t="shared" si="29"/>
        <v>596</v>
      </c>
      <c r="L208" s="1" t="str">
        <f t="shared" si="24"/>
        <v>Normal</v>
      </c>
      <c r="M208" s="2">
        <f t="shared" si="25"/>
        <v>74</v>
      </c>
      <c r="N208" s="1" t="str">
        <f t="shared" si="26"/>
        <v>Basah</v>
      </c>
      <c r="O208" t="str">
        <f t="shared" si="27"/>
        <v>Fuzzy</v>
      </c>
      <c r="P208" t="str">
        <f t="shared" si="28"/>
        <v>Fuzzy</v>
      </c>
    </row>
    <row r="209" spans="1:16" x14ac:dyDescent="0.35">
      <c r="A209" t="s">
        <v>212</v>
      </c>
      <c r="B209">
        <v>4422</v>
      </c>
      <c r="C209">
        <v>26</v>
      </c>
      <c r="D209">
        <v>65</v>
      </c>
      <c r="E209">
        <v>650</v>
      </c>
      <c r="F209">
        <v>6</v>
      </c>
      <c r="K209" s="1">
        <f t="shared" si="29"/>
        <v>650</v>
      </c>
      <c r="L209" s="1" t="str">
        <f t="shared" si="24"/>
        <v>Normal</v>
      </c>
      <c r="M209" s="2">
        <f t="shared" si="25"/>
        <v>87.5</v>
      </c>
      <c r="N209" s="1" t="str">
        <f t="shared" si="26"/>
        <v>Basah</v>
      </c>
      <c r="O209" t="str">
        <f t="shared" si="27"/>
        <v>Fuzzy</v>
      </c>
      <c r="P209" t="str">
        <f t="shared" si="28"/>
        <v>Fuzzy</v>
      </c>
    </row>
    <row r="210" spans="1:16" x14ac:dyDescent="0.35">
      <c r="A210" t="s">
        <v>213</v>
      </c>
      <c r="B210">
        <v>4423</v>
      </c>
      <c r="C210">
        <v>26</v>
      </c>
      <c r="D210">
        <v>65</v>
      </c>
      <c r="E210">
        <v>637</v>
      </c>
      <c r="F210">
        <v>6</v>
      </c>
      <c r="K210" s="1">
        <f t="shared" si="29"/>
        <v>637</v>
      </c>
      <c r="L210" s="1" t="str">
        <f t="shared" si="24"/>
        <v>Normal</v>
      </c>
      <c r="M210" s="2">
        <f t="shared" si="25"/>
        <v>84.25</v>
      </c>
      <c r="N210" s="1" t="str">
        <f t="shared" si="26"/>
        <v>Basah</v>
      </c>
      <c r="O210" t="str">
        <f t="shared" si="27"/>
        <v>Fuzzy</v>
      </c>
      <c r="P210" t="str">
        <f t="shared" si="28"/>
        <v>Fuzzy</v>
      </c>
    </row>
    <row r="211" spans="1:16" x14ac:dyDescent="0.35">
      <c r="A211" t="s">
        <v>214</v>
      </c>
      <c r="B211">
        <v>4424</v>
      </c>
      <c r="C211">
        <v>26</v>
      </c>
      <c r="D211">
        <v>65</v>
      </c>
      <c r="E211">
        <v>603</v>
      </c>
      <c r="F211">
        <v>6</v>
      </c>
      <c r="K211" s="1">
        <f t="shared" si="29"/>
        <v>603</v>
      </c>
      <c r="L211" s="1" t="str">
        <f t="shared" si="24"/>
        <v>Normal</v>
      </c>
      <c r="M211" s="2">
        <f t="shared" si="25"/>
        <v>75.75</v>
      </c>
      <c r="N211" s="1" t="str">
        <f t="shared" si="26"/>
        <v>Basah</v>
      </c>
      <c r="O211" t="str">
        <f t="shared" si="27"/>
        <v>Fuzzy</v>
      </c>
      <c r="P211" t="str">
        <f t="shared" si="28"/>
        <v>Fuzzy</v>
      </c>
    </row>
    <row r="212" spans="1:16" x14ac:dyDescent="0.35">
      <c r="A212" t="s">
        <v>215</v>
      </c>
      <c r="B212">
        <v>4425</v>
      </c>
      <c r="C212">
        <v>26</v>
      </c>
      <c r="D212">
        <v>65</v>
      </c>
      <c r="E212">
        <v>534</v>
      </c>
      <c r="F212">
        <v>6</v>
      </c>
      <c r="K212" s="1">
        <f t="shared" si="29"/>
        <v>534</v>
      </c>
      <c r="L212" s="1" t="str">
        <f t="shared" si="24"/>
        <v>Normal</v>
      </c>
      <c r="M212" s="2">
        <f t="shared" si="25"/>
        <v>58.5</v>
      </c>
      <c r="N212" s="1" t="str">
        <f t="shared" si="26"/>
        <v>Lembab</v>
      </c>
      <c r="O212" t="str">
        <f t="shared" si="27"/>
        <v>Fuzzy</v>
      </c>
      <c r="P212" t="str">
        <f t="shared" si="28"/>
        <v>Fuzzy</v>
      </c>
    </row>
    <row r="213" spans="1:16" x14ac:dyDescent="0.35">
      <c r="A213" t="s">
        <v>216</v>
      </c>
      <c r="B213">
        <v>4426</v>
      </c>
      <c r="C213">
        <v>26</v>
      </c>
      <c r="D213">
        <v>65</v>
      </c>
      <c r="E213">
        <v>575</v>
      </c>
      <c r="F213">
        <v>6</v>
      </c>
      <c r="K213" s="1">
        <f t="shared" si="29"/>
        <v>575</v>
      </c>
      <c r="L213" s="1" t="str">
        <f t="shared" si="24"/>
        <v>Normal</v>
      </c>
      <c r="M213" s="2">
        <f t="shared" si="25"/>
        <v>68.75</v>
      </c>
      <c r="N213" s="1" t="str">
        <f t="shared" si="26"/>
        <v>Basah</v>
      </c>
      <c r="O213" t="str">
        <f t="shared" si="27"/>
        <v>Fuzzy</v>
      </c>
      <c r="P213" t="str">
        <f t="shared" si="28"/>
        <v>Fuzzy</v>
      </c>
    </row>
    <row r="214" spans="1:16" x14ac:dyDescent="0.35">
      <c r="A214" t="s">
        <v>217</v>
      </c>
      <c r="B214">
        <v>4427</v>
      </c>
      <c r="C214">
        <v>26</v>
      </c>
      <c r="D214">
        <v>65</v>
      </c>
      <c r="E214">
        <v>623</v>
      </c>
      <c r="F214">
        <v>6</v>
      </c>
      <c r="K214" s="1">
        <f t="shared" si="29"/>
        <v>623</v>
      </c>
      <c r="L214" s="1" t="str">
        <f t="shared" si="24"/>
        <v>Normal</v>
      </c>
      <c r="M214" s="2">
        <f t="shared" si="25"/>
        <v>80.75</v>
      </c>
      <c r="N214" s="1" t="str">
        <f t="shared" si="26"/>
        <v>Basah</v>
      </c>
      <c r="O214" t="str">
        <f t="shared" si="27"/>
        <v>Fuzzy</v>
      </c>
      <c r="P214" t="str">
        <f t="shared" si="28"/>
        <v>Fuzzy</v>
      </c>
    </row>
    <row r="215" spans="1:16" x14ac:dyDescent="0.35">
      <c r="A215" t="s">
        <v>218</v>
      </c>
      <c r="B215">
        <v>4428</v>
      </c>
      <c r="C215">
        <v>26</v>
      </c>
      <c r="D215">
        <v>65</v>
      </c>
      <c r="E215">
        <v>646</v>
      </c>
      <c r="F215">
        <v>6</v>
      </c>
      <c r="K215" s="1">
        <f t="shared" si="29"/>
        <v>646</v>
      </c>
      <c r="L215" s="1" t="str">
        <f t="shared" si="24"/>
        <v>Normal</v>
      </c>
      <c r="M215" s="2">
        <f t="shared" si="25"/>
        <v>86.5</v>
      </c>
      <c r="N215" s="1" t="str">
        <f t="shared" si="26"/>
        <v>Basah</v>
      </c>
      <c r="O215" t="str">
        <f t="shared" si="27"/>
        <v>Fuzzy</v>
      </c>
      <c r="P215" t="str">
        <f t="shared" si="28"/>
        <v>Fuzzy</v>
      </c>
    </row>
    <row r="216" spans="1:16" x14ac:dyDescent="0.35">
      <c r="A216" t="s">
        <v>219</v>
      </c>
      <c r="B216">
        <v>4429</v>
      </c>
      <c r="C216">
        <v>26</v>
      </c>
      <c r="D216">
        <v>65</v>
      </c>
      <c r="E216">
        <v>650</v>
      </c>
      <c r="F216">
        <v>7</v>
      </c>
      <c r="K216" s="1">
        <f t="shared" si="29"/>
        <v>650</v>
      </c>
      <c r="L216" s="1" t="str">
        <f t="shared" si="24"/>
        <v>Normal</v>
      </c>
      <c r="M216" s="2">
        <f t="shared" si="25"/>
        <v>87.5</v>
      </c>
      <c r="N216" s="1" t="str">
        <f t="shared" si="26"/>
        <v>Basah</v>
      </c>
      <c r="O216" t="str">
        <f t="shared" si="27"/>
        <v>Fuzzy</v>
      </c>
      <c r="P216" t="str">
        <f t="shared" si="28"/>
        <v>Fuzzy</v>
      </c>
    </row>
    <row r="217" spans="1:16" x14ac:dyDescent="0.35">
      <c r="A217" t="s">
        <v>220</v>
      </c>
      <c r="B217">
        <v>4430</v>
      </c>
      <c r="C217">
        <v>26</v>
      </c>
      <c r="D217">
        <v>65</v>
      </c>
      <c r="E217">
        <v>657</v>
      </c>
      <c r="F217">
        <v>6</v>
      </c>
      <c r="K217" s="1">
        <f t="shared" si="29"/>
        <v>657</v>
      </c>
      <c r="L217" s="1" t="str">
        <f t="shared" si="24"/>
        <v>Normal</v>
      </c>
      <c r="M217" s="2">
        <f t="shared" si="25"/>
        <v>89.25</v>
      </c>
      <c r="N217" s="1" t="str">
        <f t="shared" si="26"/>
        <v>Basah</v>
      </c>
      <c r="O217" t="str">
        <f t="shared" si="27"/>
        <v>Fuzzy</v>
      </c>
      <c r="P217" t="str">
        <f t="shared" si="28"/>
        <v>Fuzzy</v>
      </c>
    </row>
    <row r="218" spans="1:16" x14ac:dyDescent="0.35">
      <c r="A218" t="s">
        <v>221</v>
      </c>
      <c r="B218">
        <v>4431</v>
      </c>
      <c r="C218">
        <v>26</v>
      </c>
      <c r="D218">
        <v>65</v>
      </c>
      <c r="E218">
        <v>690</v>
      </c>
      <c r="F218">
        <v>6</v>
      </c>
      <c r="K218" s="1">
        <f t="shared" si="29"/>
        <v>690</v>
      </c>
      <c r="L218" s="1" t="str">
        <f t="shared" si="24"/>
        <v>Normal</v>
      </c>
      <c r="M218" s="2">
        <f t="shared" si="25"/>
        <v>97.5</v>
      </c>
      <c r="N218" s="1" t="str">
        <f t="shared" si="26"/>
        <v>Basah</v>
      </c>
      <c r="O218" t="str">
        <f t="shared" si="27"/>
        <v>Fuzzy</v>
      </c>
      <c r="P218" t="str">
        <f t="shared" si="28"/>
        <v>Fuzzy</v>
      </c>
    </row>
    <row r="219" spans="1:16" x14ac:dyDescent="0.35">
      <c r="A219" t="s">
        <v>222</v>
      </c>
      <c r="B219">
        <v>4432</v>
      </c>
      <c r="C219">
        <v>26</v>
      </c>
      <c r="D219">
        <v>64</v>
      </c>
      <c r="E219">
        <v>993</v>
      </c>
      <c r="F219">
        <v>6</v>
      </c>
      <c r="K219" s="1">
        <f t="shared" si="29"/>
        <v>993</v>
      </c>
      <c r="L219" s="1" t="str">
        <f t="shared" si="24"/>
        <v>Normal</v>
      </c>
      <c r="M219" s="2">
        <f t="shared" si="25"/>
        <v>90.712074303405572</v>
      </c>
      <c r="N219" s="1" t="str">
        <f t="shared" si="26"/>
        <v>Basah</v>
      </c>
      <c r="O219" t="str">
        <f t="shared" si="27"/>
        <v>Fuzzy</v>
      </c>
      <c r="P219" t="str">
        <f t="shared" si="28"/>
        <v>Fuzzy</v>
      </c>
    </row>
    <row r="220" spans="1:16" x14ac:dyDescent="0.35">
      <c r="A220" t="s">
        <v>223</v>
      </c>
      <c r="B220">
        <v>4433</v>
      </c>
      <c r="C220">
        <v>26</v>
      </c>
      <c r="D220">
        <v>65</v>
      </c>
      <c r="E220">
        <v>741</v>
      </c>
      <c r="F220">
        <v>6</v>
      </c>
      <c r="K220" s="1">
        <f t="shared" si="29"/>
        <v>741</v>
      </c>
      <c r="L220" s="1" t="str">
        <f t="shared" si="24"/>
        <v>Normal</v>
      </c>
      <c r="M220" s="2">
        <f t="shared" si="25"/>
        <v>12.693498452012383</v>
      </c>
      <c r="N220" s="1" t="str">
        <f t="shared" si="26"/>
        <v>Kering</v>
      </c>
      <c r="O220" t="str">
        <f t="shared" si="27"/>
        <v>Fuzzy</v>
      </c>
      <c r="P220" t="str">
        <f t="shared" si="28"/>
        <v>Fuzzy</v>
      </c>
    </row>
    <row r="221" spans="1:16" x14ac:dyDescent="0.35">
      <c r="A221" t="s">
        <v>224</v>
      </c>
      <c r="B221">
        <v>4434</v>
      </c>
      <c r="C221">
        <v>26</v>
      </c>
      <c r="D221">
        <v>65</v>
      </c>
      <c r="E221">
        <v>697</v>
      </c>
      <c r="F221">
        <v>6</v>
      </c>
      <c r="K221" s="1">
        <f t="shared" si="29"/>
        <v>697</v>
      </c>
      <c r="L221" s="1" t="str">
        <f t="shared" si="24"/>
        <v>Normal</v>
      </c>
      <c r="M221" s="2">
        <f t="shared" si="25"/>
        <v>99.25</v>
      </c>
      <c r="N221" s="1" t="str">
        <f t="shared" si="26"/>
        <v>Basah</v>
      </c>
      <c r="O221" t="str">
        <f t="shared" si="27"/>
        <v>Fuzzy</v>
      </c>
      <c r="P221" t="str">
        <f t="shared" si="28"/>
        <v>Fuzzy</v>
      </c>
    </row>
    <row r="222" spans="1:16" x14ac:dyDescent="0.35">
      <c r="A222" t="s">
        <v>225</v>
      </c>
      <c r="B222">
        <v>4435</v>
      </c>
      <c r="C222">
        <v>25</v>
      </c>
      <c r="D222">
        <v>64</v>
      </c>
      <c r="E222">
        <v>707</v>
      </c>
      <c r="F222">
        <v>6</v>
      </c>
      <c r="K222" s="1">
        <f t="shared" si="29"/>
        <v>707</v>
      </c>
      <c r="L222" s="1" t="str">
        <f t="shared" si="24"/>
        <v>Normal</v>
      </c>
      <c r="M222" s="2">
        <f t="shared" si="25"/>
        <v>2.1671826625386998</v>
      </c>
      <c r="N222" s="1" t="str">
        <f t="shared" si="26"/>
        <v>Kering</v>
      </c>
      <c r="O222" t="str">
        <f t="shared" si="27"/>
        <v>Fuzzy</v>
      </c>
      <c r="P222" t="str">
        <f t="shared" si="28"/>
        <v>Fuzzy</v>
      </c>
    </row>
    <row r="223" spans="1:16" x14ac:dyDescent="0.35">
      <c r="A223" t="s">
        <v>226</v>
      </c>
      <c r="B223">
        <v>4436</v>
      </c>
      <c r="C223">
        <v>25</v>
      </c>
      <c r="D223">
        <v>64</v>
      </c>
      <c r="E223">
        <v>687</v>
      </c>
      <c r="F223">
        <v>6</v>
      </c>
      <c r="K223" s="1">
        <f t="shared" si="29"/>
        <v>687</v>
      </c>
      <c r="L223" s="1" t="str">
        <f t="shared" si="24"/>
        <v>Normal</v>
      </c>
      <c r="M223" s="2">
        <f t="shared" si="25"/>
        <v>96.75</v>
      </c>
      <c r="N223" s="1" t="str">
        <f t="shared" si="26"/>
        <v>Basah</v>
      </c>
      <c r="O223" t="str">
        <f t="shared" si="27"/>
        <v>Fuzzy</v>
      </c>
      <c r="P223" t="str">
        <f t="shared" si="28"/>
        <v>Fuzzy</v>
      </c>
    </row>
    <row r="224" spans="1:16" x14ac:dyDescent="0.35">
      <c r="A224" t="s">
        <v>227</v>
      </c>
      <c r="B224">
        <v>4437</v>
      </c>
      <c r="C224">
        <v>25</v>
      </c>
      <c r="D224">
        <v>64</v>
      </c>
      <c r="E224">
        <v>514</v>
      </c>
      <c r="F224">
        <v>6</v>
      </c>
      <c r="K224" s="1">
        <f t="shared" si="29"/>
        <v>514</v>
      </c>
      <c r="L224" s="1" t="str">
        <f t="shared" si="24"/>
        <v>Normal</v>
      </c>
      <c r="M224" s="2">
        <f t="shared" si="25"/>
        <v>53.5</v>
      </c>
      <c r="N224" s="1" t="str">
        <f t="shared" si="26"/>
        <v>Lembab</v>
      </c>
      <c r="O224" t="str">
        <f t="shared" si="27"/>
        <v>Fuzzy</v>
      </c>
      <c r="P224" t="str">
        <f t="shared" si="28"/>
        <v>Fuzzy</v>
      </c>
    </row>
    <row r="225" spans="1:16" x14ac:dyDescent="0.35">
      <c r="A225" t="s">
        <v>228</v>
      </c>
      <c r="B225">
        <v>4438</v>
      </c>
      <c r="C225">
        <v>25</v>
      </c>
      <c r="D225">
        <v>64</v>
      </c>
      <c r="E225">
        <v>713</v>
      </c>
      <c r="F225">
        <v>6</v>
      </c>
      <c r="K225" s="1">
        <f t="shared" si="29"/>
        <v>713</v>
      </c>
      <c r="L225" s="1" t="str">
        <f t="shared" si="24"/>
        <v>Normal</v>
      </c>
      <c r="M225" s="2">
        <f t="shared" si="25"/>
        <v>4.0247678018575854</v>
      </c>
      <c r="N225" s="1" t="str">
        <f t="shared" si="26"/>
        <v>Kering</v>
      </c>
      <c r="O225" t="str">
        <f t="shared" si="27"/>
        <v>Fuzzy</v>
      </c>
      <c r="P225" t="str">
        <f t="shared" si="28"/>
        <v>Fuzzy</v>
      </c>
    </row>
    <row r="226" spans="1:16" x14ac:dyDescent="0.35">
      <c r="A226" t="s">
        <v>229</v>
      </c>
      <c r="B226">
        <v>4439</v>
      </c>
      <c r="C226">
        <v>25</v>
      </c>
      <c r="D226">
        <v>64</v>
      </c>
      <c r="E226">
        <v>703</v>
      </c>
      <c r="F226">
        <v>6</v>
      </c>
      <c r="K226" s="1">
        <f t="shared" si="29"/>
        <v>703</v>
      </c>
      <c r="L226" s="1" t="str">
        <f t="shared" si="24"/>
        <v>Normal</v>
      </c>
      <c r="M226" s="2">
        <f t="shared" si="25"/>
        <v>0.92879256965944268</v>
      </c>
      <c r="N226" s="1" t="str">
        <f t="shared" si="26"/>
        <v>Kering</v>
      </c>
      <c r="O226" t="str">
        <f t="shared" si="27"/>
        <v>Fuzzy</v>
      </c>
      <c r="P226" t="str">
        <f t="shared" si="28"/>
        <v>Fuzzy</v>
      </c>
    </row>
    <row r="227" spans="1:16" x14ac:dyDescent="0.35">
      <c r="A227" t="s">
        <v>230</v>
      </c>
      <c r="B227">
        <v>4440</v>
      </c>
      <c r="C227">
        <v>25</v>
      </c>
      <c r="D227">
        <v>64</v>
      </c>
      <c r="E227">
        <v>694</v>
      </c>
      <c r="F227">
        <v>6</v>
      </c>
      <c r="K227" s="1">
        <f t="shared" si="29"/>
        <v>694</v>
      </c>
      <c r="L227" s="1" t="str">
        <f t="shared" si="24"/>
        <v>Normal</v>
      </c>
      <c r="M227" s="2">
        <f t="shared" si="25"/>
        <v>98.5</v>
      </c>
      <c r="N227" s="1" t="str">
        <f t="shared" si="26"/>
        <v>Basah</v>
      </c>
      <c r="O227" t="str">
        <f t="shared" si="27"/>
        <v>Fuzzy</v>
      </c>
      <c r="P227" t="str">
        <f t="shared" si="28"/>
        <v>Fuzzy</v>
      </c>
    </row>
    <row r="228" spans="1:16" x14ac:dyDescent="0.35">
      <c r="A228" t="s">
        <v>231</v>
      </c>
      <c r="B228">
        <v>4441</v>
      </c>
      <c r="C228">
        <v>25</v>
      </c>
      <c r="D228">
        <v>63</v>
      </c>
      <c r="E228">
        <v>678</v>
      </c>
      <c r="F228">
        <v>6</v>
      </c>
      <c r="K228" s="1">
        <f t="shared" si="29"/>
        <v>678</v>
      </c>
      <c r="L228" s="1" t="str">
        <f t="shared" si="24"/>
        <v>Normal</v>
      </c>
      <c r="M228" s="2">
        <f t="shared" si="25"/>
        <v>94.5</v>
      </c>
      <c r="N228" s="1" t="str">
        <f t="shared" si="26"/>
        <v>Basah</v>
      </c>
      <c r="O228" t="str">
        <f t="shared" si="27"/>
        <v>Fuzzy</v>
      </c>
      <c r="P228" t="str">
        <f t="shared" si="28"/>
        <v>Fuzzy</v>
      </c>
    </row>
    <row r="229" spans="1:16" x14ac:dyDescent="0.35">
      <c r="A229" t="s">
        <v>232</v>
      </c>
      <c r="B229">
        <v>4442</v>
      </c>
      <c r="C229">
        <v>25</v>
      </c>
      <c r="D229">
        <v>64</v>
      </c>
      <c r="E229">
        <v>700</v>
      </c>
      <c r="F229">
        <v>6</v>
      </c>
      <c r="K229" s="1">
        <f t="shared" si="29"/>
        <v>700</v>
      </c>
      <c r="L229" s="1" t="str">
        <f t="shared" si="24"/>
        <v>Normal</v>
      </c>
      <c r="M229" s="2">
        <f t="shared" si="25"/>
        <v>100</v>
      </c>
      <c r="N229" s="1" t="str">
        <f t="shared" si="26"/>
        <v>Basah</v>
      </c>
      <c r="O229" t="str">
        <f t="shared" si="27"/>
        <v>Fuzzy</v>
      </c>
      <c r="P229" t="str">
        <f t="shared" si="28"/>
        <v/>
      </c>
    </row>
    <row r="230" spans="1:16" x14ac:dyDescent="0.35">
      <c r="A230" t="s">
        <v>233</v>
      </c>
      <c r="B230">
        <v>4443</v>
      </c>
      <c r="C230">
        <v>25</v>
      </c>
      <c r="D230">
        <v>64</v>
      </c>
      <c r="E230">
        <v>940</v>
      </c>
      <c r="F230">
        <v>6</v>
      </c>
      <c r="K230" s="1">
        <f t="shared" si="29"/>
        <v>940</v>
      </c>
      <c r="L230" s="1" t="str">
        <f t="shared" si="24"/>
        <v>Normal</v>
      </c>
      <c r="M230" s="2">
        <f t="shared" si="25"/>
        <v>74.303405572755423</v>
      </c>
      <c r="N230" s="1" t="str">
        <f t="shared" si="26"/>
        <v>Basah</v>
      </c>
      <c r="O230" t="str">
        <f t="shared" si="27"/>
        <v>Fuzzy</v>
      </c>
      <c r="P230" t="str">
        <f t="shared" si="28"/>
        <v>Fuzzy</v>
      </c>
    </row>
    <row r="231" spans="1:16" x14ac:dyDescent="0.35">
      <c r="A231" t="s">
        <v>234</v>
      </c>
      <c r="B231">
        <v>4444</v>
      </c>
      <c r="C231">
        <v>25</v>
      </c>
      <c r="D231">
        <v>64</v>
      </c>
      <c r="E231">
        <v>699</v>
      </c>
      <c r="F231">
        <v>6</v>
      </c>
      <c r="K231" s="1">
        <f t="shared" si="29"/>
        <v>699</v>
      </c>
      <c r="L231" s="1" t="str">
        <f t="shared" si="24"/>
        <v>Normal</v>
      </c>
      <c r="M231" s="2">
        <f t="shared" si="25"/>
        <v>99.75</v>
      </c>
      <c r="N231" s="1" t="str">
        <f t="shared" si="26"/>
        <v>Basah</v>
      </c>
      <c r="O231" t="str">
        <f t="shared" si="27"/>
        <v>Fuzzy</v>
      </c>
      <c r="P231" t="str">
        <f t="shared" si="28"/>
        <v>Fuzzy</v>
      </c>
    </row>
    <row r="232" spans="1:16" x14ac:dyDescent="0.35">
      <c r="A232" t="s">
        <v>235</v>
      </c>
      <c r="B232">
        <v>4445</v>
      </c>
      <c r="C232">
        <v>25</v>
      </c>
      <c r="D232">
        <v>64</v>
      </c>
      <c r="E232">
        <v>945</v>
      </c>
      <c r="F232">
        <v>6</v>
      </c>
      <c r="K232" s="1">
        <f t="shared" si="29"/>
        <v>945</v>
      </c>
      <c r="L232" s="1" t="str">
        <f t="shared" si="24"/>
        <v>Normal</v>
      </c>
      <c r="M232" s="2">
        <f t="shared" si="25"/>
        <v>75.851393188854487</v>
      </c>
      <c r="N232" s="1" t="str">
        <f t="shared" si="26"/>
        <v>Basah</v>
      </c>
      <c r="O232" t="str">
        <f t="shared" si="27"/>
        <v>Fuzzy</v>
      </c>
      <c r="P232" t="str">
        <f t="shared" si="28"/>
        <v>Fuzzy</v>
      </c>
    </row>
    <row r="233" spans="1:16" x14ac:dyDescent="0.35">
      <c r="A233" t="s">
        <v>236</v>
      </c>
      <c r="B233">
        <v>4446</v>
      </c>
      <c r="C233">
        <v>25</v>
      </c>
      <c r="D233">
        <v>63</v>
      </c>
      <c r="E233">
        <v>678</v>
      </c>
      <c r="F233">
        <v>6</v>
      </c>
      <c r="K233" s="1">
        <f t="shared" si="29"/>
        <v>678</v>
      </c>
      <c r="L233" s="1" t="str">
        <f t="shared" si="24"/>
        <v>Normal</v>
      </c>
      <c r="M233" s="2">
        <f t="shared" si="25"/>
        <v>94.5</v>
      </c>
      <c r="N233" s="1" t="str">
        <f t="shared" si="26"/>
        <v>Basah</v>
      </c>
      <c r="O233" t="str">
        <f t="shared" si="27"/>
        <v>Fuzzy</v>
      </c>
      <c r="P233" t="str">
        <f t="shared" si="28"/>
        <v>Fuzzy</v>
      </c>
    </row>
    <row r="234" spans="1:16" x14ac:dyDescent="0.35">
      <c r="A234" t="s">
        <v>237</v>
      </c>
      <c r="B234">
        <v>4447</v>
      </c>
      <c r="C234">
        <v>25</v>
      </c>
      <c r="D234">
        <v>63</v>
      </c>
      <c r="E234">
        <v>679</v>
      </c>
      <c r="F234">
        <v>6</v>
      </c>
      <c r="K234" s="1">
        <f t="shared" si="29"/>
        <v>679</v>
      </c>
      <c r="L234" s="1" t="str">
        <f t="shared" si="24"/>
        <v>Normal</v>
      </c>
      <c r="M234" s="2">
        <f t="shared" si="25"/>
        <v>94.75</v>
      </c>
      <c r="N234" s="1" t="str">
        <f t="shared" si="26"/>
        <v>Basah</v>
      </c>
      <c r="O234" t="str">
        <f t="shared" si="27"/>
        <v>Fuzzy</v>
      </c>
      <c r="P234" t="str">
        <f t="shared" si="28"/>
        <v>Fuzzy</v>
      </c>
    </row>
    <row r="235" spans="1:16" x14ac:dyDescent="0.35">
      <c r="A235" t="s">
        <v>238</v>
      </c>
      <c r="B235">
        <v>4448</v>
      </c>
      <c r="C235">
        <v>25</v>
      </c>
      <c r="D235">
        <v>63</v>
      </c>
      <c r="E235">
        <v>645</v>
      </c>
      <c r="F235">
        <v>6</v>
      </c>
      <c r="K235" s="1">
        <f t="shared" si="29"/>
        <v>645</v>
      </c>
      <c r="L235" s="1" t="str">
        <f t="shared" si="24"/>
        <v>Normal</v>
      </c>
      <c r="M235" s="2">
        <f t="shared" si="25"/>
        <v>86.25</v>
      </c>
      <c r="N235" s="1" t="str">
        <f t="shared" si="26"/>
        <v>Basah</v>
      </c>
      <c r="O235" t="str">
        <f t="shared" si="27"/>
        <v>Fuzzy</v>
      </c>
      <c r="P235" t="str">
        <f t="shared" si="28"/>
        <v>Fuzzy</v>
      </c>
    </row>
    <row r="236" spans="1:16" x14ac:dyDescent="0.35">
      <c r="A236" t="s">
        <v>239</v>
      </c>
      <c r="B236">
        <v>4449</v>
      </c>
      <c r="C236">
        <v>25</v>
      </c>
      <c r="D236">
        <v>63</v>
      </c>
      <c r="E236">
        <v>641</v>
      </c>
      <c r="F236">
        <v>6</v>
      </c>
      <c r="K236" s="1">
        <f t="shared" si="29"/>
        <v>641</v>
      </c>
      <c r="L236" s="1" t="str">
        <f t="shared" si="24"/>
        <v>Normal</v>
      </c>
      <c r="M236" s="2">
        <f t="shared" si="25"/>
        <v>85.25</v>
      </c>
      <c r="N236" s="1" t="str">
        <f t="shared" si="26"/>
        <v>Basah</v>
      </c>
      <c r="O236" t="str">
        <f t="shared" si="27"/>
        <v>Fuzzy</v>
      </c>
      <c r="P236" t="str">
        <f t="shared" si="28"/>
        <v>Fuzzy</v>
      </c>
    </row>
    <row r="237" spans="1:16" x14ac:dyDescent="0.35">
      <c r="A237" t="s">
        <v>240</v>
      </c>
      <c r="B237">
        <v>4450</v>
      </c>
      <c r="C237">
        <v>25</v>
      </c>
      <c r="D237">
        <v>63</v>
      </c>
      <c r="E237">
        <v>698</v>
      </c>
      <c r="F237">
        <v>6</v>
      </c>
      <c r="K237" s="1">
        <f t="shared" si="29"/>
        <v>698</v>
      </c>
      <c r="L237" s="1" t="str">
        <f t="shared" si="24"/>
        <v>Normal</v>
      </c>
      <c r="M237" s="2">
        <f t="shared" si="25"/>
        <v>99.5</v>
      </c>
      <c r="N237" s="1" t="str">
        <f t="shared" si="26"/>
        <v>Basah</v>
      </c>
      <c r="O237" t="str">
        <f t="shared" si="27"/>
        <v>Fuzzy</v>
      </c>
      <c r="P237" t="str">
        <f t="shared" si="28"/>
        <v>Fuzzy</v>
      </c>
    </row>
    <row r="238" spans="1:16" x14ac:dyDescent="0.35">
      <c r="A238" t="s">
        <v>241</v>
      </c>
      <c r="B238">
        <v>4451</v>
      </c>
      <c r="C238">
        <v>25</v>
      </c>
      <c r="D238">
        <v>63</v>
      </c>
      <c r="E238">
        <v>932</v>
      </c>
      <c r="F238">
        <v>6</v>
      </c>
      <c r="K238" s="1">
        <f t="shared" si="29"/>
        <v>932</v>
      </c>
      <c r="L238" s="1" t="str">
        <f t="shared" si="24"/>
        <v>Normal</v>
      </c>
      <c r="M238" s="2">
        <f t="shared" si="25"/>
        <v>71.826625386996895</v>
      </c>
      <c r="N238" s="1" t="str">
        <f t="shared" si="26"/>
        <v>Basah</v>
      </c>
      <c r="O238" t="str">
        <f t="shared" si="27"/>
        <v>Fuzzy</v>
      </c>
      <c r="P238" t="str">
        <f t="shared" si="28"/>
        <v>Fuzzy</v>
      </c>
    </row>
    <row r="239" spans="1:16" x14ac:dyDescent="0.35">
      <c r="A239" t="s">
        <v>242</v>
      </c>
      <c r="B239">
        <v>4452</v>
      </c>
      <c r="C239">
        <v>25</v>
      </c>
      <c r="D239">
        <v>63</v>
      </c>
      <c r="E239">
        <v>637</v>
      </c>
      <c r="F239">
        <v>6</v>
      </c>
      <c r="K239" s="1">
        <f t="shared" si="29"/>
        <v>637</v>
      </c>
      <c r="L239" s="1" t="str">
        <f t="shared" si="24"/>
        <v>Normal</v>
      </c>
      <c r="M239" s="2">
        <f t="shared" si="25"/>
        <v>84.25</v>
      </c>
      <c r="N239" s="1" t="str">
        <f t="shared" si="26"/>
        <v>Basah</v>
      </c>
      <c r="O239" t="str">
        <f t="shared" si="27"/>
        <v>Fuzzy</v>
      </c>
      <c r="P239" t="str">
        <f t="shared" si="28"/>
        <v>Fuzzy</v>
      </c>
    </row>
    <row r="240" spans="1:16" x14ac:dyDescent="0.35">
      <c r="A240" t="s">
        <v>243</v>
      </c>
      <c r="B240">
        <v>4453</v>
      </c>
      <c r="C240">
        <v>25</v>
      </c>
      <c r="D240">
        <v>63</v>
      </c>
      <c r="E240">
        <v>726</v>
      </c>
      <c r="F240">
        <v>6</v>
      </c>
      <c r="K240" s="1">
        <f t="shared" si="29"/>
        <v>726</v>
      </c>
      <c r="L240" s="1" t="str">
        <f t="shared" si="24"/>
        <v>Normal</v>
      </c>
      <c r="M240" s="2">
        <f t="shared" si="25"/>
        <v>8.0495356037151709</v>
      </c>
      <c r="N240" s="1" t="str">
        <f t="shared" si="26"/>
        <v>Kering</v>
      </c>
      <c r="O240" t="str">
        <f t="shared" si="27"/>
        <v>Fuzzy</v>
      </c>
      <c r="P240" t="str">
        <f t="shared" si="28"/>
        <v>Fuzzy</v>
      </c>
    </row>
    <row r="241" spans="1:16" x14ac:dyDescent="0.35">
      <c r="A241" t="s">
        <v>244</v>
      </c>
      <c r="B241">
        <v>4454</v>
      </c>
      <c r="C241">
        <v>25</v>
      </c>
      <c r="D241">
        <v>63</v>
      </c>
      <c r="E241">
        <v>662</v>
      </c>
      <c r="F241">
        <v>6</v>
      </c>
      <c r="K241" s="1">
        <f t="shared" si="29"/>
        <v>662</v>
      </c>
      <c r="L241" s="1" t="str">
        <f t="shared" si="24"/>
        <v>Normal</v>
      </c>
      <c r="M241" s="2">
        <f t="shared" si="25"/>
        <v>90.5</v>
      </c>
      <c r="N241" s="1" t="str">
        <f t="shared" si="26"/>
        <v>Basah</v>
      </c>
      <c r="O241" t="str">
        <f t="shared" si="27"/>
        <v>Fuzzy</v>
      </c>
      <c r="P241" t="str">
        <f t="shared" si="28"/>
        <v>Fuzzy</v>
      </c>
    </row>
    <row r="242" spans="1:16" x14ac:dyDescent="0.35">
      <c r="A242" t="s">
        <v>245</v>
      </c>
      <c r="B242">
        <v>4455</v>
      </c>
      <c r="C242">
        <v>25</v>
      </c>
      <c r="D242">
        <v>63</v>
      </c>
      <c r="E242">
        <v>702</v>
      </c>
      <c r="F242">
        <v>6</v>
      </c>
      <c r="K242" s="1">
        <f t="shared" si="29"/>
        <v>702</v>
      </c>
      <c r="L242" s="1" t="str">
        <f t="shared" si="24"/>
        <v>Normal</v>
      </c>
      <c r="M242" s="2">
        <f t="shared" si="25"/>
        <v>0.61919504643962853</v>
      </c>
      <c r="N242" s="1" t="str">
        <f t="shared" si="26"/>
        <v>Kering</v>
      </c>
      <c r="O242" t="str">
        <f t="shared" si="27"/>
        <v>Fuzzy</v>
      </c>
      <c r="P242" t="str">
        <f t="shared" si="28"/>
        <v>Fuzzy</v>
      </c>
    </row>
    <row r="243" spans="1:16" x14ac:dyDescent="0.35">
      <c r="A243" t="s">
        <v>246</v>
      </c>
      <c r="B243">
        <v>4456</v>
      </c>
      <c r="C243">
        <v>25</v>
      </c>
      <c r="D243">
        <v>63</v>
      </c>
      <c r="E243">
        <v>548</v>
      </c>
      <c r="F243">
        <v>6</v>
      </c>
      <c r="K243" s="1">
        <f t="shared" si="29"/>
        <v>548</v>
      </c>
      <c r="L243" s="1" t="str">
        <f t="shared" si="24"/>
        <v>Normal</v>
      </c>
      <c r="M243" s="2">
        <f t="shared" si="25"/>
        <v>62</v>
      </c>
      <c r="N243" s="1" t="str">
        <f t="shared" si="26"/>
        <v>Lembab</v>
      </c>
      <c r="O243" t="str">
        <f t="shared" si="27"/>
        <v>Fuzzy</v>
      </c>
      <c r="P243" t="str">
        <f t="shared" si="28"/>
        <v>Fuzzy</v>
      </c>
    </row>
    <row r="244" spans="1:16" x14ac:dyDescent="0.35">
      <c r="A244" t="s">
        <v>247</v>
      </c>
      <c r="B244">
        <v>4457</v>
      </c>
      <c r="C244">
        <v>25</v>
      </c>
      <c r="D244">
        <v>63</v>
      </c>
      <c r="E244">
        <v>725</v>
      </c>
      <c r="F244">
        <v>6</v>
      </c>
      <c r="K244" s="1">
        <f t="shared" si="29"/>
        <v>725</v>
      </c>
      <c r="L244" s="1" t="str">
        <f t="shared" si="24"/>
        <v>Normal</v>
      </c>
      <c r="M244" s="2">
        <f t="shared" si="25"/>
        <v>7.7399380804953566</v>
      </c>
      <c r="N244" s="1" t="str">
        <f t="shared" si="26"/>
        <v>Kering</v>
      </c>
      <c r="O244" t="str">
        <f t="shared" si="27"/>
        <v>Fuzzy</v>
      </c>
      <c r="P244" t="str">
        <f t="shared" si="28"/>
        <v>Fuzzy</v>
      </c>
    </row>
    <row r="245" spans="1:16" x14ac:dyDescent="0.35">
      <c r="A245" t="s">
        <v>248</v>
      </c>
      <c r="B245">
        <v>4458</v>
      </c>
      <c r="C245">
        <v>25</v>
      </c>
      <c r="D245">
        <v>63</v>
      </c>
      <c r="E245">
        <v>622</v>
      </c>
      <c r="F245">
        <v>6</v>
      </c>
      <c r="K245" s="1">
        <f t="shared" si="29"/>
        <v>622</v>
      </c>
      <c r="L245" s="1" t="str">
        <f t="shared" si="24"/>
        <v>Normal</v>
      </c>
      <c r="M245" s="2">
        <f t="shared" si="25"/>
        <v>80.5</v>
      </c>
      <c r="N245" s="1" t="str">
        <f t="shared" si="26"/>
        <v>Basah</v>
      </c>
      <c r="O245" t="str">
        <f t="shared" si="27"/>
        <v>Fuzzy</v>
      </c>
      <c r="P245" t="str">
        <f t="shared" si="28"/>
        <v>Fuzzy</v>
      </c>
    </row>
    <row r="246" spans="1:16" x14ac:dyDescent="0.35">
      <c r="A246" t="s">
        <v>249</v>
      </c>
      <c r="B246">
        <v>4459</v>
      </c>
      <c r="C246">
        <v>25</v>
      </c>
      <c r="D246">
        <v>63</v>
      </c>
      <c r="E246">
        <v>676</v>
      </c>
      <c r="F246">
        <v>6</v>
      </c>
      <c r="K246" s="1">
        <f t="shared" si="29"/>
        <v>676</v>
      </c>
      <c r="L246" s="1" t="str">
        <f t="shared" si="24"/>
        <v>Normal</v>
      </c>
      <c r="M246" s="2">
        <f t="shared" si="25"/>
        <v>94</v>
      </c>
      <c r="N246" s="1" t="str">
        <f t="shared" si="26"/>
        <v>Basah</v>
      </c>
      <c r="O246" t="str">
        <f t="shared" si="27"/>
        <v>Fuzzy</v>
      </c>
      <c r="P246" t="str">
        <f t="shared" si="28"/>
        <v>Fuzzy</v>
      </c>
    </row>
    <row r="247" spans="1:16" x14ac:dyDescent="0.35">
      <c r="A247" t="s">
        <v>250</v>
      </c>
      <c r="B247">
        <v>4460</v>
      </c>
      <c r="C247">
        <v>25</v>
      </c>
      <c r="D247">
        <v>64</v>
      </c>
      <c r="E247">
        <v>609</v>
      </c>
      <c r="F247">
        <v>6</v>
      </c>
      <c r="K247" s="1">
        <f t="shared" si="29"/>
        <v>609</v>
      </c>
      <c r="L247" s="1" t="str">
        <f t="shared" si="24"/>
        <v>Normal</v>
      </c>
      <c r="M247" s="2">
        <f t="shared" si="25"/>
        <v>77.25</v>
      </c>
      <c r="N247" s="1" t="str">
        <f t="shared" si="26"/>
        <v>Basah</v>
      </c>
      <c r="O247" t="str">
        <f t="shared" si="27"/>
        <v>Fuzzy</v>
      </c>
      <c r="P247" t="str">
        <f t="shared" si="28"/>
        <v>Fuzzy</v>
      </c>
    </row>
    <row r="248" spans="1:16" x14ac:dyDescent="0.35">
      <c r="A248" t="s">
        <v>251</v>
      </c>
      <c r="B248">
        <v>4461</v>
      </c>
      <c r="C248">
        <v>25</v>
      </c>
      <c r="D248">
        <v>63</v>
      </c>
      <c r="E248">
        <v>674</v>
      </c>
      <c r="F248">
        <v>5</v>
      </c>
      <c r="K248" s="1">
        <f t="shared" si="29"/>
        <v>674</v>
      </c>
      <c r="L248" s="1" t="str">
        <f t="shared" si="24"/>
        <v>Normal</v>
      </c>
      <c r="M248" s="2">
        <f t="shared" si="25"/>
        <v>93.5</v>
      </c>
      <c r="N248" s="1" t="str">
        <f t="shared" si="26"/>
        <v>Basah</v>
      </c>
      <c r="O248" t="str">
        <f t="shared" si="27"/>
        <v>Fuzzy</v>
      </c>
      <c r="P248" t="str">
        <f t="shared" si="28"/>
        <v>Fuzzy</v>
      </c>
    </row>
    <row r="249" spans="1:16" x14ac:dyDescent="0.35">
      <c r="A249" t="s">
        <v>252</v>
      </c>
      <c r="B249">
        <v>4462</v>
      </c>
      <c r="C249">
        <v>25</v>
      </c>
      <c r="D249">
        <v>63</v>
      </c>
      <c r="E249">
        <v>584</v>
      </c>
      <c r="F249">
        <v>6</v>
      </c>
      <c r="K249" s="1">
        <f t="shared" si="29"/>
        <v>584</v>
      </c>
      <c r="L249" s="1" t="str">
        <f t="shared" si="24"/>
        <v>Normal</v>
      </c>
      <c r="M249" s="2">
        <f t="shared" si="25"/>
        <v>71</v>
      </c>
      <c r="N249" s="1" t="str">
        <f t="shared" si="26"/>
        <v>Basah</v>
      </c>
      <c r="O249" t="str">
        <f t="shared" si="27"/>
        <v>Fuzzy</v>
      </c>
      <c r="P249" t="str">
        <f t="shared" si="28"/>
        <v>Fuzzy</v>
      </c>
    </row>
    <row r="250" spans="1:16" x14ac:dyDescent="0.35">
      <c r="A250" t="s">
        <v>253</v>
      </c>
      <c r="B250">
        <v>4463</v>
      </c>
      <c r="C250">
        <v>25</v>
      </c>
      <c r="D250">
        <v>64</v>
      </c>
      <c r="E250">
        <v>769</v>
      </c>
      <c r="F250">
        <v>6</v>
      </c>
      <c r="K250" s="1">
        <f t="shared" si="29"/>
        <v>769</v>
      </c>
      <c r="L250" s="1" t="str">
        <f t="shared" si="24"/>
        <v>Normal</v>
      </c>
      <c r="M250" s="2">
        <f t="shared" si="25"/>
        <v>21.362229102167181</v>
      </c>
      <c r="N250" s="1" t="str">
        <f t="shared" si="26"/>
        <v>Kering</v>
      </c>
      <c r="O250" t="str">
        <f t="shared" si="27"/>
        <v>Fuzzy</v>
      </c>
      <c r="P250" t="str">
        <f t="shared" si="28"/>
        <v>Fuzzy</v>
      </c>
    </row>
    <row r="251" spans="1:16" x14ac:dyDescent="0.35">
      <c r="A251" t="s">
        <v>254</v>
      </c>
      <c r="B251">
        <v>4464</v>
      </c>
      <c r="C251">
        <v>25</v>
      </c>
      <c r="D251">
        <v>63</v>
      </c>
      <c r="E251">
        <v>700</v>
      </c>
      <c r="F251">
        <v>6</v>
      </c>
      <c r="K251" s="1">
        <f t="shared" si="29"/>
        <v>700</v>
      </c>
      <c r="L251" s="1" t="str">
        <f t="shared" si="24"/>
        <v>Normal</v>
      </c>
      <c r="M251" s="2">
        <f t="shared" si="25"/>
        <v>100</v>
      </c>
      <c r="N251" s="1" t="str">
        <f t="shared" si="26"/>
        <v>Basah</v>
      </c>
      <c r="O251" t="str">
        <f t="shared" si="27"/>
        <v>Fuzzy</v>
      </c>
      <c r="P251" t="str">
        <f t="shared" si="28"/>
        <v/>
      </c>
    </row>
    <row r="252" spans="1:16" x14ac:dyDescent="0.35">
      <c r="A252" t="s">
        <v>255</v>
      </c>
      <c r="B252">
        <v>4465</v>
      </c>
      <c r="C252">
        <v>25</v>
      </c>
      <c r="D252">
        <v>63</v>
      </c>
      <c r="E252">
        <v>700</v>
      </c>
      <c r="F252">
        <v>6</v>
      </c>
      <c r="K252" s="1">
        <f t="shared" si="29"/>
        <v>700</v>
      </c>
      <c r="L252" s="1" t="str">
        <f t="shared" si="24"/>
        <v>Normal</v>
      </c>
      <c r="M252" s="2">
        <f t="shared" si="25"/>
        <v>100</v>
      </c>
      <c r="N252" s="1" t="str">
        <f t="shared" si="26"/>
        <v>Basah</v>
      </c>
      <c r="O252" t="str">
        <f t="shared" si="27"/>
        <v>Fuzzy</v>
      </c>
      <c r="P252" t="str">
        <f t="shared" si="28"/>
        <v/>
      </c>
    </row>
    <row r="253" spans="1:16" x14ac:dyDescent="0.35">
      <c r="A253" t="s">
        <v>256</v>
      </c>
      <c r="B253">
        <v>4466</v>
      </c>
      <c r="C253">
        <v>25</v>
      </c>
      <c r="D253">
        <v>64</v>
      </c>
      <c r="E253">
        <v>689</v>
      </c>
      <c r="F253">
        <v>6</v>
      </c>
      <c r="K253" s="1">
        <f t="shared" si="29"/>
        <v>689</v>
      </c>
      <c r="L253" s="1" t="str">
        <f t="shared" si="24"/>
        <v>Normal</v>
      </c>
      <c r="M253" s="2">
        <f t="shared" si="25"/>
        <v>97.25</v>
      </c>
      <c r="N253" s="1" t="str">
        <f t="shared" si="26"/>
        <v>Basah</v>
      </c>
      <c r="O253" t="str">
        <f t="shared" si="27"/>
        <v>Fuzzy</v>
      </c>
      <c r="P253" t="str">
        <f t="shared" si="28"/>
        <v>Fuzzy</v>
      </c>
    </row>
    <row r="254" spans="1:16" x14ac:dyDescent="0.35">
      <c r="A254" t="s">
        <v>257</v>
      </c>
      <c r="B254">
        <v>4467</v>
      </c>
      <c r="C254">
        <v>25</v>
      </c>
      <c r="D254">
        <v>64</v>
      </c>
      <c r="E254">
        <v>766</v>
      </c>
      <c r="F254">
        <v>6</v>
      </c>
      <c r="K254" s="1">
        <f t="shared" si="29"/>
        <v>766</v>
      </c>
      <c r="L254" s="1" t="str">
        <f t="shared" si="24"/>
        <v>Normal</v>
      </c>
      <c r="M254" s="2">
        <f t="shared" si="25"/>
        <v>20.433436532507741</v>
      </c>
      <c r="N254" s="1" t="str">
        <f t="shared" si="26"/>
        <v>Kering</v>
      </c>
      <c r="O254" t="str">
        <f t="shared" si="27"/>
        <v>Fuzzy</v>
      </c>
      <c r="P254" t="str">
        <f t="shared" si="28"/>
        <v>Fuzzy</v>
      </c>
    </row>
    <row r="255" spans="1:16" x14ac:dyDescent="0.35">
      <c r="A255" t="s">
        <v>258</v>
      </c>
      <c r="B255">
        <v>4468</v>
      </c>
      <c r="C255">
        <v>25</v>
      </c>
      <c r="D255">
        <v>64</v>
      </c>
      <c r="E255">
        <v>707</v>
      </c>
      <c r="F255">
        <v>6</v>
      </c>
      <c r="K255" s="1">
        <f t="shared" si="29"/>
        <v>707</v>
      </c>
      <c r="L255" s="1" t="str">
        <f t="shared" si="24"/>
        <v>Normal</v>
      </c>
      <c r="M255" s="2">
        <f t="shared" si="25"/>
        <v>2.1671826625386998</v>
      </c>
      <c r="N255" s="1" t="str">
        <f t="shared" si="26"/>
        <v>Kering</v>
      </c>
      <c r="O255" t="str">
        <f t="shared" si="27"/>
        <v>Fuzzy</v>
      </c>
      <c r="P255" t="str">
        <f t="shared" si="28"/>
        <v>Fuzzy</v>
      </c>
    </row>
    <row r="256" spans="1:16" x14ac:dyDescent="0.35">
      <c r="A256" t="s">
        <v>259</v>
      </c>
      <c r="B256">
        <v>4469</v>
      </c>
      <c r="C256">
        <v>25</v>
      </c>
      <c r="D256">
        <v>64</v>
      </c>
      <c r="E256">
        <v>722</v>
      </c>
      <c r="F256">
        <v>6</v>
      </c>
      <c r="K256" s="1">
        <f t="shared" si="29"/>
        <v>722</v>
      </c>
      <c r="L256" s="1" t="str">
        <f t="shared" si="24"/>
        <v>Normal</v>
      </c>
      <c r="M256" s="2">
        <f t="shared" si="25"/>
        <v>6.8111455108359129</v>
      </c>
      <c r="N256" s="1" t="str">
        <f t="shared" si="26"/>
        <v>Kering</v>
      </c>
      <c r="O256" t="str">
        <f t="shared" si="27"/>
        <v>Fuzzy</v>
      </c>
      <c r="P256" t="str">
        <f t="shared" si="28"/>
        <v>Fuzzy</v>
      </c>
    </row>
    <row r="257" spans="1:16" x14ac:dyDescent="0.35">
      <c r="A257" t="s">
        <v>260</v>
      </c>
      <c r="B257">
        <v>4470</v>
      </c>
      <c r="C257">
        <v>25</v>
      </c>
      <c r="D257">
        <v>64</v>
      </c>
      <c r="E257">
        <v>745</v>
      </c>
      <c r="F257">
        <v>6</v>
      </c>
      <c r="K257" s="1">
        <f t="shared" si="29"/>
        <v>745</v>
      </c>
      <c r="L257" s="1" t="str">
        <f t="shared" si="24"/>
        <v>Normal</v>
      </c>
      <c r="M257" s="2">
        <f t="shared" si="25"/>
        <v>13.93188854489164</v>
      </c>
      <c r="N257" s="1" t="str">
        <f t="shared" si="26"/>
        <v>Kering</v>
      </c>
      <c r="O257" t="str">
        <f t="shared" si="27"/>
        <v>Fuzzy</v>
      </c>
      <c r="P257" t="str">
        <f t="shared" si="28"/>
        <v>Fuzzy</v>
      </c>
    </row>
    <row r="258" spans="1:16" x14ac:dyDescent="0.35">
      <c r="A258" t="s">
        <v>261</v>
      </c>
      <c r="B258">
        <v>4471</v>
      </c>
      <c r="C258">
        <v>25</v>
      </c>
      <c r="D258">
        <v>64</v>
      </c>
      <c r="E258">
        <v>738</v>
      </c>
      <c r="F258">
        <v>6</v>
      </c>
      <c r="K258" s="1">
        <f t="shared" si="29"/>
        <v>738</v>
      </c>
      <c r="L258" s="1" t="str">
        <f t="shared" si="24"/>
        <v>Normal</v>
      </c>
      <c r="M258" s="2">
        <f t="shared" si="25"/>
        <v>11.76470588235294</v>
      </c>
      <c r="N258" s="1" t="str">
        <f t="shared" si="26"/>
        <v>Kering</v>
      </c>
      <c r="O258" t="str">
        <f t="shared" si="27"/>
        <v>Fuzzy</v>
      </c>
      <c r="P258" t="str">
        <f t="shared" si="28"/>
        <v>Fuzzy</v>
      </c>
    </row>
    <row r="259" spans="1:16" x14ac:dyDescent="0.35">
      <c r="A259" t="s">
        <v>262</v>
      </c>
      <c r="B259">
        <v>4472</v>
      </c>
      <c r="C259">
        <v>25</v>
      </c>
      <c r="D259">
        <v>64</v>
      </c>
      <c r="E259">
        <v>709</v>
      </c>
      <c r="F259">
        <v>6</v>
      </c>
      <c r="K259" s="1">
        <f t="shared" si="29"/>
        <v>709</v>
      </c>
      <c r="L259" s="1" t="str">
        <f t="shared" ref="L259:L322" si="30">IF(A258 &lt;= 10, "Dingin", IF(OR(A258 &gt;= 10, A258 &lt; 35), "Normal", "Panas"))</f>
        <v>Normal</v>
      </c>
      <c r="M259" s="2">
        <f t="shared" ref="M259:M322" si="31">IF(K259&lt;=300, K259/1023*100, IF(K259&lt;=700, (K259-300)/(700-301+1)*100, (K259-700)/(1023-701+1)*100))</f>
        <v>2.7863777089783279</v>
      </c>
      <c r="N259" s="1" t="str">
        <f t="shared" ref="N259:N322" si="32">IF(M259&lt;=29.32, "Kering", IF(M259&lt;=68.53, "Lembab", "Basah"))</f>
        <v>Kering</v>
      </c>
      <c r="O259" t="str">
        <f t="shared" ref="O259:O322" si="33">IF(OR(AND(C259 &gt; 10, C259 &lt; 22.5), AND(C259 &gt;= 22.5, C259 &lt; 35)), "Fuzzy", "")</f>
        <v>Fuzzy</v>
      </c>
      <c r="P259" t="str">
        <f t="shared" ref="P259:P322" si="34">IF(OR(AND(M259 &gt;= 0, M259 &lt; 50), AND(M259 &gt;= 50, M259 &lt; 100)), "Fuzzy", "")</f>
        <v>Fuzzy</v>
      </c>
    </row>
    <row r="260" spans="1:16" x14ac:dyDescent="0.35">
      <c r="A260" t="s">
        <v>263</v>
      </c>
      <c r="B260">
        <v>4473</v>
      </c>
      <c r="C260">
        <v>25</v>
      </c>
      <c r="D260">
        <v>64</v>
      </c>
      <c r="E260">
        <v>722</v>
      </c>
      <c r="F260">
        <v>6</v>
      </c>
      <c r="K260" s="1">
        <f t="shared" si="29"/>
        <v>722</v>
      </c>
      <c r="L260" s="1" t="str">
        <f t="shared" si="30"/>
        <v>Normal</v>
      </c>
      <c r="M260" s="2">
        <f t="shared" si="31"/>
        <v>6.8111455108359129</v>
      </c>
      <c r="N260" s="1" t="str">
        <f t="shared" si="32"/>
        <v>Kering</v>
      </c>
      <c r="O260" t="str">
        <f t="shared" si="33"/>
        <v>Fuzzy</v>
      </c>
      <c r="P260" t="str">
        <f t="shared" si="34"/>
        <v>Fuzzy</v>
      </c>
    </row>
    <row r="261" spans="1:16" x14ac:dyDescent="0.35">
      <c r="A261" t="s">
        <v>264</v>
      </c>
      <c r="B261">
        <v>4474</v>
      </c>
      <c r="C261">
        <v>25</v>
      </c>
      <c r="D261">
        <v>64</v>
      </c>
      <c r="E261">
        <v>693</v>
      </c>
      <c r="F261">
        <v>6</v>
      </c>
      <c r="K261" s="1">
        <f t="shared" si="29"/>
        <v>693</v>
      </c>
      <c r="L261" s="1" t="str">
        <f t="shared" si="30"/>
        <v>Normal</v>
      </c>
      <c r="M261" s="2">
        <f t="shared" si="31"/>
        <v>98.25</v>
      </c>
      <c r="N261" s="1" t="str">
        <f t="shared" si="32"/>
        <v>Basah</v>
      </c>
      <c r="O261" t="str">
        <f t="shared" si="33"/>
        <v>Fuzzy</v>
      </c>
      <c r="P261" t="str">
        <f t="shared" si="34"/>
        <v>Fuzzy</v>
      </c>
    </row>
    <row r="262" spans="1:16" x14ac:dyDescent="0.35">
      <c r="A262" t="s">
        <v>265</v>
      </c>
      <c r="B262">
        <v>4475</v>
      </c>
      <c r="C262">
        <v>25</v>
      </c>
      <c r="D262">
        <v>64</v>
      </c>
      <c r="E262">
        <v>690</v>
      </c>
      <c r="F262">
        <v>6</v>
      </c>
      <c r="K262" s="1">
        <f t="shared" si="29"/>
        <v>690</v>
      </c>
      <c r="L262" s="1" t="str">
        <f t="shared" si="30"/>
        <v>Normal</v>
      </c>
      <c r="M262" s="2">
        <f t="shared" si="31"/>
        <v>97.5</v>
      </c>
      <c r="N262" s="1" t="str">
        <f t="shared" si="32"/>
        <v>Basah</v>
      </c>
      <c r="O262" t="str">
        <f t="shared" si="33"/>
        <v>Fuzzy</v>
      </c>
      <c r="P262" t="str">
        <f t="shared" si="34"/>
        <v>Fuzzy</v>
      </c>
    </row>
    <row r="263" spans="1:16" x14ac:dyDescent="0.35">
      <c r="A263" t="s">
        <v>266</v>
      </c>
      <c r="B263">
        <v>4476</v>
      </c>
      <c r="C263">
        <v>25</v>
      </c>
      <c r="D263">
        <v>64</v>
      </c>
      <c r="E263">
        <v>914</v>
      </c>
      <c r="F263">
        <v>6</v>
      </c>
      <c r="K263" s="1">
        <f t="shared" si="29"/>
        <v>914</v>
      </c>
      <c r="L263" s="1" t="str">
        <f t="shared" si="30"/>
        <v>Normal</v>
      </c>
      <c r="M263" s="2">
        <f t="shared" si="31"/>
        <v>66.253869969040252</v>
      </c>
      <c r="N263" s="1" t="str">
        <f t="shared" si="32"/>
        <v>Lembab</v>
      </c>
      <c r="O263" t="str">
        <f t="shared" si="33"/>
        <v>Fuzzy</v>
      </c>
      <c r="P263" t="str">
        <f t="shared" si="34"/>
        <v>Fuzzy</v>
      </c>
    </row>
    <row r="264" spans="1:16" x14ac:dyDescent="0.35">
      <c r="A264" t="s">
        <v>267</v>
      </c>
      <c r="B264">
        <v>4477</v>
      </c>
      <c r="C264">
        <v>25</v>
      </c>
      <c r="D264">
        <v>64</v>
      </c>
      <c r="E264">
        <v>844</v>
      </c>
      <c r="F264">
        <v>6</v>
      </c>
      <c r="K264" s="1">
        <f t="shared" si="29"/>
        <v>844</v>
      </c>
      <c r="L264" s="1" t="str">
        <f t="shared" si="30"/>
        <v>Normal</v>
      </c>
      <c r="M264" s="2">
        <f t="shared" si="31"/>
        <v>44.582043343653247</v>
      </c>
      <c r="N264" s="1" t="str">
        <f t="shared" si="32"/>
        <v>Lembab</v>
      </c>
      <c r="O264" t="str">
        <f t="shared" si="33"/>
        <v>Fuzzy</v>
      </c>
      <c r="P264" t="str">
        <f t="shared" si="34"/>
        <v>Fuzzy</v>
      </c>
    </row>
    <row r="265" spans="1:16" x14ac:dyDescent="0.35">
      <c r="A265" t="s">
        <v>268</v>
      </c>
      <c r="B265">
        <v>4478</v>
      </c>
      <c r="C265">
        <v>25</v>
      </c>
      <c r="D265">
        <v>64</v>
      </c>
      <c r="E265">
        <v>674</v>
      </c>
      <c r="F265">
        <v>6</v>
      </c>
      <c r="K265" s="1">
        <f t="shared" si="29"/>
        <v>674</v>
      </c>
      <c r="L265" s="1" t="str">
        <f t="shared" si="30"/>
        <v>Normal</v>
      </c>
      <c r="M265" s="2">
        <f t="shared" si="31"/>
        <v>93.5</v>
      </c>
      <c r="N265" s="1" t="str">
        <f t="shared" si="32"/>
        <v>Basah</v>
      </c>
      <c r="O265" t="str">
        <f t="shared" si="33"/>
        <v>Fuzzy</v>
      </c>
      <c r="P265" t="str">
        <f t="shared" si="34"/>
        <v>Fuzzy</v>
      </c>
    </row>
    <row r="266" spans="1:16" x14ac:dyDescent="0.35">
      <c r="A266" t="s">
        <v>269</v>
      </c>
      <c r="B266">
        <v>4479</v>
      </c>
      <c r="C266">
        <v>25</v>
      </c>
      <c r="D266">
        <v>64</v>
      </c>
      <c r="E266">
        <v>736</v>
      </c>
      <c r="F266">
        <v>7</v>
      </c>
      <c r="K266" s="1">
        <f t="shared" si="29"/>
        <v>736</v>
      </c>
      <c r="L266" s="1" t="str">
        <f t="shared" si="30"/>
        <v>Normal</v>
      </c>
      <c r="M266" s="2">
        <f t="shared" si="31"/>
        <v>11.145510835913312</v>
      </c>
      <c r="N266" s="1" t="str">
        <f t="shared" si="32"/>
        <v>Kering</v>
      </c>
      <c r="O266" t="str">
        <f t="shared" si="33"/>
        <v>Fuzzy</v>
      </c>
      <c r="P266" t="str">
        <f t="shared" si="34"/>
        <v>Fuzzy</v>
      </c>
    </row>
    <row r="267" spans="1:16" x14ac:dyDescent="0.35">
      <c r="A267" t="s">
        <v>270</v>
      </c>
      <c r="B267">
        <v>4480</v>
      </c>
      <c r="C267">
        <v>25</v>
      </c>
      <c r="D267">
        <v>64</v>
      </c>
      <c r="E267">
        <v>673</v>
      </c>
      <c r="F267">
        <v>6</v>
      </c>
      <c r="K267" s="1">
        <f t="shared" si="29"/>
        <v>673</v>
      </c>
      <c r="L267" s="1" t="str">
        <f t="shared" si="30"/>
        <v>Normal</v>
      </c>
      <c r="M267" s="2">
        <f t="shared" si="31"/>
        <v>93.25</v>
      </c>
      <c r="N267" s="1" t="str">
        <f t="shared" si="32"/>
        <v>Basah</v>
      </c>
      <c r="O267" t="str">
        <f t="shared" si="33"/>
        <v>Fuzzy</v>
      </c>
      <c r="P267" t="str">
        <f t="shared" si="34"/>
        <v>Fuzzy</v>
      </c>
    </row>
    <row r="268" spans="1:16" x14ac:dyDescent="0.35">
      <c r="A268" t="s">
        <v>271</v>
      </c>
      <c r="B268">
        <v>4481</v>
      </c>
      <c r="C268">
        <v>25</v>
      </c>
      <c r="D268">
        <v>64</v>
      </c>
      <c r="E268">
        <v>717</v>
      </c>
      <c r="F268">
        <v>6</v>
      </c>
      <c r="K268" s="1">
        <f t="shared" si="29"/>
        <v>717</v>
      </c>
      <c r="L268" s="1" t="str">
        <f t="shared" si="30"/>
        <v>Normal</v>
      </c>
      <c r="M268" s="2">
        <f t="shared" si="31"/>
        <v>5.2631578947368416</v>
      </c>
      <c r="N268" s="1" t="str">
        <f t="shared" si="32"/>
        <v>Kering</v>
      </c>
      <c r="O268" t="str">
        <f t="shared" si="33"/>
        <v>Fuzzy</v>
      </c>
      <c r="P268" t="str">
        <f t="shared" si="34"/>
        <v>Fuzzy</v>
      </c>
    </row>
    <row r="269" spans="1:16" x14ac:dyDescent="0.35">
      <c r="A269" t="s">
        <v>272</v>
      </c>
      <c r="B269">
        <v>4482</v>
      </c>
      <c r="C269">
        <v>25</v>
      </c>
      <c r="D269">
        <v>64</v>
      </c>
      <c r="E269">
        <v>690</v>
      </c>
      <c r="F269">
        <v>6</v>
      </c>
      <c r="K269" s="1">
        <f t="shared" ref="K269:K332" si="35">IF(E269&lt;=1023, E269, "")</f>
        <v>690</v>
      </c>
      <c r="L269" s="1" t="str">
        <f t="shared" si="30"/>
        <v>Normal</v>
      </c>
      <c r="M269" s="2">
        <f t="shared" si="31"/>
        <v>97.5</v>
      </c>
      <c r="N269" s="1" t="str">
        <f t="shared" si="32"/>
        <v>Basah</v>
      </c>
      <c r="O269" t="str">
        <f t="shared" si="33"/>
        <v>Fuzzy</v>
      </c>
      <c r="P269" t="str">
        <f t="shared" si="34"/>
        <v>Fuzzy</v>
      </c>
    </row>
    <row r="270" spans="1:16" x14ac:dyDescent="0.35">
      <c r="A270" t="s">
        <v>273</v>
      </c>
      <c r="B270">
        <v>4483</v>
      </c>
      <c r="C270">
        <v>25</v>
      </c>
      <c r="D270">
        <v>64</v>
      </c>
      <c r="E270">
        <v>688</v>
      </c>
      <c r="F270">
        <v>6</v>
      </c>
      <c r="K270" s="1">
        <f t="shared" si="35"/>
        <v>688</v>
      </c>
      <c r="L270" s="1" t="str">
        <f t="shared" si="30"/>
        <v>Normal</v>
      </c>
      <c r="M270" s="2">
        <f t="shared" si="31"/>
        <v>97</v>
      </c>
      <c r="N270" s="1" t="str">
        <f t="shared" si="32"/>
        <v>Basah</v>
      </c>
      <c r="O270" t="str">
        <f t="shared" si="33"/>
        <v>Fuzzy</v>
      </c>
      <c r="P270" t="str">
        <f t="shared" si="34"/>
        <v>Fuzzy</v>
      </c>
    </row>
    <row r="271" spans="1:16" x14ac:dyDescent="0.35">
      <c r="A271" t="s">
        <v>274</v>
      </c>
      <c r="B271">
        <v>4484</v>
      </c>
      <c r="C271">
        <v>25</v>
      </c>
      <c r="D271">
        <v>64</v>
      </c>
      <c r="E271">
        <v>659</v>
      </c>
      <c r="F271">
        <v>6</v>
      </c>
      <c r="K271" s="1">
        <f t="shared" si="35"/>
        <v>659</v>
      </c>
      <c r="L271" s="1" t="str">
        <f t="shared" si="30"/>
        <v>Normal</v>
      </c>
      <c r="M271" s="2">
        <f t="shared" si="31"/>
        <v>89.75</v>
      </c>
      <c r="N271" s="1" t="str">
        <f t="shared" si="32"/>
        <v>Basah</v>
      </c>
      <c r="O271" t="str">
        <f t="shared" si="33"/>
        <v>Fuzzy</v>
      </c>
      <c r="P271" t="str">
        <f t="shared" si="34"/>
        <v>Fuzzy</v>
      </c>
    </row>
    <row r="272" spans="1:16" x14ac:dyDescent="0.35">
      <c r="A272" t="s">
        <v>275</v>
      </c>
      <c r="B272">
        <v>4485</v>
      </c>
      <c r="C272">
        <v>25</v>
      </c>
      <c r="D272">
        <v>64</v>
      </c>
      <c r="E272">
        <v>704</v>
      </c>
      <c r="F272">
        <v>6</v>
      </c>
      <c r="K272" s="1">
        <f t="shared" si="35"/>
        <v>704</v>
      </c>
      <c r="L272" s="1" t="str">
        <f t="shared" si="30"/>
        <v>Normal</v>
      </c>
      <c r="M272" s="2">
        <f t="shared" si="31"/>
        <v>1.2383900928792571</v>
      </c>
      <c r="N272" s="1" t="str">
        <f t="shared" si="32"/>
        <v>Kering</v>
      </c>
      <c r="O272" t="str">
        <f t="shared" si="33"/>
        <v>Fuzzy</v>
      </c>
      <c r="P272" t="str">
        <f t="shared" si="34"/>
        <v>Fuzzy</v>
      </c>
    </row>
    <row r="273" spans="1:16" x14ac:dyDescent="0.35">
      <c r="A273" t="s">
        <v>276</v>
      </c>
      <c r="B273">
        <v>4486</v>
      </c>
      <c r="C273">
        <v>25</v>
      </c>
      <c r="D273">
        <v>64</v>
      </c>
      <c r="E273">
        <v>693</v>
      </c>
      <c r="F273">
        <v>6</v>
      </c>
      <c r="K273" s="1">
        <f t="shared" si="35"/>
        <v>693</v>
      </c>
      <c r="L273" s="1" t="str">
        <f t="shared" si="30"/>
        <v>Normal</v>
      </c>
      <c r="M273" s="2">
        <f t="shared" si="31"/>
        <v>98.25</v>
      </c>
      <c r="N273" s="1" t="str">
        <f t="shared" si="32"/>
        <v>Basah</v>
      </c>
      <c r="O273" t="str">
        <f t="shared" si="33"/>
        <v>Fuzzy</v>
      </c>
      <c r="P273" t="str">
        <f t="shared" si="34"/>
        <v>Fuzzy</v>
      </c>
    </row>
    <row r="274" spans="1:16" x14ac:dyDescent="0.35">
      <c r="A274" t="s">
        <v>277</v>
      </c>
      <c r="B274">
        <v>4487</v>
      </c>
      <c r="C274">
        <v>25</v>
      </c>
      <c r="D274">
        <v>64</v>
      </c>
      <c r="E274">
        <v>829</v>
      </c>
      <c r="F274">
        <v>6</v>
      </c>
      <c r="K274" s="1">
        <f t="shared" si="35"/>
        <v>829</v>
      </c>
      <c r="L274" s="1" t="str">
        <f t="shared" si="30"/>
        <v>Normal</v>
      </c>
      <c r="M274" s="2">
        <f t="shared" si="31"/>
        <v>39.93808049535604</v>
      </c>
      <c r="N274" s="1" t="str">
        <f t="shared" si="32"/>
        <v>Lembab</v>
      </c>
      <c r="O274" t="str">
        <f t="shared" si="33"/>
        <v>Fuzzy</v>
      </c>
      <c r="P274" t="str">
        <f t="shared" si="34"/>
        <v>Fuzzy</v>
      </c>
    </row>
    <row r="275" spans="1:16" x14ac:dyDescent="0.35">
      <c r="A275" t="s">
        <v>278</v>
      </c>
      <c r="B275">
        <v>4488</v>
      </c>
      <c r="C275">
        <v>25</v>
      </c>
      <c r="D275">
        <v>64</v>
      </c>
      <c r="E275">
        <v>607</v>
      </c>
      <c r="F275">
        <v>6</v>
      </c>
      <c r="K275" s="1">
        <f t="shared" si="35"/>
        <v>607</v>
      </c>
      <c r="L275" s="1" t="str">
        <f t="shared" si="30"/>
        <v>Normal</v>
      </c>
      <c r="M275" s="2">
        <f t="shared" si="31"/>
        <v>76.75</v>
      </c>
      <c r="N275" s="1" t="str">
        <f t="shared" si="32"/>
        <v>Basah</v>
      </c>
      <c r="O275" t="str">
        <f t="shared" si="33"/>
        <v>Fuzzy</v>
      </c>
      <c r="P275" t="str">
        <f t="shared" si="34"/>
        <v>Fuzzy</v>
      </c>
    </row>
    <row r="276" spans="1:16" x14ac:dyDescent="0.35">
      <c r="A276" t="s">
        <v>279</v>
      </c>
      <c r="B276">
        <v>4489</v>
      </c>
      <c r="C276">
        <v>25</v>
      </c>
      <c r="D276">
        <v>64</v>
      </c>
      <c r="E276">
        <v>729</v>
      </c>
      <c r="F276">
        <v>6</v>
      </c>
      <c r="K276" s="1">
        <f t="shared" si="35"/>
        <v>729</v>
      </c>
      <c r="L276" s="1" t="str">
        <f t="shared" si="30"/>
        <v>Normal</v>
      </c>
      <c r="M276" s="2">
        <f t="shared" si="31"/>
        <v>8.9783281733746119</v>
      </c>
      <c r="N276" s="1" t="str">
        <f t="shared" si="32"/>
        <v>Kering</v>
      </c>
      <c r="O276" t="str">
        <f t="shared" si="33"/>
        <v>Fuzzy</v>
      </c>
      <c r="P276" t="str">
        <f t="shared" si="34"/>
        <v>Fuzzy</v>
      </c>
    </row>
    <row r="277" spans="1:16" x14ac:dyDescent="0.35">
      <c r="A277" t="s">
        <v>280</v>
      </c>
      <c r="B277">
        <v>4490</v>
      </c>
      <c r="C277">
        <v>25</v>
      </c>
      <c r="D277">
        <v>64</v>
      </c>
      <c r="E277">
        <v>717</v>
      </c>
      <c r="F277">
        <v>6</v>
      </c>
      <c r="K277" s="1">
        <f t="shared" si="35"/>
        <v>717</v>
      </c>
      <c r="L277" s="1" t="str">
        <f t="shared" si="30"/>
        <v>Normal</v>
      </c>
      <c r="M277" s="2">
        <f t="shared" si="31"/>
        <v>5.2631578947368416</v>
      </c>
      <c r="N277" s="1" t="str">
        <f t="shared" si="32"/>
        <v>Kering</v>
      </c>
      <c r="O277" t="str">
        <f t="shared" si="33"/>
        <v>Fuzzy</v>
      </c>
      <c r="P277" t="str">
        <f t="shared" si="34"/>
        <v>Fuzzy</v>
      </c>
    </row>
    <row r="278" spans="1:16" x14ac:dyDescent="0.35">
      <c r="A278" t="s">
        <v>281</v>
      </c>
      <c r="B278">
        <v>4491</v>
      </c>
      <c r="C278">
        <v>25</v>
      </c>
      <c r="D278">
        <v>64</v>
      </c>
      <c r="E278">
        <v>687</v>
      </c>
      <c r="F278">
        <v>6</v>
      </c>
      <c r="K278" s="1">
        <f t="shared" si="35"/>
        <v>687</v>
      </c>
      <c r="L278" s="1" t="str">
        <f t="shared" si="30"/>
        <v>Normal</v>
      </c>
      <c r="M278" s="2">
        <f t="shared" si="31"/>
        <v>96.75</v>
      </c>
      <c r="N278" s="1" t="str">
        <f t="shared" si="32"/>
        <v>Basah</v>
      </c>
      <c r="O278" t="str">
        <f t="shared" si="33"/>
        <v>Fuzzy</v>
      </c>
      <c r="P278" t="str">
        <f t="shared" si="34"/>
        <v>Fuzzy</v>
      </c>
    </row>
    <row r="279" spans="1:16" x14ac:dyDescent="0.35">
      <c r="A279" t="s">
        <v>282</v>
      </c>
      <c r="B279">
        <v>4492</v>
      </c>
      <c r="C279">
        <v>25</v>
      </c>
      <c r="D279">
        <v>64</v>
      </c>
      <c r="E279">
        <v>676</v>
      </c>
      <c r="F279">
        <v>6</v>
      </c>
      <c r="K279" s="1">
        <f t="shared" si="35"/>
        <v>676</v>
      </c>
      <c r="L279" s="1" t="str">
        <f t="shared" si="30"/>
        <v>Normal</v>
      </c>
      <c r="M279" s="2">
        <f t="shared" si="31"/>
        <v>94</v>
      </c>
      <c r="N279" s="1" t="str">
        <f t="shared" si="32"/>
        <v>Basah</v>
      </c>
      <c r="O279" t="str">
        <f t="shared" si="33"/>
        <v>Fuzzy</v>
      </c>
      <c r="P279" t="str">
        <f t="shared" si="34"/>
        <v>Fuzzy</v>
      </c>
    </row>
    <row r="280" spans="1:16" x14ac:dyDescent="0.35">
      <c r="A280" t="s">
        <v>283</v>
      </c>
      <c r="B280">
        <v>4493</v>
      </c>
      <c r="C280">
        <v>25</v>
      </c>
      <c r="D280">
        <v>64</v>
      </c>
      <c r="E280">
        <v>725</v>
      </c>
      <c r="F280">
        <v>6</v>
      </c>
      <c r="K280" s="1">
        <f t="shared" si="35"/>
        <v>725</v>
      </c>
      <c r="L280" s="1" t="str">
        <f t="shared" si="30"/>
        <v>Normal</v>
      </c>
      <c r="M280" s="2">
        <f t="shared" si="31"/>
        <v>7.7399380804953566</v>
      </c>
      <c r="N280" s="1" t="str">
        <f t="shared" si="32"/>
        <v>Kering</v>
      </c>
      <c r="O280" t="str">
        <f t="shared" si="33"/>
        <v>Fuzzy</v>
      </c>
      <c r="P280" t="str">
        <f t="shared" si="34"/>
        <v>Fuzzy</v>
      </c>
    </row>
    <row r="281" spans="1:16" x14ac:dyDescent="0.35">
      <c r="A281" t="s">
        <v>284</v>
      </c>
      <c r="B281">
        <v>4494</v>
      </c>
      <c r="C281">
        <v>25</v>
      </c>
      <c r="D281">
        <v>64</v>
      </c>
      <c r="E281">
        <v>713</v>
      </c>
      <c r="F281">
        <v>5</v>
      </c>
      <c r="K281" s="1">
        <f t="shared" si="35"/>
        <v>713</v>
      </c>
      <c r="L281" s="1" t="str">
        <f t="shared" si="30"/>
        <v>Normal</v>
      </c>
      <c r="M281" s="2">
        <f t="shared" si="31"/>
        <v>4.0247678018575854</v>
      </c>
      <c r="N281" s="1" t="str">
        <f t="shared" si="32"/>
        <v>Kering</v>
      </c>
      <c r="O281" t="str">
        <f t="shared" si="33"/>
        <v>Fuzzy</v>
      </c>
      <c r="P281" t="str">
        <f t="shared" si="34"/>
        <v>Fuzzy</v>
      </c>
    </row>
    <row r="282" spans="1:16" x14ac:dyDescent="0.35">
      <c r="A282" t="s">
        <v>285</v>
      </c>
      <c r="B282">
        <v>4495</v>
      </c>
      <c r="C282">
        <v>25</v>
      </c>
      <c r="D282">
        <v>64</v>
      </c>
      <c r="E282">
        <v>755</v>
      </c>
      <c r="F282">
        <v>6</v>
      </c>
      <c r="K282" s="1">
        <f t="shared" si="35"/>
        <v>755</v>
      </c>
      <c r="L282" s="1" t="str">
        <f t="shared" si="30"/>
        <v>Normal</v>
      </c>
      <c r="M282" s="2">
        <f t="shared" si="31"/>
        <v>17.027863777089784</v>
      </c>
      <c r="N282" s="1" t="str">
        <f t="shared" si="32"/>
        <v>Kering</v>
      </c>
      <c r="O282" t="str">
        <f t="shared" si="33"/>
        <v>Fuzzy</v>
      </c>
      <c r="P282" t="str">
        <f t="shared" si="34"/>
        <v>Fuzzy</v>
      </c>
    </row>
    <row r="283" spans="1:16" x14ac:dyDescent="0.35">
      <c r="A283" t="s">
        <v>286</v>
      </c>
      <c r="B283">
        <v>4496</v>
      </c>
      <c r="C283">
        <v>25</v>
      </c>
      <c r="D283">
        <v>64</v>
      </c>
      <c r="E283">
        <v>691</v>
      </c>
      <c r="F283">
        <v>6</v>
      </c>
      <c r="K283" s="1">
        <f t="shared" si="35"/>
        <v>691</v>
      </c>
      <c r="L283" s="1" t="str">
        <f t="shared" si="30"/>
        <v>Normal</v>
      </c>
      <c r="M283" s="2">
        <f t="shared" si="31"/>
        <v>97.75</v>
      </c>
      <c r="N283" s="1" t="str">
        <f t="shared" si="32"/>
        <v>Basah</v>
      </c>
      <c r="O283" t="str">
        <f t="shared" si="33"/>
        <v>Fuzzy</v>
      </c>
      <c r="P283" t="str">
        <f t="shared" si="34"/>
        <v>Fuzzy</v>
      </c>
    </row>
    <row r="284" spans="1:16" x14ac:dyDescent="0.35">
      <c r="A284" t="s">
        <v>287</v>
      </c>
      <c r="B284">
        <v>4497</v>
      </c>
      <c r="C284">
        <v>25</v>
      </c>
      <c r="D284">
        <v>64</v>
      </c>
      <c r="E284">
        <v>729</v>
      </c>
      <c r="F284">
        <v>6</v>
      </c>
      <c r="K284" s="1">
        <f t="shared" si="35"/>
        <v>729</v>
      </c>
      <c r="L284" s="1" t="str">
        <f t="shared" si="30"/>
        <v>Normal</v>
      </c>
      <c r="M284" s="2">
        <f t="shared" si="31"/>
        <v>8.9783281733746119</v>
      </c>
      <c r="N284" s="1" t="str">
        <f t="shared" si="32"/>
        <v>Kering</v>
      </c>
      <c r="O284" t="str">
        <f t="shared" si="33"/>
        <v>Fuzzy</v>
      </c>
      <c r="P284" t="str">
        <f t="shared" si="34"/>
        <v>Fuzzy</v>
      </c>
    </row>
    <row r="285" spans="1:16" x14ac:dyDescent="0.35">
      <c r="A285" t="s">
        <v>288</v>
      </c>
      <c r="B285">
        <v>4498</v>
      </c>
      <c r="C285">
        <v>25</v>
      </c>
      <c r="D285">
        <v>64</v>
      </c>
      <c r="E285">
        <v>741</v>
      </c>
      <c r="F285">
        <v>6</v>
      </c>
      <c r="K285" s="1">
        <f t="shared" si="35"/>
        <v>741</v>
      </c>
      <c r="L285" s="1" t="str">
        <f t="shared" si="30"/>
        <v>Normal</v>
      </c>
      <c r="M285" s="2">
        <f t="shared" si="31"/>
        <v>12.693498452012383</v>
      </c>
      <c r="N285" s="1" t="str">
        <f t="shared" si="32"/>
        <v>Kering</v>
      </c>
      <c r="O285" t="str">
        <f t="shared" si="33"/>
        <v>Fuzzy</v>
      </c>
      <c r="P285" t="str">
        <f t="shared" si="34"/>
        <v>Fuzzy</v>
      </c>
    </row>
    <row r="286" spans="1:16" x14ac:dyDescent="0.35">
      <c r="A286" t="s">
        <v>289</v>
      </c>
      <c r="B286">
        <v>4499</v>
      </c>
      <c r="C286">
        <v>25</v>
      </c>
      <c r="D286">
        <v>64</v>
      </c>
      <c r="E286">
        <v>707</v>
      </c>
      <c r="F286">
        <v>6</v>
      </c>
      <c r="K286" s="1">
        <f t="shared" si="35"/>
        <v>707</v>
      </c>
      <c r="L286" s="1" t="str">
        <f t="shared" si="30"/>
        <v>Normal</v>
      </c>
      <c r="M286" s="2">
        <f t="shared" si="31"/>
        <v>2.1671826625386998</v>
      </c>
      <c r="N286" s="1" t="str">
        <f t="shared" si="32"/>
        <v>Kering</v>
      </c>
      <c r="O286" t="str">
        <f t="shared" si="33"/>
        <v>Fuzzy</v>
      </c>
      <c r="P286" t="str">
        <f t="shared" si="34"/>
        <v>Fuzzy</v>
      </c>
    </row>
    <row r="287" spans="1:16" x14ac:dyDescent="0.35">
      <c r="A287" t="s">
        <v>290</v>
      </c>
      <c r="B287">
        <v>4500</v>
      </c>
      <c r="C287">
        <v>25</v>
      </c>
      <c r="D287">
        <v>64</v>
      </c>
      <c r="E287">
        <v>889</v>
      </c>
      <c r="F287">
        <v>6</v>
      </c>
      <c r="K287" s="1">
        <f t="shared" si="35"/>
        <v>889</v>
      </c>
      <c r="L287" s="1" t="str">
        <f t="shared" si="30"/>
        <v>Normal</v>
      </c>
      <c r="M287" s="2">
        <f t="shared" si="31"/>
        <v>58.513931888544889</v>
      </c>
      <c r="N287" s="1" t="str">
        <f t="shared" si="32"/>
        <v>Lembab</v>
      </c>
      <c r="O287" t="str">
        <f t="shared" si="33"/>
        <v>Fuzzy</v>
      </c>
      <c r="P287" t="str">
        <f t="shared" si="34"/>
        <v>Fuzzy</v>
      </c>
    </row>
    <row r="288" spans="1:16" x14ac:dyDescent="0.35">
      <c r="A288" t="s">
        <v>291</v>
      </c>
      <c r="B288">
        <v>4501</v>
      </c>
      <c r="C288">
        <v>25</v>
      </c>
      <c r="D288">
        <v>64</v>
      </c>
      <c r="E288">
        <v>723</v>
      </c>
      <c r="F288">
        <v>6</v>
      </c>
      <c r="K288" s="1">
        <f t="shared" si="35"/>
        <v>723</v>
      </c>
      <c r="L288" s="1" t="str">
        <f t="shared" si="30"/>
        <v>Normal</v>
      </c>
      <c r="M288" s="2">
        <f t="shared" si="31"/>
        <v>7.1207430340557281</v>
      </c>
      <c r="N288" s="1" t="str">
        <f t="shared" si="32"/>
        <v>Kering</v>
      </c>
      <c r="O288" t="str">
        <f t="shared" si="33"/>
        <v>Fuzzy</v>
      </c>
      <c r="P288" t="str">
        <f t="shared" si="34"/>
        <v>Fuzzy</v>
      </c>
    </row>
    <row r="289" spans="1:16" x14ac:dyDescent="0.35">
      <c r="A289" t="s">
        <v>292</v>
      </c>
      <c r="B289">
        <v>4502</v>
      </c>
      <c r="C289">
        <v>25</v>
      </c>
      <c r="D289">
        <v>64</v>
      </c>
      <c r="E289">
        <v>732</v>
      </c>
      <c r="F289">
        <v>6</v>
      </c>
      <c r="K289" s="1">
        <f t="shared" si="35"/>
        <v>732</v>
      </c>
      <c r="L289" s="1" t="str">
        <f t="shared" si="30"/>
        <v>Normal</v>
      </c>
      <c r="M289" s="2">
        <f t="shared" si="31"/>
        <v>9.9071207430340564</v>
      </c>
      <c r="N289" s="1" t="str">
        <f t="shared" si="32"/>
        <v>Kering</v>
      </c>
      <c r="O289" t="str">
        <f t="shared" si="33"/>
        <v>Fuzzy</v>
      </c>
      <c r="P289" t="str">
        <f t="shared" si="34"/>
        <v>Fuzzy</v>
      </c>
    </row>
    <row r="290" spans="1:16" x14ac:dyDescent="0.35">
      <c r="A290" t="s">
        <v>293</v>
      </c>
      <c r="B290">
        <v>4503</v>
      </c>
      <c r="C290">
        <v>25</v>
      </c>
      <c r="D290">
        <v>64</v>
      </c>
      <c r="E290">
        <v>700</v>
      </c>
      <c r="F290">
        <v>6</v>
      </c>
      <c r="K290" s="1">
        <f t="shared" si="35"/>
        <v>700</v>
      </c>
      <c r="L290" s="1" t="str">
        <f t="shared" si="30"/>
        <v>Normal</v>
      </c>
      <c r="M290" s="2">
        <f t="shared" si="31"/>
        <v>100</v>
      </c>
      <c r="N290" s="1" t="str">
        <f t="shared" si="32"/>
        <v>Basah</v>
      </c>
      <c r="O290" t="str">
        <f t="shared" si="33"/>
        <v>Fuzzy</v>
      </c>
      <c r="P290" t="str">
        <f t="shared" si="34"/>
        <v/>
      </c>
    </row>
    <row r="291" spans="1:16" x14ac:dyDescent="0.35">
      <c r="A291" t="s">
        <v>294</v>
      </c>
      <c r="B291">
        <v>4504</v>
      </c>
      <c r="C291">
        <v>25</v>
      </c>
      <c r="D291">
        <v>64</v>
      </c>
      <c r="E291">
        <v>760</v>
      </c>
      <c r="F291">
        <v>6</v>
      </c>
      <c r="K291" s="1">
        <f t="shared" si="35"/>
        <v>760</v>
      </c>
      <c r="L291" s="1" t="str">
        <f t="shared" si="30"/>
        <v>Normal</v>
      </c>
      <c r="M291" s="2">
        <f t="shared" si="31"/>
        <v>18.575851393188856</v>
      </c>
      <c r="N291" s="1" t="str">
        <f t="shared" si="32"/>
        <v>Kering</v>
      </c>
      <c r="O291" t="str">
        <f t="shared" si="33"/>
        <v>Fuzzy</v>
      </c>
      <c r="P291" t="str">
        <f t="shared" si="34"/>
        <v>Fuzzy</v>
      </c>
    </row>
    <row r="292" spans="1:16" x14ac:dyDescent="0.35">
      <c r="A292" t="s">
        <v>295</v>
      </c>
      <c r="B292">
        <v>4505</v>
      </c>
      <c r="C292">
        <v>25</v>
      </c>
      <c r="D292">
        <v>64</v>
      </c>
      <c r="E292">
        <v>710</v>
      </c>
      <c r="F292">
        <v>6</v>
      </c>
      <c r="K292" s="1">
        <f t="shared" si="35"/>
        <v>710</v>
      </c>
      <c r="L292" s="1" t="str">
        <f t="shared" si="30"/>
        <v>Normal</v>
      </c>
      <c r="M292" s="2">
        <f t="shared" si="31"/>
        <v>3.0959752321981426</v>
      </c>
      <c r="N292" s="1" t="str">
        <f t="shared" si="32"/>
        <v>Kering</v>
      </c>
      <c r="O292" t="str">
        <f t="shared" si="33"/>
        <v>Fuzzy</v>
      </c>
      <c r="P292" t="str">
        <f t="shared" si="34"/>
        <v>Fuzzy</v>
      </c>
    </row>
    <row r="293" spans="1:16" x14ac:dyDescent="0.35">
      <c r="A293" t="s">
        <v>296</v>
      </c>
      <c r="B293">
        <v>4506</v>
      </c>
      <c r="C293">
        <v>25</v>
      </c>
      <c r="D293">
        <v>64</v>
      </c>
      <c r="E293">
        <v>726</v>
      </c>
      <c r="F293">
        <v>6</v>
      </c>
      <c r="K293" s="1">
        <f t="shared" si="35"/>
        <v>726</v>
      </c>
      <c r="L293" s="1" t="str">
        <f t="shared" si="30"/>
        <v>Normal</v>
      </c>
      <c r="M293" s="2">
        <f t="shared" si="31"/>
        <v>8.0495356037151709</v>
      </c>
      <c r="N293" s="1" t="str">
        <f t="shared" si="32"/>
        <v>Kering</v>
      </c>
      <c r="O293" t="str">
        <f t="shared" si="33"/>
        <v>Fuzzy</v>
      </c>
      <c r="P293" t="str">
        <f t="shared" si="34"/>
        <v>Fuzzy</v>
      </c>
    </row>
    <row r="294" spans="1:16" x14ac:dyDescent="0.35">
      <c r="A294" t="s">
        <v>297</v>
      </c>
      <c r="B294">
        <v>4507</v>
      </c>
      <c r="C294">
        <v>25</v>
      </c>
      <c r="D294">
        <v>64</v>
      </c>
      <c r="E294">
        <v>702</v>
      </c>
      <c r="F294">
        <v>6</v>
      </c>
      <c r="K294" s="1">
        <f t="shared" si="35"/>
        <v>702</v>
      </c>
      <c r="L294" s="1" t="str">
        <f t="shared" si="30"/>
        <v>Normal</v>
      </c>
      <c r="M294" s="2">
        <f t="shared" si="31"/>
        <v>0.61919504643962853</v>
      </c>
      <c r="N294" s="1" t="str">
        <f t="shared" si="32"/>
        <v>Kering</v>
      </c>
      <c r="O294" t="str">
        <f t="shared" si="33"/>
        <v>Fuzzy</v>
      </c>
      <c r="P294" t="str">
        <f t="shared" si="34"/>
        <v>Fuzzy</v>
      </c>
    </row>
    <row r="295" spans="1:16" x14ac:dyDescent="0.35">
      <c r="A295" t="s">
        <v>298</v>
      </c>
      <c r="B295">
        <v>4508</v>
      </c>
      <c r="C295">
        <v>25</v>
      </c>
      <c r="D295">
        <v>64</v>
      </c>
      <c r="E295">
        <v>729</v>
      </c>
      <c r="F295">
        <v>6</v>
      </c>
      <c r="K295" s="1">
        <f t="shared" si="35"/>
        <v>729</v>
      </c>
      <c r="L295" s="1" t="str">
        <f t="shared" si="30"/>
        <v>Normal</v>
      </c>
      <c r="M295" s="2">
        <f t="shared" si="31"/>
        <v>8.9783281733746119</v>
      </c>
      <c r="N295" s="1" t="str">
        <f t="shared" si="32"/>
        <v>Kering</v>
      </c>
      <c r="O295" t="str">
        <f t="shared" si="33"/>
        <v>Fuzzy</v>
      </c>
      <c r="P295" t="str">
        <f t="shared" si="34"/>
        <v>Fuzzy</v>
      </c>
    </row>
    <row r="296" spans="1:16" x14ac:dyDescent="0.35">
      <c r="A296" t="s">
        <v>299</v>
      </c>
      <c r="B296">
        <v>4509</v>
      </c>
      <c r="C296">
        <v>25</v>
      </c>
      <c r="D296">
        <v>64</v>
      </c>
      <c r="E296">
        <v>758</v>
      </c>
      <c r="F296">
        <v>6</v>
      </c>
      <c r="K296" s="1">
        <f t="shared" si="35"/>
        <v>758</v>
      </c>
      <c r="L296" s="1" t="str">
        <f t="shared" si="30"/>
        <v>Normal</v>
      </c>
      <c r="M296" s="2">
        <f t="shared" si="31"/>
        <v>17.956656346749224</v>
      </c>
      <c r="N296" s="1" t="str">
        <f t="shared" si="32"/>
        <v>Kering</v>
      </c>
      <c r="O296" t="str">
        <f t="shared" si="33"/>
        <v>Fuzzy</v>
      </c>
      <c r="P296" t="str">
        <f t="shared" si="34"/>
        <v>Fuzzy</v>
      </c>
    </row>
    <row r="297" spans="1:16" x14ac:dyDescent="0.35">
      <c r="A297" t="s">
        <v>300</v>
      </c>
      <c r="B297">
        <v>4510</v>
      </c>
      <c r="C297">
        <v>25</v>
      </c>
      <c r="D297">
        <v>64</v>
      </c>
      <c r="E297">
        <v>735</v>
      </c>
      <c r="F297">
        <v>6</v>
      </c>
      <c r="K297" s="1">
        <f t="shared" si="35"/>
        <v>735</v>
      </c>
      <c r="L297" s="1" t="str">
        <f t="shared" si="30"/>
        <v>Normal</v>
      </c>
      <c r="M297" s="2">
        <f t="shared" si="31"/>
        <v>10.835913312693499</v>
      </c>
      <c r="N297" s="1" t="str">
        <f t="shared" si="32"/>
        <v>Kering</v>
      </c>
      <c r="O297" t="str">
        <f t="shared" si="33"/>
        <v>Fuzzy</v>
      </c>
      <c r="P297" t="str">
        <f t="shared" si="34"/>
        <v>Fuzzy</v>
      </c>
    </row>
    <row r="298" spans="1:16" x14ac:dyDescent="0.35">
      <c r="A298" t="s">
        <v>301</v>
      </c>
      <c r="B298">
        <v>4511</v>
      </c>
      <c r="C298">
        <v>25</v>
      </c>
      <c r="D298">
        <v>64</v>
      </c>
      <c r="E298">
        <v>712</v>
      </c>
      <c r="F298">
        <v>5</v>
      </c>
      <c r="K298" s="1">
        <f t="shared" si="35"/>
        <v>712</v>
      </c>
      <c r="L298" s="1" t="str">
        <f t="shared" si="30"/>
        <v>Normal</v>
      </c>
      <c r="M298" s="2">
        <f t="shared" si="31"/>
        <v>3.7151702786377707</v>
      </c>
      <c r="N298" s="1" t="str">
        <f t="shared" si="32"/>
        <v>Kering</v>
      </c>
      <c r="O298" t="str">
        <f t="shared" si="33"/>
        <v>Fuzzy</v>
      </c>
      <c r="P298" t="str">
        <f t="shared" si="34"/>
        <v>Fuzzy</v>
      </c>
    </row>
    <row r="299" spans="1:16" x14ac:dyDescent="0.35">
      <c r="A299" t="s">
        <v>302</v>
      </c>
      <c r="B299">
        <v>4512</v>
      </c>
      <c r="C299">
        <v>25</v>
      </c>
      <c r="D299">
        <v>64</v>
      </c>
      <c r="E299">
        <v>686</v>
      </c>
      <c r="F299">
        <v>6</v>
      </c>
      <c r="K299" s="1">
        <f t="shared" si="35"/>
        <v>686</v>
      </c>
      <c r="L299" s="1" t="str">
        <f t="shared" si="30"/>
        <v>Normal</v>
      </c>
      <c r="M299" s="2">
        <f t="shared" si="31"/>
        <v>96.5</v>
      </c>
      <c r="N299" s="1" t="str">
        <f t="shared" si="32"/>
        <v>Basah</v>
      </c>
      <c r="O299" t="str">
        <f t="shared" si="33"/>
        <v>Fuzzy</v>
      </c>
      <c r="P299" t="str">
        <f t="shared" si="34"/>
        <v>Fuzzy</v>
      </c>
    </row>
    <row r="300" spans="1:16" x14ac:dyDescent="0.35">
      <c r="A300" t="s">
        <v>303</v>
      </c>
      <c r="B300">
        <v>4513</v>
      </c>
      <c r="C300">
        <v>25</v>
      </c>
      <c r="D300">
        <v>64</v>
      </c>
      <c r="E300">
        <v>707</v>
      </c>
      <c r="F300">
        <v>6</v>
      </c>
      <c r="K300" s="1">
        <f t="shared" si="35"/>
        <v>707</v>
      </c>
      <c r="L300" s="1" t="str">
        <f t="shared" si="30"/>
        <v>Normal</v>
      </c>
      <c r="M300" s="2">
        <f t="shared" si="31"/>
        <v>2.1671826625386998</v>
      </c>
      <c r="N300" s="1" t="str">
        <f t="shared" si="32"/>
        <v>Kering</v>
      </c>
      <c r="O300" t="str">
        <f t="shared" si="33"/>
        <v>Fuzzy</v>
      </c>
      <c r="P300" t="str">
        <f t="shared" si="34"/>
        <v>Fuzzy</v>
      </c>
    </row>
    <row r="301" spans="1:16" x14ac:dyDescent="0.35">
      <c r="A301" t="s">
        <v>304</v>
      </c>
      <c r="B301">
        <v>4514</v>
      </c>
      <c r="C301">
        <v>25</v>
      </c>
      <c r="D301">
        <v>64</v>
      </c>
      <c r="E301">
        <v>709</v>
      </c>
      <c r="F301">
        <v>6</v>
      </c>
      <c r="K301" s="1">
        <f t="shared" si="35"/>
        <v>709</v>
      </c>
      <c r="L301" s="1" t="str">
        <f t="shared" si="30"/>
        <v>Normal</v>
      </c>
      <c r="M301" s="2">
        <f t="shared" si="31"/>
        <v>2.7863777089783279</v>
      </c>
      <c r="N301" s="1" t="str">
        <f t="shared" si="32"/>
        <v>Kering</v>
      </c>
      <c r="O301" t="str">
        <f t="shared" si="33"/>
        <v>Fuzzy</v>
      </c>
      <c r="P301" t="str">
        <f t="shared" si="34"/>
        <v>Fuzzy</v>
      </c>
    </row>
    <row r="302" spans="1:16" x14ac:dyDescent="0.35">
      <c r="A302" t="s">
        <v>305</v>
      </c>
      <c r="B302">
        <v>4515</v>
      </c>
      <c r="C302">
        <v>25</v>
      </c>
      <c r="D302">
        <v>64</v>
      </c>
      <c r="E302">
        <v>750</v>
      </c>
      <c r="F302">
        <v>5</v>
      </c>
      <c r="K302" s="1">
        <f t="shared" si="35"/>
        <v>750</v>
      </c>
      <c r="L302" s="1" t="str">
        <f t="shared" si="30"/>
        <v>Normal</v>
      </c>
      <c r="M302" s="2">
        <f t="shared" si="31"/>
        <v>15.479876160990713</v>
      </c>
      <c r="N302" s="1" t="str">
        <f t="shared" si="32"/>
        <v>Kering</v>
      </c>
      <c r="O302" t="str">
        <f t="shared" si="33"/>
        <v>Fuzzy</v>
      </c>
      <c r="P302" t="str">
        <f t="shared" si="34"/>
        <v>Fuzzy</v>
      </c>
    </row>
    <row r="303" spans="1:16" x14ac:dyDescent="0.35">
      <c r="A303" t="s">
        <v>306</v>
      </c>
      <c r="B303">
        <v>4516</v>
      </c>
      <c r="C303">
        <v>25</v>
      </c>
      <c r="D303">
        <v>64</v>
      </c>
      <c r="E303">
        <v>573</v>
      </c>
      <c r="F303">
        <v>6</v>
      </c>
      <c r="K303" s="1">
        <f t="shared" si="35"/>
        <v>573</v>
      </c>
      <c r="L303" s="1" t="str">
        <f t="shared" si="30"/>
        <v>Normal</v>
      </c>
      <c r="M303" s="2">
        <f t="shared" si="31"/>
        <v>68.25</v>
      </c>
      <c r="N303" s="1" t="str">
        <f t="shared" si="32"/>
        <v>Lembab</v>
      </c>
      <c r="O303" t="str">
        <f t="shared" si="33"/>
        <v>Fuzzy</v>
      </c>
      <c r="P303" t="str">
        <f t="shared" si="34"/>
        <v>Fuzzy</v>
      </c>
    </row>
    <row r="304" spans="1:16" x14ac:dyDescent="0.35">
      <c r="A304" t="s">
        <v>307</v>
      </c>
      <c r="B304">
        <v>4517</v>
      </c>
      <c r="C304">
        <v>25</v>
      </c>
      <c r="D304">
        <v>64</v>
      </c>
      <c r="E304">
        <v>818</v>
      </c>
      <c r="F304">
        <v>6</v>
      </c>
      <c r="K304" s="1">
        <f t="shared" si="35"/>
        <v>818</v>
      </c>
      <c r="L304" s="1" t="str">
        <f t="shared" si="30"/>
        <v>Normal</v>
      </c>
      <c r="M304" s="2">
        <f t="shared" si="31"/>
        <v>36.532507739938083</v>
      </c>
      <c r="N304" s="1" t="str">
        <f t="shared" si="32"/>
        <v>Lembab</v>
      </c>
      <c r="O304" t="str">
        <f t="shared" si="33"/>
        <v>Fuzzy</v>
      </c>
      <c r="P304" t="str">
        <f t="shared" si="34"/>
        <v>Fuzzy</v>
      </c>
    </row>
    <row r="305" spans="1:16" x14ac:dyDescent="0.35">
      <c r="A305" t="s">
        <v>308</v>
      </c>
      <c r="B305">
        <v>4518</v>
      </c>
      <c r="C305">
        <v>25</v>
      </c>
      <c r="D305">
        <v>64</v>
      </c>
      <c r="E305">
        <v>733</v>
      </c>
      <c r="F305">
        <v>6</v>
      </c>
      <c r="K305" s="1">
        <f t="shared" si="35"/>
        <v>733</v>
      </c>
      <c r="L305" s="1" t="str">
        <f t="shared" si="30"/>
        <v>Normal</v>
      </c>
      <c r="M305" s="2">
        <f t="shared" si="31"/>
        <v>10.216718266253871</v>
      </c>
      <c r="N305" s="1" t="str">
        <f t="shared" si="32"/>
        <v>Kering</v>
      </c>
      <c r="O305" t="str">
        <f t="shared" si="33"/>
        <v>Fuzzy</v>
      </c>
      <c r="P305" t="str">
        <f t="shared" si="34"/>
        <v>Fuzzy</v>
      </c>
    </row>
    <row r="306" spans="1:16" x14ac:dyDescent="0.35">
      <c r="A306" t="s">
        <v>309</v>
      </c>
      <c r="B306">
        <v>4519</v>
      </c>
      <c r="C306">
        <v>25</v>
      </c>
      <c r="D306">
        <v>64</v>
      </c>
      <c r="E306">
        <v>764</v>
      </c>
      <c r="F306">
        <v>5</v>
      </c>
      <c r="K306" s="1">
        <f t="shared" si="35"/>
        <v>764</v>
      </c>
      <c r="L306" s="1" t="str">
        <f t="shared" si="30"/>
        <v>Normal</v>
      </c>
      <c r="M306" s="2">
        <f t="shared" si="31"/>
        <v>19.814241486068113</v>
      </c>
      <c r="N306" s="1" t="str">
        <f t="shared" si="32"/>
        <v>Kering</v>
      </c>
      <c r="O306" t="str">
        <f t="shared" si="33"/>
        <v>Fuzzy</v>
      </c>
      <c r="P306" t="str">
        <f t="shared" si="34"/>
        <v>Fuzzy</v>
      </c>
    </row>
    <row r="307" spans="1:16" x14ac:dyDescent="0.35">
      <c r="A307" t="s">
        <v>310</v>
      </c>
      <c r="B307">
        <v>4520</v>
      </c>
      <c r="C307">
        <v>25</v>
      </c>
      <c r="D307">
        <v>65</v>
      </c>
      <c r="E307">
        <v>640</v>
      </c>
      <c r="F307">
        <v>5</v>
      </c>
      <c r="K307" s="1">
        <f t="shared" si="35"/>
        <v>640</v>
      </c>
      <c r="L307" s="1" t="str">
        <f t="shared" si="30"/>
        <v>Normal</v>
      </c>
      <c r="M307" s="2">
        <f t="shared" si="31"/>
        <v>85</v>
      </c>
      <c r="N307" s="1" t="str">
        <f t="shared" si="32"/>
        <v>Basah</v>
      </c>
      <c r="O307" t="str">
        <f t="shared" si="33"/>
        <v>Fuzzy</v>
      </c>
      <c r="P307" t="str">
        <f t="shared" si="34"/>
        <v>Fuzzy</v>
      </c>
    </row>
    <row r="308" spans="1:16" x14ac:dyDescent="0.35">
      <c r="A308" t="s">
        <v>311</v>
      </c>
      <c r="B308">
        <v>4521</v>
      </c>
      <c r="C308">
        <v>25</v>
      </c>
      <c r="D308">
        <v>64</v>
      </c>
      <c r="E308">
        <v>764</v>
      </c>
      <c r="F308">
        <v>6</v>
      </c>
      <c r="K308" s="1">
        <f t="shared" si="35"/>
        <v>764</v>
      </c>
      <c r="L308" s="1" t="str">
        <f t="shared" si="30"/>
        <v>Normal</v>
      </c>
      <c r="M308" s="2">
        <f t="shared" si="31"/>
        <v>19.814241486068113</v>
      </c>
      <c r="N308" s="1" t="str">
        <f t="shared" si="32"/>
        <v>Kering</v>
      </c>
      <c r="O308" t="str">
        <f t="shared" si="33"/>
        <v>Fuzzy</v>
      </c>
      <c r="P308" t="str">
        <f t="shared" si="34"/>
        <v>Fuzzy</v>
      </c>
    </row>
    <row r="309" spans="1:16" x14ac:dyDescent="0.35">
      <c r="A309" t="s">
        <v>312</v>
      </c>
      <c r="B309">
        <v>4522</v>
      </c>
      <c r="C309">
        <v>25</v>
      </c>
      <c r="D309">
        <v>63</v>
      </c>
      <c r="E309">
        <v>691</v>
      </c>
      <c r="F309">
        <v>5</v>
      </c>
      <c r="K309" s="1">
        <f t="shared" si="35"/>
        <v>691</v>
      </c>
      <c r="L309" s="1" t="str">
        <f t="shared" si="30"/>
        <v>Normal</v>
      </c>
      <c r="M309" s="2">
        <f t="shared" si="31"/>
        <v>97.75</v>
      </c>
      <c r="N309" s="1" t="str">
        <f t="shared" si="32"/>
        <v>Basah</v>
      </c>
      <c r="O309" t="str">
        <f t="shared" si="33"/>
        <v>Fuzzy</v>
      </c>
      <c r="P309" t="str">
        <f t="shared" si="34"/>
        <v>Fuzzy</v>
      </c>
    </row>
    <row r="310" spans="1:16" x14ac:dyDescent="0.35">
      <c r="A310" t="s">
        <v>313</v>
      </c>
      <c r="B310">
        <v>4523</v>
      </c>
      <c r="C310">
        <v>25</v>
      </c>
      <c r="D310">
        <v>63</v>
      </c>
      <c r="E310">
        <v>717</v>
      </c>
      <c r="F310">
        <v>6</v>
      </c>
      <c r="K310" s="1">
        <f t="shared" si="35"/>
        <v>717</v>
      </c>
      <c r="L310" s="1" t="str">
        <f t="shared" si="30"/>
        <v>Normal</v>
      </c>
      <c r="M310" s="2">
        <f t="shared" si="31"/>
        <v>5.2631578947368416</v>
      </c>
      <c r="N310" s="1" t="str">
        <f t="shared" si="32"/>
        <v>Kering</v>
      </c>
      <c r="O310" t="str">
        <f t="shared" si="33"/>
        <v>Fuzzy</v>
      </c>
      <c r="P310" t="str">
        <f t="shared" si="34"/>
        <v>Fuzzy</v>
      </c>
    </row>
    <row r="311" spans="1:16" x14ac:dyDescent="0.35">
      <c r="A311" t="s">
        <v>314</v>
      </c>
      <c r="B311">
        <v>4524</v>
      </c>
      <c r="C311">
        <v>25</v>
      </c>
      <c r="D311">
        <v>62</v>
      </c>
      <c r="E311">
        <v>737</v>
      </c>
      <c r="F311">
        <v>6</v>
      </c>
      <c r="K311" s="1">
        <f t="shared" si="35"/>
        <v>737</v>
      </c>
      <c r="L311" s="1" t="str">
        <f t="shared" si="30"/>
        <v>Normal</v>
      </c>
      <c r="M311" s="2">
        <f t="shared" si="31"/>
        <v>11.455108359133128</v>
      </c>
      <c r="N311" s="1" t="str">
        <f t="shared" si="32"/>
        <v>Kering</v>
      </c>
      <c r="O311" t="str">
        <f t="shared" si="33"/>
        <v>Fuzzy</v>
      </c>
      <c r="P311" t="str">
        <f t="shared" si="34"/>
        <v>Fuzzy</v>
      </c>
    </row>
    <row r="312" spans="1:16" x14ac:dyDescent="0.35">
      <c r="A312" t="s">
        <v>315</v>
      </c>
      <c r="B312">
        <v>4525</v>
      </c>
      <c r="C312">
        <v>25</v>
      </c>
      <c r="D312">
        <v>61</v>
      </c>
      <c r="E312">
        <v>660</v>
      </c>
      <c r="F312">
        <v>6</v>
      </c>
      <c r="K312" s="1">
        <f t="shared" si="35"/>
        <v>660</v>
      </c>
      <c r="L312" s="1" t="str">
        <f t="shared" si="30"/>
        <v>Normal</v>
      </c>
      <c r="M312" s="2">
        <f t="shared" si="31"/>
        <v>90</v>
      </c>
      <c r="N312" s="1" t="str">
        <f t="shared" si="32"/>
        <v>Basah</v>
      </c>
      <c r="O312" t="str">
        <f t="shared" si="33"/>
        <v>Fuzzy</v>
      </c>
      <c r="P312" t="str">
        <f t="shared" si="34"/>
        <v>Fuzzy</v>
      </c>
    </row>
    <row r="313" spans="1:16" x14ac:dyDescent="0.35">
      <c r="A313" t="s">
        <v>316</v>
      </c>
      <c r="B313">
        <v>4526</v>
      </c>
      <c r="C313">
        <v>25</v>
      </c>
      <c r="D313">
        <v>61</v>
      </c>
      <c r="E313">
        <v>704</v>
      </c>
      <c r="F313">
        <v>6</v>
      </c>
      <c r="K313" s="1">
        <f t="shared" si="35"/>
        <v>704</v>
      </c>
      <c r="L313" s="1" t="str">
        <f t="shared" si="30"/>
        <v>Normal</v>
      </c>
      <c r="M313" s="2">
        <f t="shared" si="31"/>
        <v>1.2383900928792571</v>
      </c>
      <c r="N313" s="1" t="str">
        <f t="shared" si="32"/>
        <v>Kering</v>
      </c>
      <c r="O313" t="str">
        <f t="shared" si="33"/>
        <v>Fuzzy</v>
      </c>
      <c r="P313" t="str">
        <f t="shared" si="34"/>
        <v>Fuzzy</v>
      </c>
    </row>
    <row r="314" spans="1:16" x14ac:dyDescent="0.35">
      <c r="A314" t="s">
        <v>317</v>
      </c>
      <c r="B314">
        <v>4527</v>
      </c>
      <c r="C314">
        <v>25</v>
      </c>
      <c r="D314">
        <v>61</v>
      </c>
      <c r="E314">
        <v>704</v>
      </c>
      <c r="F314">
        <v>6</v>
      </c>
      <c r="K314" s="1">
        <f t="shared" si="35"/>
        <v>704</v>
      </c>
      <c r="L314" s="1" t="str">
        <f t="shared" si="30"/>
        <v>Normal</v>
      </c>
      <c r="M314" s="2">
        <f t="shared" si="31"/>
        <v>1.2383900928792571</v>
      </c>
      <c r="N314" s="1" t="str">
        <f t="shared" si="32"/>
        <v>Kering</v>
      </c>
      <c r="O314" t="str">
        <f t="shared" si="33"/>
        <v>Fuzzy</v>
      </c>
      <c r="P314" t="str">
        <f t="shared" si="34"/>
        <v>Fuzzy</v>
      </c>
    </row>
    <row r="315" spans="1:16" x14ac:dyDescent="0.35">
      <c r="A315" t="s">
        <v>318</v>
      </c>
      <c r="B315">
        <v>4528</v>
      </c>
      <c r="C315">
        <v>25</v>
      </c>
      <c r="D315">
        <v>61</v>
      </c>
      <c r="E315">
        <v>647</v>
      </c>
      <c r="F315">
        <v>6</v>
      </c>
      <c r="K315" s="1">
        <f t="shared" si="35"/>
        <v>647</v>
      </c>
      <c r="L315" s="1" t="str">
        <f t="shared" si="30"/>
        <v>Normal</v>
      </c>
      <c r="M315" s="2">
        <f t="shared" si="31"/>
        <v>86.75</v>
      </c>
      <c r="N315" s="1" t="str">
        <f t="shared" si="32"/>
        <v>Basah</v>
      </c>
      <c r="O315" t="str">
        <f t="shared" si="33"/>
        <v>Fuzzy</v>
      </c>
      <c r="P315" t="str">
        <f t="shared" si="34"/>
        <v>Fuzzy</v>
      </c>
    </row>
    <row r="316" spans="1:16" x14ac:dyDescent="0.35">
      <c r="A316" t="s">
        <v>319</v>
      </c>
      <c r="B316">
        <v>4529</v>
      </c>
      <c r="C316">
        <v>25</v>
      </c>
      <c r="D316">
        <v>61</v>
      </c>
      <c r="E316">
        <v>751</v>
      </c>
      <c r="F316">
        <v>6</v>
      </c>
      <c r="K316" s="1">
        <f t="shared" si="35"/>
        <v>751</v>
      </c>
      <c r="L316" s="1" t="str">
        <f t="shared" si="30"/>
        <v>Normal</v>
      </c>
      <c r="M316" s="2">
        <f t="shared" si="31"/>
        <v>15.789473684210526</v>
      </c>
      <c r="N316" s="1" t="str">
        <f t="shared" si="32"/>
        <v>Kering</v>
      </c>
      <c r="O316" t="str">
        <f t="shared" si="33"/>
        <v>Fuzzy</v>
      </c>
      <c r="P316" t="str">
        <f t="shared" si="34"/>
        <v>Fuzzy</v>
      </c>
    </row>
    <row r="317" spans="1:16" x14ac:dyDescent="0.35">
      <c r="A317" t="s">
        <v>320</v>
      </c>
      <c r="B317">
        <v>4530</v>
      </c>
      <c r="C317">
        <v>25</v>
      </c>
      <c r="D317">
        <v>59</v>
      </c>
      <c r="E317">
        <v>725</v>
      </c>
      <c r="F317">
        <v>6</v>
      </c>
      <c r="K317" s="1">
        <f t="shared" si="35"/>
        <v>725</v>
      </c>
      <c r="L317" s="1" t="str">
        <f t="shared" si="30"/>
        <v>Normal</v>
      </c>
      <c r="M317" s="2">
        <f t="shared" si="31"/>
        <v>7.7399380804953566</v>
      </c>
      <c r="N317" s="1" t="str">
        <f t="shared" si="32"/>
        <v>Kering</v>
      </c>
      <c r="O317" t="str">
        <f t="shared" si="33"/>
        <v>Fuzzy</v>
      </c>
      <c r="P317" t="str">
        <f t="shared" si="34"/>
        <v>Fuzzy</v>
      </c>
    </row>
    <row r="318" spans="1:16" x14ac:dyDescent="0.35">
      <c r="A318" t="s">
        <v>321</v>
      </c>
      <c r="B318">
        <v>4531</v>
      </c>
      <c r="C318">
        <v>25</v>
      </c>
      <c r="D318">
        <v>59</v>
      </c>
      <c r="E318">
        <v>700</v>
      </c>
      <c r="F318">
        <v>5</v>
      </c>
      <c r="K318" s="1">
        <f t="shared" si="35"/>
        <v>700</v>
      </c>
      <c r="L318" s="1" t="str">
        <f t="shared" si="30"/>
        <v>Normal</v>
      </c>
      <c r="M318" s="2">
        <f t="shared" si="31"/>
        <v>100</v>
      </c>
      <c r="N318" s="1" t="str">
        <f t="shared" si="32"/>
        <v>Basah</v>
      </c>
      <c r="O318" t="str">
        <f t="shared" si="33"/>
        <v>Fuzzy</v>
      </c>
      <c r="P318" t="str">
        <f t="shared" si="34"/>
        <v/>
      </c>
    </row>
    <row r="319" spans="1:16" x14ac:dyDescent="0.35">
      <c r="A319" t="s">
        <v>322</v>
      </c>
      <c r="B319">
        <v>4532</v>
      </c>
      <c r="C319">
        <v>25</v>
      </c>
      <c r="D319">
        <v>59</v>
      </c>
      <c r="E319">
        <v>708</v>
      </c>
      <c r="F319">
        <v>6</v>
      </c>
      <c r="K319" s="1">
        <f t="shared" si="35"/>
        <v>708</v>
      </c>
      <c r="L319" s="1" t="str">
        <f t="shared" si="30"/>
        <v>Normal</v>
      </c>
      <c r="M319" s="2">
        <f t="shared" si="31"/>
        <v>2.4767801857585141</v>
      </c>
      <c r="N319" s="1" t="str">
        <f t="shared" si="32"/>
        <v>Kering</v>
      </c>
      <c r="O319" t="str">
        <f t="shared" si="33"/>
        <v>Fuzzy</v>
      </c>
      <c r="P319" t="str">
        <f t="shared" si="34"/>
        <v>Fuzzy</v>
      </c>
    </row>
    <row r="320" spans="1:16" x14ac:dyDescent="0.35">
      <c r="A320" t="s">
        <v>323</v>
      </c>
      <c r="B320">
        <v>4533</v>
      </c>
      <c r="C320">
        <v>25</v>
      </c>
      <c r="D320">
        <v>59</v>
      </c>
      <c r="E320">
        <v>731</v>
      </c>
      <c r="F320">
        <v>6</v>
      </c>
      <c r="K320" s="1">
        <f t="shared" si="35"/>
        <v>731</v>
      </c>
      <c r="L320" s="1" t="str">
        <f t="shared" si="30"/>
        <v>Normal</v>
      </c>
      <c r="M320" s="2">
        <f t="shared" si="31"/>
        <v>9.5975232198142422</v>
      </c>
      <c r="N320" s="1" t="str">
        <f t="shared" si="32"/>
        <v>Kering</v>
      </c>
      <c r="O320" t="str">
        <f t="shared" si="33"/>
        <v>Fuzzy</v>
      </c>
      <c r="P320" t="str">
        <f t="shared" si="34"/>
        <v>Fuzzy</v>
      </c>
    </row>
    <row r="321" spans="1:16" x14ac:dyDescent="0.35">
      <c r="A321" t="s">
        <v>324</v>
      </c>
      <c r="B321">
        <v>4534</v>
      </c>
      <c r="C321">
        <v>25</v>
      </c>
      <c r="D321">
        <v>58</v>
      </c>
      <c r="E321">
        <v>720</v>
      </c>
      <c r="F321">
        <v>6</v>
      </c>
      <c r="K321" s="1">
        <f t="shared" si="35"/>
        <v>720</v>
      </c>
      <c r="L321" s="1" t="str">
        <f t="shared" si="30"/>
        <v>Normal</v>
      </c>
      <c r="M321" s="2">
        <f t="shared" si="31"/>
        <v>6.1919504643962853</v>
      </c>
      <c r="N321" s="1" t="str">
        <f t="shared" si="32"/>
        <v>Kering</v>
      </c>
      <c r="O321" t="str">
        <f t="shared" si="33"/>
        <v>Fuzzy</v>
      </c>
      <c r="P321" t="str">
        <f t="shared" si="34"/>
        <v>Fuzzy</v>
      </c>
    </row>
    <row r="322" spans="1:16" x14ac:dyDescent="0.35">
      <c r="A322" t="s">
        <v>325</v>
      </c>
      <c r="B322">
        <v>4535</v>
      </c>
      <c r="C322">
        <v>25</v>
      </c>
      <c r="D322">
        <v>58</v>
      </c>
      <c r="E322">
        <v>756</v>
      </c>
      <c r="F322">
        <v>6</v>
      </c>
      <c r="K322" s="1">
        <f t="shared" si="35"/>
        <v>756</v>
      </c>
      <c r="L322" s="1" t="str">
        <f t="shared" si="30"/>
        <v>Normal</v>
      </c>
      <c r="M322" s="2">
        <f t="shared" si="31"/>
        <v>17.337461300309599</v>
      </c>
      <c r="N322" s="1" t="str">
        <f t="shared" si="32"/>
        <v>Kering</v>
      </c>
      <c r="O322" t="str">
        <f t="shared" si="33"/>
        <v>Fuzzy</v>
      </c>
      <c r="P322" t="str">
        <f t="shared" si="34"/>
        <v>Fuzzy</v>
      </c>
    </row>
    <row r="323" spans="1:16" x14ac:dyDescent="0.35">
      <c r="A323" t="s">
        <v>326</v>
      </c>
      <c r="B323">
        <v>4536</v>
      </c>
      <c r="C323">
        <v>25</v>
      </c>
      <c r="D323">
        <v>58</v>
      </c>
      <c r="E323">
        <v>713</v>
      </c>
      <c r="F323">
        <v>6</v>
      </c>
      <c r="K323" s="1">
        <f t="shared" si="35"/>
        <v>713</v>
      </c>
      <c r="L323" s="1" t="str">
        <f t="shared" ref="L323:L386" si="36">IF(A322 &lt;= 10, "Dingin", IF(OR(A322 &gt;= 10, A322 &lt; 35), "Normal", "Panas"))</f>
        <v>Normal</v>
      </c>
      <c r="M323" s="2">
        <f t="shared" ref="M323:M386" si="37">IF(K323&lt;=300, K323/1023*100, IF(K323&lt;=700, (K323-300)/(700-301+1)*100, (K323-700)/(1023-701+1)*100))</f>
        <v>4.0247678018575854</v>
      </c>
      <c r="N323" s="1" t="str">
        <f t="shared" ref="N323:N386" si="38">IF(M323&lt;=29.32, "Kering", IF(M323&lt;=68.53, "Lembab", "Basah"))</f>
        <v>Kering</v>
      </c>
      <c r="O323" t="str">
        <f t="shared" ref="O323:O386" si="39">IF(OR(AND(C323 &gt; 10, C323 &lt; 22.5), AND(C323 &gt;= 22.5, C323 &lt; 35)), "Fuzzy", "")</f>
        <v>Fuzzy</v>
      </c>
      <c r="P323" t="str">
        <f t="shared" ref="P323:P386" si="40">IF(OR(AND(M323 &gt;= 0, M323 &lt; 50), AND(M323 &gt;= 50, M323 &lt; 100)), "Fuzzy", "")</f>
        <v>Fuzzy</v>
      </c>
    </row>
    <row r="324" spans="1:16" x14ac:dyDescent="0.35">
      <c r="A324" t="s">
        <v>327</v>
      </c>
      <c r="B324">
        <v>4537</v>
      </c>
      <c r="C324">
        <v>25</v>
      </c>
      <c r="D324">
        <v>59</v>
      </c>
      <c r="E324">
        <v>674</v>
      </c>
      <c r="F324">
        <v>6</v>
      </c>
      <c r="K324" s="1">
        <f t="shared" si="35"/>
        <v>674</v>
      </c>
      <c r="L324" s="1" t="str">
        <f t="shared" si="36"/>
        <v>Normal</v>
      </c>
      <c r="M324" s="2">
        <f t="shared" si="37"/>
        <v>93.5</v>
      </c>
      <c r="N324" s="1" t="str">
        <f t="shared" si="38"/>
        <v>Basah</v>
      </c>
      <c r="O324" t="str">
        <f t="shared" si="39"/>
        <v>Fuzzy</v>
      </c>
      <c r="P324" t="str">
        <f t="shared" si="40"/>
        <v>Fuzzy</v>
      </c>
    </row>
    <row r="325" spans="1:16" x14ac:dyDescent="0.35">
      <c r="A325" t="s">
        <v>328</v>
      </c>
      <c r="B325">
        <v>4538</v>
      </c>
      <c r="C325">
        <v>25</v>
      </c>
      <c r="D325">
        <v>60</v>
      </c>
      <c r="E325">
        <v>707</v>
      </c>
      <c r="F325">
        <v>6</v>
      </c>
      <c r="K325" s="1">
        <f t="shared" si="35"/>
        <v>707</v>
      </c>
      <c r="L325" s="1" t="str">
        <f t="shared" si="36"/>
        <v>Normal</v>
      </c>
      <c r="M325" s="2">
        <f t="shared" si="37"/>
        <v>2.1671826625386998</v>
      </c>
      <c r="N325" s="1" t="str">
        <f t="shared" si="38"/>
        <v>Kering</v>
      </c>
      <c r="O325" t="str">
        <f t="shared" si="39"/>
        <v>Fuzzy</v>
      </c>
      <c r="P325" t="str">
        <f t="shared" si="40"/>
        <v>Fuzzy</v>
      </c>
    </row>
    <row r="326" spans="1:16" x14ac:dyDescent="0.35">
      <c r="A326" t="s">
        <v>329</v>
      </c>
      <c r="B326">
        <v>4539</v>
      </c>
      <c r="C326">
        <v>25</v>
      </c>
      <c r="D326">
        <v>61</v>
      </c>
      <c r="E326">
        <v>696</v>
      </c>
      <c r="F326">
        <v>5</v>
      </c>
      <c r="K326" s="1">
        <f t="shared" si="35"/>
        <v>696</v>
      </c>
      <c r="L326" s="1" t="str">
        <f t="shared" si="36"/>
        <v>Normal</v>
      </c>
      <c r="M326" s="2">
        <f t="shared" si="37"/>
        <v>99</v>
      </c>
      <c r="N326" s="1" t="str">
        <f t="shared" si="38"/>
        <v>Basah</v>
      </c>
      <c r="O326" t="str">
        <f t="shared" si="39"/>
        <v>Fuzzy</v>
      </c>
      <c r="P326" t="str">
        <f t="shared" si="40"/>
        <v>Fuzzy</v>
      </c>
    </row>
    <row r="327" spans="1:16" x14ac:dyDescent="0.35">
      <c r="A327" t="s">
        <v>330</v>
      </c>
      <c r="B327">
        <v>4540</v>
      </c>
      <c r="C327">
        <v>25</v>
      </c>
      <c r="D327">
        <v>62</v>
      </c>
      <c r="E327">
        <v>732</v>
      </c>
      <c r="F327">
        <v>6</v>
      </c>
      <c r="K327" s="1">
        <f t="shared" si="35"/>
        <v>732</v>
      </c>
      <c r="L327" s="1" t="str">
        <f t="shared" si="36"/>
        <v>Normal</v>
      </c>
      <c r="M327" s="2">
        <f t="shared" si="37"/>
        <v>9.9071207430340564</v>
      </c>
      <c r="N327" s="1" t="str">
        <f t="shared" si="38"/>
        <v>Kering</v>
      </c>
      <c r="O327" t="str">
        <f t="shared" si="39"/>
        <v>Fuzzy</v>
      </c>
      <c r="P327" t="str">
        <f t="shared" si="40"/>
        <v>Fuzzy</v>
      </c>
    </row>
    <row r="328" spans="1:16" x14ac:dyDescent="0.35">
      <c r="A328" t="s">
        <v>331</v>
      </c>
      <c r="B328">
        <v>4541</v>
      </c>
      <c r="C328">
        <v>25</v>
      </c>
      <c r="D328">
        <v>63</v>
      </c>
      <c r="E328">
        <v>688</v>
      </c>
      <c r="F328">
        <v>5</v>
      </c>
      <c r="K328" s="1">
        <f t="shared" si="35"/>
        <v>688</v>
      </c>
      <c r="L328" s="1" t="str">
        <f t="shared" si="36"/>
        <v>Normal</v>
      </c>
      <c r="M328" s="2">
        <f t="shared" si="37"/>
        <v>97</v>
      </c>
      <c r="N328" s="1" t="str">
        <f t="shared" si="38"/>
        <v>Basah</v>
      </c>
      <c r="O328" t="str">
        <f t="shared" si="39"/>
        <v>Fuzzy</v>
      </c>
      <c r="P328" t="str">
        <f t="shared" si="40"/>
        <v>Fuzzy</v>
      </c>
    </row>
    <row r="329" spans="1:16" x14ac:dyDescent="0.35">
      <c r="A329" t="s">
        <v>332</v>
      </c>
      <c r="B329">
        <v>4542</v>
      </c>
      <c r="C329">
        <v>25</v>
      </c>
      <c r="D329">
        <v>63</v>
      </c>
      <c r="E329">
        <v>679</v>
      </c>
      <c r="F329">
        <v>6</v>
      </c>
      <c r="K329" s="1">
        <f t="shared" si="35"/>
        <v>679</v>
      </c>
      <c r="L329" s="1" t="str">
        <f t="shared" si="36"/>
        <v>Normal</v>
      </c>
      <c r="M329" s="2">
        <f t="shared" si="37"/>
        <v>94.75</v>
      </c>
      <c r="N329" s="1" t="str">
        <f t="shared" si="38"/>
        <v>Basah</v>
      </c>
      <c r="O329" t="str">
        <f t="shared" si="39"/>
        <v>Fuzzy</v>
      </c>
      <c r="P329" t="str">
        <f t="shared" si="40"/>
        <v>Fuzzy</v>
      </c>
    </row>
    <row r="330" spans="1:16" x14ac:dyDescent="0.35">
      <c r="A330" t="s">
        <v>333</v>
      </c>
      <c r="B330">
        <v>4543</v>
      </c>
      <c r="C330">
        <v>25</v>
      </c>
      <c r="D330">
        <v>64</v>
      </c>
      <c r="E330">
        <v>753</v>
      </c>
      <c r="F330">
        <v>6</v>
      </c>
      <c r="K330" s="1">
        <f t="shared" si="35"/>
        <v>753</v>
      </c>
      <c r="L330" s="1" t="str">
        <f t="shared" si="36"/>
        <v>Normal</v>
      </c>
      <c r="M330" s="2">
        <f t="shared" si="37"/>
        <v>16.408668730650156</v>
      </c>
      <c r="N330" s="1" t="str">
        <f t="shared" si="38"/>
        <v>Kering</v>
      </c>
      <c r="O330" t="str">
        <f t="shared" si="39"/>
        <v>Fuzzy</v>
      </c>
      <c r="P330" t="str">
        <f t="shared" si="40"/>
        <v>Fuzzy</v>
      </c>
    </row>
    <row r="331" spans="1:16" x14ac:dyDescent="0.35">
      <c r="A331" t="s">
        <v>334</v>
      </c>
      <c r="B331">
        <v>4544</v>
      </c>
      <c r="C331">
        <v>25</v>
      </c>
      <c r="D331">
        <v>64</v>
      </c>
      <c r="E331">
        <v>740</v>
      </c>
      <c r="F331">
        <v>6</v>
      </c>
      <c r="K331" s="1">
        <f t="shared" si="35"/>
        <v>740</v>
      </c>
      <c r="L331" s="1" t="str">
        <f t="shared" si="36"/>
        <v>Normal</v>
      </c>
      <c r="M331" s="2">
        <f t="shared" si="37"/>
        <v>12.383900928792571</v>
      </c>
      <c r="N331" s="1" t="str">
        <f t="shared" si="38"/>
        <v>Kering</v>
      </c>
      <c r="O331" t="str">
        <f t="shared" si="39"/>
        <v>Fuzzy</v>
      </c>
      <c r="P331" t="str">
        <f t="shared" si="40"/>
        <v>Fuzzy</v>
      </c>
    </row>
    <row r="332" spans="1:16" x14ac:dyDescent="0.35">
      <c r="A332" t="s">
        <v>335</v>
      </c>
      <c r="B332">
        <v>4545</v>
      </c>
      <c r="C332">
        <v>25</v>
      </c>
      <c r="D332">
        <v>65</v>
      </c>
      <c r="E332">
        <v>680</v>
      </c>
      <c r="F332">
        <v>6</v>
      </c>
      <c r="K332" s="1">
        <f t="shared" si="35"/>
        <v>680</v>
      </c>
      <c r="L332" s="1" t="str">
        <f t="shared" si="36"/>
        <v>Normal</v>
      </c>
      <c r="M332" s="2">
        <f t="shared" si="37"/>
        <v>95</v>
      </c>
      <c r="N332" s="1" t="str">
        <f t="shared" si="38"/>
        <v>Basah</v>
      </c>
      <c r="O332" t="str">
        <f t="shared" si="39"/>
        <v>Fuzzy</v>
      </c>
      <c r="P332" t="str">
        <f t="shared" si="40"/>
        <v>Fuzzy</v>
      </c>
    </row>
    <row r="333" spans="1:16" x14ac:dyDescent="0.35">
      <c r="A333" t="s">
        <v>336</v>
      </c>
      <c r="B333">
        <v>4546</v>
      </c>
      <c r="C333">
        <v>25</v>
      </c>
      <c r="D333">
        <v>64</v>
      </c>
      <c r="E333">
        <v>706</v>
      </c>
      <c r="F333">
        <v>6</v>
      </c>
      <c r="K333" s="1">
        <f t="shared" ref="K333:K396" si="41">IF(E333&lt;=1023, E333, "")</f>
        <v>706</v>
      </c>
      <c r="L333" s="1" t="str">
        <f t="shared" si="36"/>
        <v>Normal</v>
      </c>
      <c r="M333" s="2">
        <f t="shared" si="37"/>
        <v>1.8575851393188854</v>
      </c>
      <c r="N333" s="1" t="str">
        <f t="shared" si="38"/>
        <v>Kering</v>
      </c>
      <c r="O333" t="str">
        <f t="shared" si="39"/>
        <v>Fuzzy</v>
      </c>
      <c r="P333" t="str">
        <f t="shared" si="40"/>
        <v>Fuzzy</v>
      </c>
    </row>
    <row r="334" spans="1:16" x14ac:dyDescent="0.35">
      <c r="A334" t="s">
        <v>337</v>
      </c>
      <c r="B334">
        <v>4547</v>
      </c>
      <c r="C334">
        <v>25</v>
      </c>
      <c r="D334">
        <v>65</v>
      </c>
      <c r="E334">
        <v>638</v>
      </c>
      <c r="F334">
        <v>6</v>
      </c>
      <c r="K334" s="1">
        <f t="shared" si="41"/>
        <v>638</v>
      </c>
      <c r="L334" s="1" t="str">
        <f t="shared" si="36"/>
        <v>Normal</v>
      </c>
      <c r="M334" s="2">
        <f t="shared" si="37"/>
        <v>84.5</v>
      </c>
      <c r="N334" s="1" t="str">
        <f t="shared" si="38"/>
        <v>Basah</v>
      </c>
      <c r="O334" t="str">
        <f t="shared" si="39"/>
        <v>Fuzzy</v>
      </c>
      <c r="P334" t="str">
        <f t="shared" si="40"/>
        <v>Fuzzy</v>
      </c>
    </row>
    <row r="335" spans="1:16" x14ac:dyDescent="0.35">
      <c r="A335" t="s">
        <v>338</v>
      </c>
      <c r="B335">
        <v>4548</v>
      </c>
      <c r="C335">
        <v>25</v>
      </c>
      <c r="D335">
        <v>65</v>
      </c>
      <c r="E335">
        <v>584</v>
      </c>
      <c r="F335">
        <v>5</v>
      </c>
      <c r="K335" s="1">
        <f t="shared" si="41"/>
        <v>584</v>
      </c>
      <c r="L335" s="1" t="str">
        <f t="shared" si="36"/>
        <v>Normal</v>
      </c>
      <c r="M335" s="2">
        <f t="shared" si="37"/>
        <v>71</v>
      </c>
      <c r="N335" s="1" t="str">
        <f t="shared" si="38"/>
        <v>Basah</v>
      </c>
      <c r="O335" t="str">
        <f t="shared" si="39"/>
        <v>Fuzzy</v>
      </c>
      <c r="P335" t="str">
        <f t="shared" si="40"/>
        <v>Fuzzy</v>
      </c>
    </row>
    <row r="336" spans="1:16" x14ac:dyDescent="0.35">
      <c r="A336" t="s">
        <v>339</v>
      </c>
      <c r="B336">
        <v>4549</v>
      </c>
      <c r="C336">
        <v>25</v>
      </c>
      <c r="D336">
        <v>65</v>
      </c>
      <c r="E336">
        <v>717</v>
      </c>
      <c r="F336">
        <v>6</v>
      </c>
      <c r="K336" s="1">
        <f t="shared" si="41"/>
        <v>717</v>
      </c>
      <c r="L336" s="1" t="str">
        <f t="shared" si="36"/>
        <v>Normal</v>
      </c>
      <c r="M336" s="2">
        <f t="shared" si="37"/>
        <v>5.2631578947368416</v>
      </c>
      <c r="N336" s="1" t="str">
        <f t="shared" si="38"/>
        <v>Kering</v>
      </c>
      <c r="O336" t="str">
        <f t="shared" si="39"/>
        <v>Fuzzy</v>
      </c>
      <c r="P336" t="str">
        <f t="shared" si="40"/>
        <v>Fuzzy</v>
      </c>
    </row>
    <row r="337" spans="1:16" x14ac:dyDescent="0.35">
      <c r="A337" t="s">
        <v>340</v>
      </c>
      <c r="B337">
        <v>4550</v>
      </c>
      <c r="C337">
        <v>25</v>
      </c>
      <c r="D337">
        <v>66</v>
      </c>
      <c r="E337">
        <v>700</v>
      </c>
      <c r="F337">
        <v>6</v>
      </c>
      <c r="K337" s="1">
        <f t="shared" si="41"/>
        <v>700</v>
      </c>
      <c r="L337" s="1" t="str">
        <f t="shared" si="36"/>
        <v>Normal</v>
      </c>
      <c r="M337" s="2">
        <f t="shared" si="37"/>
        <v>100</v>
      </c>
      <c r="N337" s="1" t="str">
        <f t="shared" si="38"/>
        <v>Basah</v>
      </c>
      <c r="O337" t="str">
        <f t="shared" si="39"/>
        <v>Fuzzy</v>
      </c>
      <c r="P337" t="str">
        <f t="shared" si="40"/>
        <v/>
      </c>
    </row>
    <row r="338" spans="1:16" x14ac:dyDescent="0.35">
      <c r="A338" t="s">
        <v>341</v>
      </c>
      <c r="B338">
        <v>4551</v>
      </c>
      <c r="C338">
        <v>26</v>
      </c>
      <c r="D338">
        <v>67</v>
      </c>
      <c r="E338">
        <v>721</v>
      </c>
      <c r="F338">
        <v>6</v>
      </c>
      <c r="K338" s="1">
        <f t="shared" si="41"/>
        <v>721</v>
      </c>
      <c r="L338" s="1" t="str">
        <f t="shared" si="36"/>
        <v>Normal</v>
      </c>
      <c r="M338" s="2">
        <f t="shared" si="37"/>
        <v>6.5015479876160995</v>
      </c>
      <c r="N338" s="1" t="str">
        <f t="shared" si="38"/>
        <v>Kering</v>
      </c>
      <c r="O338" t="str">
        <f t="shared" si="39"/>
        <v>Fuzzy</v>
      </c>
      <c r="P338" t="str">
        <f t="shared" si="40"/>
        <v>Fuzzy</v>
      </c>
    </row>
    <row r="339" spans="1:16" x14ac:dyDescent="0.35">
      <c r="A339" t="s">
        <v>342</v>
      </c>
      <c r="B339">
        <v>4552</v>
      </c>
      <c r="C339">
        <v>26</v>
      </c>
      <c r="D339">
        <v>67</v>
      </c>
      <c r="E339">
        <v>687</v>
      </c>
      <c r="F339">
        <v>6</v>
      </c>
      <c r="K339" s="1">
        <f t="shared" si="41"/>
        <v>687</v>
      </c>
      <c r="L339" s="1" t="str">
        <f t="shared" si="36"/>
        <v>Normal</v>
      </c>
      <c r="M339" s="2">
        <f t="shared" si="37"/>
        <v>96.75</v>
      </c>
      <c r="N339" s="1" t="str">
        <f t="shared" si="38"/>
        <v>Basah</v>
      </c>
      <c r="O339" t="str">
        <f t="shared" si="39"/>
        <v>Fuzzy</v>
      </c>
      <c r="P339" t="str">
        <f t="shared" si="40"/>
        <v>Fuzzy</v>
      </c>
    </row>
    <row r="340" spans="1:16" x14ac:dyDescent="0.35">
      <c r="A340" t="s">
        <v>343</v>
      </c>
      <c r="B340">
        <v>4553</v>
      </c>
      <c r="C340">
        <v>26</v>
      </c>
      <c r="D340">
        <v>67</v>
      </c>
      <c r="E340">
        <v>699</v>
      </c>
      <c r="F340">
        <v>6</v>
      </c>
      <c r="K340" s="1">
        <f t="shared" si="41"/>
        <v>699</v>
      </c>
      <c r="L340" s="1" t="str">
        <f t="shared" si="36"/>
        <v>Normal</v>
      </c>
      <c r="M340" s="2">
        <f t="shared" si="37"/>
        <v>99.75</v>
      </c>
      <c r="N340" s="1" t="str">
        <f t="shared" si="38"/>
        <v>Basah</v>
      </c>
      <c r="O340" t="str">
        <f t="shared" si="39"/>
        <v>Fuzzy</v>
      </c>
      <c r="P340" t="str">
        <f t="shared" si="40"/>
        <v>Fuzzy</v>
      </c>
    </row>
    <row r="341" spans="1:16" x14ac:dyDescent="0.35">
      <c r="A341" t="s">
        <v>344</v>
      </c>
      <c r="B341">
        <v>4554</v>
      </c>
      <c r="C341">
        <v>26</v>
      </c>
      <c r="D341">
        <v>67</v>
      </c>
      <c r="E341">
        <v>722</v>
      </c>
      <c r="F341">
        <v>5</v>
      </c>
      <c r="K341" s="1">
        <f t="shared" si="41"/>
        <v>722</v>
      </c>
      <c r="L341" s="1" t="str">
        <f t="shared" si="36"/>
        <v>Normal</v>
      </c>
      <c r="M341" s="2">
        <f t="shared" si="37"/>
        <v>6.8111455108359129</v>
      </c>
      <c r="N341" s="1" t="str">
        <f t="shared" si="38"/>
        <v>Kering</v>
      </c>
      <c r="O341" t="str">
        <f t="shared" si="39"/>
        <v>Fuzzy</v>
      </c>
      <c r="P341" t="str">
        <f t="shared" si="40"/>
        <v>Fuzzy</v>
      </c>
    </row>
    <row r="342" spans="1:16" x14ac:dyDescent="0.35">
      <c r="A342" t="s">
        <v>345</v>
      </c>
      <c r="B342">
        <v>4555</v>
      </c>
      <c r="C342">
        <v>26</v>
      </c>
      <c r="D342">
        <v>68</v>
      </c>
      <c r="E342">
        <v>649</v>
      </c>
      <c r="F342">
        <v>6</v>
      </c>
      <c r="K342" s="1">
        <f t="shared" si="41"/>
        <v>649</v>
      </c>
      <c r="L342" s="1" t="str">
        <f t="shared" si="36"/>
        <v>Normal</v>
      </c>
      <c r="M342" s="2">
        <f t="shared" si="37"/>
        <v>87.25</v>
      </c>
      <c r="N342" s="1" t="str">
        <f t="shared" si="38"/>
        <v>Basah</v>
      </c>
      <c r="O342" t="str">
        <f t="shared" si="39"/>
        <v>Fuzzy</v>
      </c>
      <c r="P342" t="str">
        <f t="shared" si="40"/>
        <v>Fuzzy</v>
      </c>
    </row>
    <row r="343" spans="1:16" x14ac:dyDescent="0.35">
      <c r="A343" t="s">
        <v>346</v>
      </c>
      <c r="B343">
        <v>4556</v>
      </c>
      <c r="C343">
        <v>26</v>
      </c>
      <c r="D343">
        <v>68</v>
      </c>
      <c r="E343">
        <v>751</v>
      </c>
      <c r="F343">
        <v>6</v>
      </c>
      <c r="K343" s="1">
        <f t="shared" si="41"/>
        <v>751</v>
      </c>
      <c r="L343" s="1" t="str">
        <f t="shared" si="36"/>
        <v>Normal</v>
      </c>
      <c r="M343" s="2">
        <f t="shared" si="37"/>
        <v>15.789473684210526</v>
      </c>
      <c r="N343" s="1" t="str">
        <f t="shared" si="38"/>
        <v>Kering</v>
      </c>
      <c r="O343" t="str">
        <f t="shared" si="39"/>
        <v>Fuzzy</v>
      </c>
      <c r="P343" t="str">
        <f t="shared" si="40"/>
        <v>Fuzzy</v>
      </c>
    </row>
    <row r="344" spans="1:16" x14ac:dyDescent="0.35">
      <c r="A344" t="s">
        <v>347</v>
      </c>
      <c r="B344">
        <v>4557</v>
      </c>
      <c r="C344">
        <v>26</v>
      </c>
      <c r="D344">
        <v>68</v>
      </c>
      <c r="E344">
        <v>677</v>
      </c>
      <c r="F344">
        <v>6</v>
      </c>
      <c r="K344" s="1">
        <f t="shared" si="41"/>
        <v>677</v>
      </c>
      <c r="L344" s="1" t="str">
        <f t="shared" si="36"/>
        <v>Normal</v>
      </c>
      <c r="M344" s="2">
        <f t="shared" si="37"/>
        <v>94.25</v>
      </c>
      <c r="N344" s="1" t="str">
        <f t="shared" si="38"/>
        <v>Basah</v>
      </c>
      <c r="O344" t="str">
        <f t="shared" si="39"/>
        <v>Fuzzy</v>
      </c>
      <c r="P344" t="str">
        <f t="shared" si="40"/>
        <v>Fuzzy</v>
      </c>
    </row>
    <row r="345" spans="1:16" x14ac:dyDescent="0.35">
      <c r="A345" t="s">
        <v>348</v>
      </c>
      <c r="B345">
        <v>4558</v>
      </c>
      <c r="C345">
        <v>26</v>
      </c>
      <c r="D345">
        <v>68</v>
      </c>
      <c r="E345">
        <v>777</v>
      </c>
      <c r="F345">
        <v>5</v>
      </c>
      <c r="K345" s="1">
        <f t="shared" si="41"/>
        <v>777</v>
      </c>
      <c r="L345" s="1" t="str">
        <f t="shared" si="36"/>
        <v>Normal</v>
      </c>
      <c r="M345" s="2">
        <f t="shared" si="37"/>
        <v>23.839009287925698</v>
      </c>
      <c r="N345" s="1" t="str">
        <f t="shared" si="38"/>
        <v>Kering</v>
      </c>
      <c r="O345" t="str">
        <f t="shared" si="39"/>
        <v>Fuzzy</v>
      </c>
      <c r="P345" t="str">
        <f t="shared" si="40"/>
        <v>Fuzzy</v>
      </c>
    </row>
    <row r="346" spans="1:16" x14ac:dyDescent="0.35">
      <c r="A346" t="s">
        <v>349</v>
      </c>
      <c r="B346">
        <v>4559</v>
      </c>
      <c r="C346">
        <v>26</v>
      </c>
      <c r="D346">
        <v>66</v>
      </c>
      <c r="E346">
        <v>705</v>
      </c>
      <c r="F346">
        <v>6</v>
      </c>
      <c r="K346" s="1">
        <f t="shared" si="41"/>
        <v>705</v>
      </c>
      <c r="L346" s="1" t="str">
        <f t="shared" si="36"/>
        <v>Normal</v>
      </c>
      <c r="M346" s="2">
        <f t="shared" si="37"/>
        <v>1.5479876160990713</v>
      </c>
      <c r="N346" s="1" t="str">
        <f t="shared" si="38"/>
        <v>Kering</v>
      </c>
      <c r="O346" t="str">
        <f t="shared" si="39"/>
        <v>Fuzzy</v>
      </c>
      <c r="P346" t="str">
        <f t="shared" si="40"/>
        <v>Fuzzy</v>
      </c>
    </row>
    <row r="347" spans="1:16" x14ac:dyDescent="0.35">
      <c r="A347" t="s">
        <v>350</v>
      </c>
      <c r="B347">
        <v>4560</v>
      </c>
      <c r="C347">
        <v>26</v>
      </c>
      <c r="D347">
        <v>65</v>
      </c>
      <c r="E347">
        <v>728</v>
      </c>
      <c r="F347">
        <v>6</v>
      </c>
      <c r="K347" s="1">
        <f t="shared" si="41"/>
        <v>728</v>
      </c>
      <c r="L347" s="1" t="str">
        <f t="shared" si="36"/>
        <v>Normal</v>
      </c>
      <c r="M347" s="2">
        <f t="shared" si="37"/>
        <v>8.6687306501547994</v>
      </c>
      <c r="N347" s="1" t="str">
        <f t="shared" si="38"/>
        <v>Kering</v>
      </c>
      <c r="O347" t="str">
        <f t="shared" si="39"/>
        <v>Fuzzy</v>
      </c>
      <c r="P347" t="str">
        <f t="shared" si="40"/>
        <v>Fuzzy</v>
      </c>
    </row>
    <row r="348" spans="1:16" x14ac:dyDescent="0.35">
      <c r="A348" t="s">
        <v>351</v>
      </c>
      <c r="B348">
        <v>4561</v>
      </c>
      <c r="C348">
        <v>26</v>
      </c>
      <c r="D348">
        <v>65</v>
      </c>
      <c r="E348">
        <v>718</v>
      </c>
      <c r="F348">
        <v>6</v>
      </c>
      <c r="K348" s="1">
        <f t="shared" si="41"/>
        <v>718</v>
      </c>
      <c r="L348" s="1" t="str">
        <f t="shared" si="36"/>
        <v>Normal</v>
      </c>
      <c r="M348" s="2">
        <f t="shared" si="37"/>
        <v>5.5727554179566559</v>
      </c>
      <c r="N348" s="1" t="str">
        <f t="shared" si="38"/>
        <v>Kering</v>
      </c>
      <c r="O348" t="str">
        <f t="shared" si="39"/>
        <v>Fuzzy</v>
      </c>
      <c r="P348" t="str">
        <f t="shared" si="40"/>
        <v>Fuzzy</v>
      </c>
    </row>
    <row r="349" spans="1:16" x14ac:dyDescent="0.35">
      <c r="A349" t="s">
        <v>352</v>
      </c>
      <c r="B349">
        <v>4562</v>
      </c>
      <c r="C349">
        <v>26</v>
      </c>
      <c r="D349">
        <v>65</v>
      </c>
      <c r="E349">
        <v>714</v>
      </c>
      <c r="F349">
        <v>6</v>
      </c>
      <c r="K349" s="1">
        <f t="shared" si="41"/>
        <v>714</v>
      </c>
      <c r="L349" s="1" t="str">
        <f t="shared" si="36"/>
        <v>Normal</v>
      </c>
      <c r="M349" s="2">
        <f t="shared" si="37"/>
        <v>4.3343653250773997</v>
      </c>
      <c r="N349" s="1" t="str">
        <f t="shared" si="38"/>
        <v>Kering</v>
      </c>
      <c r="O349" t="str">
        <f t="shared" si="39"/>
        <v>Fuzzy</v>
      </c>
      <c r="P349" t="str">
        <f t="shared" si="40"/>
        <v>Fuzzy</v>
      </c>
    </row>
    <row r="350" spans="1:16" x14ac:dyDescent="0.35">
      <c r="A350" t="s">
        <v>353</v>
      </c>
      <c r="B350">
        <v>4563</v>
      </c>
      <c r="C350">
        <v>26</v>
      </c>
      <c r="D350">
        <v>66</v>
      </c>
      <c r="E350">
        <v>650</v>
      </c>
      <c r="F350">
        <v>6</v>
      </c>
      <c r="K350" s="1">
        <f t="shared" si="41"/>
        <v>650</v>
      </c>
      <c r="L350" s="1" t="str">
        <f t="shared" si="36"/>
        <v>Normal</v>
      </c>
      <c r="M350" s="2">
        <f t="shared" si="37"/>
        <v>87.5</v>
      </c>
      <c r="N350" s="1" t="str">
        <f t="shared" si="38"/>
        <v>Basah</v>
      </c>
      <c r="O350" t="str">
        <f t="shared" si="39"/>
        <v>Fuzzy</v>
      </c>
      <c r="P350" t="str">
        <f t="shared" si="40"/>
        <v>Fuzzy</v>
      </c>
    </row>
    <row r="351" spans="1:16" x14ac:dyDescent="0.35">
      <c r="A351" t="s">
        <v>354</v>
      </c>
      <c r="B351">
        <v>4564</v>
      </c>
      <c r="C351">
        <v>26</v>
      </c>
      <c r="D351">
        <v>66</v>
      </c>
      <c r="E351">
        <v>740</v>
      </c>
      <c r="F351">
        <v>5</v>
      </c>
      <c r="K351" s="1">
        <f t="shared" si="41"/>
        <v>740</v>
      </c>
      <c r="L351" s="1" t="str">
        <f t="shared" si="36"/>
        <v>Normal</v>
      </c>
      <c r="M351" s="2">
        <f t="shared" si="37"/>
        <v>12.383900928792571</v>
      </c>
      <c r="N351" s="1" t="str">
        <f t="shared" si="38"/>
        <v>Kering</v>
      </c>
      <c r="O351" t="str">
        <f t="shared" si="39"/>
        <v>Fuzzy</v>
      </c>
      <c r="P351" t="str">
        <f t="shared" si="40"/>
        <v>Fuzzy</v>
      </c>
    </row>
    <row r="352" spans="1:16" x14ac:dyDescent="0.35">
      <c r="A352" t="s">
        <v>355</v>
      </c>
      <c r="B352">
        <v>4565</v>
      </c>
      <c r="C352">
        <v>26</v>
      </c>
      <c r="D352">
        <v>67</v>
      </c>
      <c r="E352">
        <v>715</v>
      </c>
      <c r="F352">
        <v>5</v>
      </c>
      <c r="K352" s="1">
        <f t="shared" si="41"/>
        <v>715</v>
      </c>
      <c r="L352" s="1" t="str">
        <f t="shared" si="36"/>
        <v>Normal</v>
      </c>
      <c r="M352" s="2">
        <f t="shared" si="37"/>
        <v>4.643962848297214</v>
      </c>
      <c r="N352" s="1" t="str">
        <f t="shared" si="38"/>
        <v>Kering</v>
      </c>
      <c r="O352" t="str">
        <f t="shared" si="39"/>
        <v>Fuzzy</v>
      </c>
      <c r="P352" t="str">
        <f t="shared" si="40"/>
        <v>Fuzzy</v>
      </c>
    </row>
    <row r="353" spans="1:16" x14ac:dyDescent="0.35">
      <c r="A353" t="s">
        <v>356</v>
      </c>
      <c r="B353">
        <v>4566</v>
      </c>
      <c r="C353">
        <v>26</v>
      </c>
      <c r="D353">
        <v>67</v>
      </c>
      <c r="E353">
        <v>710</v>
      </c>
      <c r="F353">
        <v>6</v>
      </c>
      <c r="K353" s="1">
        <f t="shared" si="41"/>
        <v>710</v>
      </c>
      <c r="L353" s="1" t="str">
        <f t="shared" si="36"/>
        <v>Normal</v>
      </c>
      <c r="M353" s="2">
        <f t="shared" si="37"/>
        <v>3.0959752321981426</v>
      </c>
      <c r="N353" s="1" t="str">
        <f t="shared" si="38"/>
        <v>Kering</v>
      </c>
      <c r="O353" t="str">
        <f t="shared" si="39"/>
        <v>Fuzzy</v>
      </c>
      <c r="P353" t="str">
        <f t="shared" si="40"/>
        <v>Fuzzy</v>
      </c>
    </row>
    <row r="354" spans="1:16" x14ac:dyDescent="0.35">
      <c r="A354" t="s">
        <v>357</v>
      </c>
      <c r="B354">
        <v>4567</v>
      </c>
      <c r="C354">
        <v>26</v>
      </c>
      <c r="D354">
        <v>68</v>
      </c>
      <c r="E354">
        <v>727</v>
      </c>
      <c r="F354">
        <v>6</v>
      </c>
      <c r="K354" s="1">
        <f t="shared" si="41"/>
        <v>727</v>
      </c>
      <c r="L354" s="1" t="str">
        <f t="shared" si="36"/>
        <v>Normal</v>
      </c>
      <c r="M354" s="2">
        <f t="shared" si="37"/>
        <v>8.3591331269349833</v>
      </c>
      <c r="N354" s="1" t="str">
        <f t="shared" si="38"/>
        <v>Kering</v>
      </c>
      <c r="O354" t="str">
        <f t="shared" si="39"/>
        <v>Fuzzy</v>
      </c>
      <c r="P354" t="str">
        <f t="shared" si="40"/>
        <v>Fuzzy</v>
      </c>
    </row>
    <row r="355" spans="1:16" x14ac:dyDescent="0.35">
      <c r="A355" t="s">
        <v>358</v>
      </c>
      <c r="B355">
        <v>4568</v>
      </c>
      <c r="C355">
        <v>26</v>
      </c>
      <c r="D355">
        <v>68</v>
      </c>
      <c r="E355">
        <v>698</v>
      </c>
      <c r="F355">
        <v>6</v>
      </c>
      <c r="K355" s="1">
        <f t="shared" si="41"/>
        <v>698</v>
      </c>
      <c r="L355" s="1" t="str">
        <f t="shared" si="36"/>
        <v>Normal</v>
      </c>
      <c r="M355" s="2">
        <f t="shared" si="37"/>
        <v>99.5</v>
      </c>
      <c r="N355" s="1" t="str">
        <f t="shared" si="38"/>
        <v>Basah</v>
      </c>
      <c r="O355" t="str">
        <f t="shared" si="39"/>
        <v>Fuzzy</v>
      </c>
      <c r="P355" t="str">
        <f t="shared" si="40"/>
        <v>Fuzzy</v>
      </c>
    </row>
    <row r="356" spans="1:16" x14ac:dyDescent="0.35">
      <c r="A356" t="s">
        <v>359</v>
      </c>
      <c r="B356">
        <v>4569</v>
      </c>
      <c r="C356">
        <v>26</v>
      </c>
      <c r="D356">
        <v>68</v>
      </c>
      <c r="E356">
        <v>723</v>
      </c>
      <c r="F356">
        <v>6</v>
      </c>
      <c r="K356" s="1">
        <f t="shared" si="41"/>
        <v>723</v>
      </c>
      <c r="L356" s="1" t="str">
        <f t="shared" si="36"/>
        <v>Normal</v>
      </c>
      <c r="M356" s="2">
        <f t="shared" si="37"/>
        <v>7.1207430340557281</v>
      </c>
      <c r="N356" s="1" t="str">
        <f t="shared" si="38"/>
        <v>Kering</v>
      </c>
      <c r="O356" t="str">
        <f t="shared" si="39"/>
        <v>Fuzzy</v>
      </c>
      <c r="P356" t="str">
        <f t="shared" si="40"/>
        <v>Fuzzy</v>
      </c>
    </row>
    <row r="357" spans="1:16" x14ac:dyDescent="0.35">
      <c r="A357" t="s">
        <v>360</v>
      </c>
      <c r="B357">
        <v>4570</v>
      </c>
      <c r="C357">
        <v>26</v>
      </c>
      <c r="D357">
        <v>68</v>
      </c>
      <c r="E357">
        <v>762</v>
      </c>
      <c r="F357">
        <v>5</v>
      </c>
      <c r="K357" s="1">
        <f t="shared" si="41"/>
        <v>762</v>
      </c>
      <c r="L357" s="1" t="str">
        <f t="shared" si="36"/>
        <v>Normal</v>
      </c>
      <c r="M357" s="2">
        <f t="shared" si="37"/>
        <v>19.195046439628484</v>
      </c>
      <c r="N357" s="1" t="str">
        <f t="shared" si="38"/>
        <v>Kering</v>
      </c>
      <c r="O357" t="str">
        <f t="shared" si="39"/>
        <v>Fuzzy</v>
      </c>
      <c r="P357" t="str">
        <f t="shared" si="40"/>
        <v>Fuzzy</v>
      </c>
    </row>
    <row r="358" spans="1:16" x14ac:dyDescent="0.35">
      <c r="A358" t="s">
        <v>361</v>
      </c>
      <c r="B358">
        <v>4571</v>
      </c>
      <c r="C358">
        <v>26</v>
      </c>
      <c r="D358">
        <v>68</v>
      </c>
      <c r="E358">
        <v>964</v>
      </c>
      <c r="F358">
        <v>5</v>
      </c>
      <c r="K358" s="1">
        <f t="shared" si="41"/>
        <v>964</v>
      </c>
      <c r="L358" s="1" t="str">
        <f t="shared" si="36"/>
        <v>Normal</v>
      </c>
      <c r="M358" s="2">
        <f t="shared" si="37"/>
        <v>81.733746130030966</v>
      </c>
      <c r="N358" s="1" t="str">
        <f t="shared" si="38"/>
        <v>Basah</v>
      </c>
      <c r="O358" t="str">
        <f t="shared" si="39"/>
        <v>Fuzzy</v>
      </c>
      <c r="P358" t="str">
        <f t="shared" si="40"/>
        <v>Fuzzy</v>
      </c>
    </row>
    <row r="359" spans="1:16" x14ac:dyDescent="0.35">
      <c r="A359" t="s">
        <v>362</v>
      </c>
      <c r="B359">
        <v>4572</v>
      </c>
      <c r="C359">
        <v>26</v>
      </c>
      <c r="D359">
        <v>68</v>
      </c>
      <c r="E359">
        <v>693</v>
      </c>
      <c r="F359">
        <v>6</v>
      </c>
      <c r="K359" s="1">
        <f t="shared" si="41"/>
        <v>693</v>
      </c>
      <c r="L359" s="1" t="str">
        <f t="shared" si="36"/>
        <v>Normal</v>
      </c>
      <c r="M359" s="2">
        <f t="shared" si="37"/>
        <v>98.25</v>
      </c>
      <c r="N359" s="1" t="str">
        <f t="shared" si="38"/>
        <v>Basah</v>
      </c>
      <c r="O359" t="str">
        <f t="shared" si="39"/>
        <v>Fuzzy</v>
      </c>
      <c r="P359" t="str">
        <f t="shared" si="40"/>
        <v>Fuzzy</v>
      </c>
    </row>
    <row r="360" spans="1:16" x14ac:dyDescent="0.35">
      <c r="A360" t="s">
        <v>363</v>
      </c>
      <c r="B360">
        <v>4573</v>
      </c>
      <c r="C360">
        <v>26</v>
      </c>
      <c r="D360">
        <v>68</v>
      </c>
      <c r="E360">
        <v>748</v>
      </c>
      <c r="F360">
        <v>6</v>
      </c>
      <c r="K360" s="1">
        <f t="shared" si="41"/>
        <v>748</v>
      </c>
      <c r="L360" s="1" t="str">
        <f t="shared" si="36"/>
        <v>Normal</v>
      </c>
      <c r="M360" s="2">
        <f t="shared" si="37"/>
        <v>14.860681114551083</v>
      </c>
      <c r="N360" s="1" t="str">
        <f t="shared" si="38"/>
        <v>Kering</v>
      </c>
      <c r="O360" t="str">
        <f t="shared" si="39"/>
        <v>Fuzzy</v>
      </c>
      <c r="P360" t="str">
        <f t="shared" si="40"/>
        <v>Fuzzy</v>
      </c>
    </row>
    <row r="361" spans="1:16" x14ac:dyDescent="0.35">
      <c r="A361" t="s">
        <v>364</v>
      </c>
      <c r="B361">
        <v>4574</v>
      </c>
      <c r="C361">
        <v>26</v>
      </c>
      <c r="D361">
        <v>68</v>
      </c>
      <c r="E361">
        <v>743</v>
      </c>
      <c r="F361">
        <v>6</v>
      </c>
      <c r="K361" s="1">
        <f t="shared" si="41"/>
        <v>743</v>
      </c>
      <c r="L361" s="1" t="str">
        <f t="shared" si="36"/>
        <v>Normal</v>
      </c>
      <c r="M361" s="2">
        <f t="shared" si="37"/>
        <v>13.312693498452013</v>
      </c>
      <c r="N361" s="1" t="str">
        <f t="shared" si="38"/>
        <v>Kering</v>
      </c>
      <c r="O361" t="str">
        <f t="shared" si="39"/>
        <v>Fuzzy</v>
      </c>
      <c r="P361" t="str">
        <f t="shared" si="40"/>
        <v>Fuzzy</v>
      </c>
    </row>
    <row r="362" spans="1:16" x14ac:dyDescent="0.35">
      <c r="A362" t="s">
        <v>365</v>
      </c>
      <c r="B362">
        <v>4575</v>
      </c>
      <c r="C362">
        <v>26</v>
      </c>
      <c r="D362">
        <v>68</v>
      </c>
      <c r="E362">
        <v>734</v>
      </c>
      <c r="F362">
        <v>6</v>
      </c>
      <c r="K362" s="1">
        <f t="shared" si="41"/>
        <v>734</v>
      </c>
      <c r="L362" s="1" t="str">
        <f t="shared" si="36"/>
        <v>Normal</v>
      </c>
      <c r="M362" s="2">
        <f t="shared" si="37"/>
        <v>10.526315789473683</v>
      </c>
      <c r="N362" s="1" t="str">
        <f t="shared" si="38"/>
        <v>Kering</v>
      </c>
      <c r="O362" t="str">
        <f t="shared" si="39"/>
        <v>Fuzzy</v>
      </c>
      <c r="P362" t="str">
        <f t="shared" si="40"/>
        <v>Fuzzy</v>
      </c>
    </row>
    <row r="363" spans="1:16" x14ac:dyDescent="0.35">
      <c r="A363" t="s">
        <v>366</v>
      </c>
      <c r="B363">
        <v>4576</v>
      </c>
      <c r="C363">
        <v>26</v>
      </c>
      <c r="D363">
        <v>69</v>
      </c>
      <c r="E363">
        <v>742</v>
      </c>
      <c r="F363">
        <v>6</v>
      </c>
      <c r="K363" s="1">
        <f t="shared" si="41"/>
        <v>742</v>
      </c>
      <c r="L363" s="1" t="str">
        <f t="shared" si="36"/>
        <v>Normal</v>
      </c>
      <c r="M363" s="2">
        <f t="shared" si="37"/>
        <v>13.003095975232199</v>
      </c>
      <c r="N363" s="1" t="str">
        <f t="shared" si="38"/>
        <v>Kering</v>
      </c>
      <c r="O363" t="str">
        <f t="shared" si="39"/>
        <v>Fuzzy</v>
      </c>
      <c r="P363" t="str">
        <f t="shared" si="40"/>
        <v>Fuzzy</v>
      </c>
    </row>
    <row r="364" spans="1:16" x14ac:dyDescent="0.35">
      <c r="A364" t="s">
        <v>367</v>
      </c>
      <c r="B364">
        <v>4577</v>
      </c>
      <c r="C364">
        <v>27</v>
      </c>
      <c r="D364">
        <v>69</v>
      </c>
      <c r="E364">
        <v>697</v>
      </c>
      <c r="F364">
        <v>6</v>
      </c>
      <c r="K364" s="1">
        <f t="shared" si="41"/>
        <v>697</v>
      </c>
      <c r="L364" s="1" t="str">
        <f t="shared" si="36"/>
        <v>Normal</v>
      </c>
      <c r="M364" s="2">
        <f t="shared" si="37"/>
        <v>99.25</v>
      </c>
      <c r="N364" s="1" t="str">
        <f t="shared" si="38"/>
        <v>Basah</v>
      </c>
      <c r="O364" t="str">
        <f t="shared" si="39"/>
        <v>Fuzzy</v>
      </c>
      <c r="P364" t="str">
        <f t="shared" si="40"/>
        <v>Fuzzy</v>
      </c>
    </row>
    <row r="365" spans="1:16" x14ac:dyDescent="0.35">
      <c r="A365" t="s">
        <v>368</v>
      </c>
      <c r="B365">
        <v>4578</v>
      </c>
      <c r="C365">
        <v>27</v>
      </c>
      <c r="D365">
        <v>69</v>
      </c>
      <c r="E365">
        <v>743</v>
      </c>
      <c r="F365">
        <v>6</v>
      </c>
      <c r="K365" s="1">
        <f t="shared" si="41"/>
        <v>743</v>
      </c>
      <c r="L365" s="1" t="str">
        <f t="shared" si="36"/>
        <v>Normal</v>
      </c>
      <c r="M365" s="2">
        <f t="shared" si="37"/>
        <v>13.312693498452013</v>
      </c>
      <c r="N365" s="1" t="str">
        <f t="shared" si="38"/>
        <v>Kering</v>
      </c>
      <c r="O365" t="str">
        <f t="shared" si="39"/>
        <v>Fuzzy</v>
      </c>
      <c r="P365" t="str">
        <f t="shared" si="40"/>
        <v>Fuzzy</v>
      </c>
    </row>
    <row r="366" spans="1:16" x14ac:dyDescent="0.35">
      <c r="A366" t="s">
        <v>369</v>
      </c>
      <c r="B366">
        <v>4579</v>
      </c>
      <c r="C366">
        <v>27</v>
      </c>
      <c r="D366">
        <v>69</v>
      </c>
      <c r="E366">
        <v>770</v>
      </c>
      <c r="F366">
        <v>5</v>
      </c>
      <c r="K366" s="1">
        <f t="shared" si="41"/>
        <v>770</v>
      </c>
      <c r="L366" s="1" t="str">
        <f t="shared" si="36"/>
        <v>Normal</v>
      </c>
      <c r="M366" s="2">
        <f t="shared" si="37"/>
        <v>21.671826625386998</v>
      </c>
      <c r="N366" s="1" t="str">
        <f t="shared" si="38"/>
        <v>Kering</v>
      </c>
      <c r="O366" t="str">
        <f t="shared" si="39"/>
        <v>Fuzzy</v>
      </c>
      <c r="P366" t="str">
        <f t="shared" si="40"/>
        <v>Fuzzy</v>
      </c>
    </row>
    <row r="367" spans="1:16" x14ac:dyDescent="0.35">
      <c r="A367" t="s">
        <v>370</v>
      </c>
      <c r="B367">
        <v>4580</v>
      </c>
      <c r="C367">
        <v>27</v>
      </c>
      <c r="D367">
        <v>69</v>
      </c>
      <c r="E367">
        <v>706</v>
      </c>
      <c r="F367">
        <v>5</v>
      </c>
      <c r="K367" s="1">
        <f t="shared" si="41"/>
        <v>706</v>
      </c>
      <c r="L367" s="1" t="str">
        <f t="shared" si="36"/>
        <v>Normal</v>
      </c>
      <c r="M367" s="2">
        <f t="shared" si="37"/>
        <v>1.8575851393188854</v>
      </c>
      <c r="N367" s="1" t="str">
        <f t="shared" si="38"/>
        <v>Kering</v>
      </c>
      <c r="O367" t="str">
        <f t="shared" si="39"/>
        <v>Fuzzy</v>
      </c>
      <c r="P367" t="str">
        <f t="shared" si="40"/>
        <v>Fuzzy</v>
      </c>
    </row>
    <row r="368" spans="1:16" x14ac:dyDescent="0.35">
      <c r="A368" t="s">
        <v>371</v>
      </c>
      <c r="B368">
        <v>4581</v>
      </c>
      <c r="C368">
        <v>27</v>
      </c>
      <c r="D368">
        <v>69</v>
      </c>
      <c r="E368">
        <v>706</v>
      </c>
      <c r="F368">
        <v>6</v>
      </c>
      <c r="K368" s="1">
        <f t="shared" si="41"/>
        <v>706</v>
      </c>
      <c r="L368" s="1" t="str">
        <f t="shared" si="36"/>
        <v>Normal</v>
      </c>
      <c r="M368" s="2">
        <f t="shared" si="37"/>
        <v>1.8575851393188854</v>
      </c>
      <c r="N368" s="1" t="str">
        <f t="shared" si="38"/>
        <v>Kering</v>
      </c>
      <c r="O368" t="str">
        <f t="shared" si="39"/>
        <v>Fuzzy</v>
      </c>
      <c r="P368" t="str">
        <f t="shared" si="40"/>
        <v>Fuzzy</v>
      </c>
    </row>
    <row r="369" spans="1:16" x14ac:dyDescent="0.35">
      <c r="A369" t="s">
        <v>372</v>
      </c>
      <c r="B369">
        <v>4582</v>
      </c>
      <c r="C369">
        <v>27</v>
      </c>
      <c r="D369">
        <v>68</v>
      </c>
      <c r="E369">
        <v>695</v>
      </c>
      <c r="F369">
        <v>6</v>
      </c>
      <c r="K369" s="1">
        <f t="shared" si="41"/>
        <v>695</v>
      </c>
      <c r="L369" s="1" t="str">
        <f t="shared" si="36"/>
        <v>Normal</v>
      </c>
      <c r="M369" s="2">
        <f t="shared" si="37"/>
        <v>98.75</v>
      </c>
      <c r="N369" s="1" t="str">
        <f t="shared" si="38"/>
        <v>Basah</v>
      </c>
      <c r="O369" t="str">
        <f t="shared" si="39"/>
        <v>Fuzzy</v>
      </c>
      <c r="P369" t="str">
        <f t="shared" si="40"/>
        <v>Fuzzy</v>
      </c>
    </row>
    <row r="370" spans="1:16" x14ac:dyDescent="0.35">
      <c r="A370" t="s">
        <v>373</v>
      </c>
      <c r="B370">
        <v>4583</v>
      </c>
      <c r="C370">
        <v>27</v>
      </c>
      <c r="D370">
        <v>67</v>
      </c>
      <c r="E370">
        <v>779</v>
      </c>
      <c r="F370">
        <v>6</v>
      </c>
      <c r="K370" s="1">
        <f t="shared" si="41"/>
        <v>779</v>
      </c>
      <c r="L370" s="1" t="str">
        <f t="shared" si="36"/>
        <v>Normal</v>
      </c>
      <c r="M370" s="2">
        <f t="shared" si="37"/>
        <v>24.458204334365323</v>
      </c>
      <c r="N370" s="1" t="str">
        <f t="shared" si="38"/>
        <v>Kering</v>
      </c>
      <c r="O370" t="str">
        <f t="shared" si="39"/>
        <v>Fuzzy</v>
      </c>
      <c r="P370" t="str">
        <f t="shared" si="40"/>
        <v>Fuzzy</v>
      </c>
    </row>
    <row r="371" spans="1:16" x14ac:dyDescent="0.35">
      <c r="A371" t="s">
        <v>374</v>
      </c>
      <c r="B371">
        <v>4584</v>
      </c>
      <c r="C371">
        <v>27</v>
      </c>
      <c r="D371">
        <v>66</v>
      </c>
      <c r="E371">
        <v>718</v>
      </c>
      <c r="F371">
        <v>6</v>
      </c>
      <c r="K371" s="1">
        <f t="shared" si="41"/>
        <v>718</v>
      </c>
      <c r="L371" s="1" t="str">
        <f t="shared" si="36"/>
        <v>Normal</v>
      </c>
      <c r="M371" s="2">
        <f t="shared" si="37"/>
        <v>5.5727554179566559</v>
      </c>
      <c r="N371" s="1" t="str">
        <f t="shared" si="38"/>
        <v>Kering</v>
      </c>
      <c r="O371" t="str">
        <f t="shared" si="39"/>
        <v>Fuzzy</v>
      </c>
      <c r="P371" t="str">
        <f t="shared" si="40"/>
        <v>Fuzzy</v>
      </c>
    </row>
    <row r="372" spans="1:16" x14ac:dyDescent="0.35">
      <c r="A372" t="s">
        <v>375</v>
      </c>
      <c r="B372">
        <v>4585</v>
      </c>
      <c r="C372">
        <v>27</v>
      </c>
      <c r="D372">
        <v>65</v>
      </c>
      <c r="E372">
        <v>738</v>
      </c>
      <c r="F372">
        <v>6</v>
      </c>
      <c r="K372" s="1">
        <f t="shared" si="41"/>
        <v>738</v>
      </c>
      <c r="L372" s="1" t="str">
        <f t="shared" si="36"/>
        <v>Normal</v>
      </c>
      <c r="M372" s="2">
        <f t="shared" si="37"/>
        <v>11.76470588235294</v>
      </c>
      <c r="N372" s="1" t="str">
        <f t="shared" si="38"/>
        <v>Kering</v>
      </c>
      <c r="O372" t="str">
        <f t="shared" si="39"/>
        <v>Fuzzy</v>
      </c>
      <c r="P372" t="str">
        <f t="shared" si="40"/>
        <v>Fuzzy</v>
      </c>
    </row>
    <row r="373" spans="1:16" x14ac:dyDescent="0.35">
      <c r="A373" t="s">
        <v>376</v>
      </c>
      <c r="B373">
        <v>4586</v>
      </c>
      <c r="C373">
        <v>27</v>
      </c>
      <c r="D373">
        <v>64</v>
      </c>
      <c r="E373">
        <v>719</v>
      </c>
      <c r="F373">
        <v>6</v>
      </c>
      <c r="K373" s="1">
        <f t="shared" si="41"/>
        <v>719</v>
      </c>
      <c r="L373" s="1" t="str">
        <f t="shared" si="36"/>
        <v>Normal</v>
      </c>
      <c r="M373" s="2">
        <f t="shared" si="37"/>
        <v>5.8823529411764701</v>
      </c>
      <c r="N373" s="1" t="str">
        <f t="shared" si="38"/>
        <v>Kering</v>
      </c>
      <c r="O373" t="str">
        <f t="shared" si="39"/>
        <v>Fuzzy</v>
      </c>
      <c r="P373" t="str">
        <f t="shared" si="40"/>
        <v>Fuzzy</v>
      </c>
    </row>
    <row r="374" spans="1:16" x14ac:dyDescent="0.35">
      <c r="A374" t="s">
        <v>377</v>
      </c>
      <c r="B374">
        <v>4587</v>
      </c>
      <c r="C374">
        <v>27</v>
      </c>
      <c r="D374">
        <v>64</v>
      </c>
      <c r="E374">
        <v>675</v>
      </c>
      <c r="F374">
        <v>6</v>
      </c>
      <c r="K374" s="1">
        <f t="shared" si="41"/>
        <v>675</v>
      </c>
      <c r="L374" s="1" t="str">
        <f t="shared" si="36"/>
        <v>Normal</v>
      </c>
      <c r="M374" s="2">
        <f t="shared" si="37"/>
        <v>93.75</v>
      </c>
      <c r="N374" s="1" t="str">
        <f t="shared" si="38"/>
        <v>Basah</v>
      </c>
      <c r="O374" t="str">
        <f t="shared" si="39"/>
        <v>Fuzzy</v>
      </c>
      <c r="P374" t="str">
        <f t="shared" si="40"/>
        <v>Fuzzy</v>
      </c>
    </row>
    <row r="375" spans="1:16" x14ac:dyDescent="0.35">
      <c r="A375" t="s">
        <v>378</v>
      </c>
      <c r="B375">
        <v>4588</v>
      </c>
      <c r="C375">
        <v>27</v>
      </c>
      <c r="D375">
        <v>64</v>
      </c>
      <c r="E375">
        <v>725</v>
      </c>
      <c r="F375">
        <v>6</v>
      </c>
      <c r="K375" s="1">
        <f t="shared" si="41"/>
        <v>725</v>
      </c>
      <c r="L375" s="1" t="str">
        <f t="shared" si="36"/>
        <v>Normal</v>
      </c>
      <c r="M375" s="2">
        <f t="shared" si="37"/>
        <v>7.7399380804953566</v>
      </c>
      <c r="N375" s="1" t="str">
        <f t="shared" si="38"/>
        <v>Kering</v>
      </c>
      <c r="O375" t="str">
        <f t="shared" si="39"/>
        <v>Fuzzy</v>
      </c>
      <c r="P375" t="str">
        <f t="shared" si="40"/>
        <v>Fuzzy</v>
      </c>
    </row>
    <row r="376" spans="1:16" x14ac:dyDescent="0.35">
      <c r="A376" t="s">
        <v>379</v>
      </c>
      <c r="B376">
        <v>4589</v>
      </c>
      <c r="C376">
        <v>27</v>
      </c>
      <c r="D376">
        <v>65</v>
      </c>
      <c r="E376">
        <v>917</v>
      </c>
      <c r="F376">
        <v>6</v>
      </c>
      <c r="K376" s="1">
        <f t="shared" si="41"/>
        <v>917</v>
      </c>
      <c r="L376" s="1" t="str">
        <f t="shared" si="36"/>
        <v>Normal</v>
      </c>
      <c r="M376" s="2">
        <f t="shared" si="37"/>
        <v>67.182662538699688</v>
      </c>
      <c r="N376" s="1" t="str">
        <f t="shared" si="38"/>
        <v>Lembab</v>
      </c>
      <c r="O376" t="str">
        <f t="shared" si="39"/>
        <v>Fuzzy</v>
      </c>
      <c r="P376" t="str">
        <f t="shared" si="40"/>
        <v>Fuzzy</v>
      </c>
    </row>
    <row r="377" spans="1:16" x14ac:dyDescent="0.35">
      <c r="A377" t="s">
        <v>380</v>
      </c>
      <c r="B377">
        <v>4590</v>
      </c>
      <c r="C377">
        <v>27</v>
      </c>
      <c r="D377">
        <v>65</v>
      </c>
      <c r="E377">
        <v>688</v>
      </c>
      <c r="F377">
        <v>6</v>
      </c>
      <c r="K377" s="1">
        <f t="shared" si="41"/>
        <v>688</v>
      </c>
      <c r="L377" s="1" t="str">
        <f t="shared" si="36"/>
        <v>Normal</v>
      </c>
      <c r="M377" s="2">
        <f t="shared" si="37"/>
        <v>97</v>
      </c>
      <c r="N377" s="1" t="str">
        <f t="shared" si="38"/>
        <v>Basah</v>
      </c>
      <c r="O377" t="str">
        <f t="shared" si="39"/>
        <v>Fuzzy</v>
      </c>
      <c r="P377" t="str">
        <f t="shared" si="40"/>
        <v>Fuzzy</v>
      </c>
    </row>
    <row r="378" spans="1:16" x14ac:dyDescent="0.35">
      <c r="A378" t="s">
        <v>381</v>
      </c>
      <c r="B378">
        <v>4591</v>
      </c>
      <c r="C378">
        <v>27</v>
      </c>
      <c r="D378">
        <v>67</v>
      </c>
      <c r="E378">
        <v>677</v>
      </c>
      <c r="F378">
        <v>5</v>
      </c>
      <c r="K378" s="1">
        <f t="shared" si="41"/>
        <v>677</v>
      </c>
      <c r="L378" s="1" t="str">
        <f t="shared" si="36"/>
        <v>Normal</v>
      </c>
      <c r="M378" s="2">
        <f t="shared" si="37"/>
        <v>94.25</v>
      </c>
      <c r="N378" s="1" t="str">
        <f t="shared" si="38"/>
        <v>Basah</v>
      </c>
      <c r="O378" t="str">
        <f t="shared" si="39"/>
        <v>Fuzzy</v>
      </c>
      <c r="P378" t="str">
        <f t="shared" si="40"/>
        <v>Fuzzy</v>
      </c>
    </row>
    <row r="379" spans="1:16" x14ac:dyDescent="0.35">
      <c r="A379" t="s">
        <v>382</v>
      </c>
      <c r="B379">
        <v>4592</v>
      </c>
      <c r="C379">
        <v>26</v>
      </c>
      <c r="D379">
        <v>67</v>
      </c>
      <c r="E379">
        <v>699</v>
      </c>
      <c r="F379">
        <v>6</v>
      </c>
      <c r="K379" s="1">
        <f t="shared" si="41"/>
        <v>699</v>
      </c>
      <c r="L379" s="1" t="str">
        <f t="shared" si="36"/>
        <v>Normal</v>
      </c>
      <c r="M379" s="2">
        <f t="shared" si="37"/>
        <v>99.75</v>
      </c>
      <c r="N379" s="1" t="str">
        <f t="shared" si="38"/>
        <v>Basah</v>
      </c>
      <c r="O379" t="str">
        <f t="shared" si="39"/>
        <v>Fuzzy</v>
      </c>
      <c r="P379" t="str">
        <f t="shared" si="40"/>
        <v>Fuzzy</v>
      </c>
    </row>
    <row r="380" spans="1:16" x14ac:dyDescent="0.35">
      <c r="A380" t="s">
        <v>383</v>
      </c>
      <c r="B380">
        <v>4593</v>
      </c>
      <c r="C380">
        <v>26</v>
      </c>
      <c r="D380">
        <v>68</v>
      </c>
      <c r="E380">
        <v>696</v>
      </c>
      <c r="F380">
        <v>6</v>
      </c>
      <c r="K380" s="1">
        <f t="shared" si="41"/>
        <v>696</v>
      </c>
      <c r="L380" s="1" t="str">
        <f t="shared" si="36"/>
        <v>Normal</v>
      </c>
      <c r="M380" s="2">
        <f t="shared" si="37"/>
        <v>99</v>
      </c>
      <c r="N380" s="1" t="str">
        <f t="shared" si="38"/>
        <v>Basah</v>
      </c>
      <c r="O380" t="str">
        <f t="shared" si="39"/>
        <v>Fuzzy</v>
      </c>
      <c r="P380" t="str">
        <f t="shared" si="40"/>
        <v>Fuzzy</v>
      </c>
    </row>
    <row r="381" spans="1:16" x14ac:dyDescent="0.35">
      <c r="A381" t="s">
        <v>384</v>
      </c>
      <c r="B381">
        <v>4594</v>
      </c>
      <c r="C381">
        <v>26</v>
      </c>
      <c r="D381">
        <v>68</v>
      </c>
      <c r="E381">
        <v>663</v>
      </c>
      <c r="F381">
        <v>6</v>
      </c>
      <c r="K381" s="1">
        <f t="shared" si="41"/>
        <v>663</v>
      </c>
      <c r="L381" s="1" t="str">
        <f t="shared" si="36"/>
        <v>Normal</v>
      </c>
      <c r="M381" s="2">
        <f t="shared" si="37"/>
        <v>90.75</v>
      </c>
      <c r="N381" s="1" t="str">
        <f t="shared" si="38"/>
        <v>Basah</v>
      </c>
      <c r="O381" t="str">
        <f t="shared" si="39"/>
        <v>Fuzzy</v>
      </c>
      <c r="P381" t="str">
        <f t="shared" si="40"/>
        <v>Fuzzy</v>
      </c>
    </row>
    <row r="382" spans="1:16" x14ac:dyDescent="0.35">
      <c r="A382" t="s">
        <v>385</v>
      </c>
      <c r="B382">
        <v>4595</v>
      </c>
      <c r="C382">
        <v>27</v>
      </c>
      <c r="D382">
        <v>68</v>
      </c>
      <c r="E382">
        <v>730</v>
      </c>
      <c r="F382">
        <v>6</v>
      </c>
      <c r="K382" s="1">
        <f t="shared" si="41"/>
        <v>730</v>
      </c>
      <c r="L382" s="1" t="str">
        <f t="shared" si="36"/>
        <v>Normal</v>
      </c>
      <c r="M382" s="2">
        <f t="shared" si="37"/>
        <v>9.2879256965944279</v>
      </c>
      <c r="N382" s="1" t="str">
        <f t="shared" si="38"/>
        <v>Kering</v>
      </c>
      <c r="O382" t="str">
        <f t="shared" si="39"/>
        <v>Fuzzy</v>
      </c>
      <c r="P382" t="str">
        <f t="shared" si="40"/>
        <v>Fuzzy</v>
      </c>
    </row>
    <row r="383" spans="1:16" x14ac:dyDescent="0.35">
      <c r="A383" t="s">
        <v>386</v>
      </c>
      <c r="B383">
        <v>4596</v>
      </c>
      <c r="C383">
        <v>27</v>
      </c>
      <c r="D383">
        <v>68</v>
      </c>
      <c r="E383">
        <v>710</v>
      </c>
      <c r="F383">
        <v>6</v>
      </c>
      <c r="K383" s="1">
        <f t="shared" si="41"/>
        <v>710</v>
      </c>
      <c r="L383" s="1" t="str">
        <f t="shared" si="36"/>
        <v>Normal</v>
      </c>
      <c r="M383" s="2">
        <f t="shared" si="37"/>
        <v>3.0959752321981426</v>
      </c>
      <c r="N383" s="1" t="str">
        <f t="shared" si="38"/>
        <v>Kering</v>
      </c>
      <c r="O383" t="str">
        <f t="shared" si="39"/>
        <v>Fuzzy</v>
      </c>
      <c r="P383" t="str">
        <f t="shared" si="40"/>
        <v>Fuzzy</v>
      </c>
    </row>
    <row r="384" spans="1:16" x14ac:dyDescent="0.35">
      <c r="A384" t="s">
        <v>387</v>
      </c>
      <c r="B384">
        <v>4597</v>
      </c>
      <c r="C384">
        <v>27</v>
      </c>
      <c r="D384">
        <v>68</v>
      </c>
      <c r="E384">
        <v>692</v>
      </c>
      <c r="F384">
        <v>5</v>
      </c>
      <c r="K384" s="1">
        <f t="shared" si="41"/>
        <v>692</v>
      </c>
      <c r="L384" s="1" t="str">
        <f t="shared" si="36"/>
        <v>Normal</v>
      </c>
      <c r="M384" s="2">
        <f t="shared" si="37"/>
        <v>98</v>
      </c>
      <c r="N384" s="1" t="str">
        <f t="shared" si="38"/>
        <v>Basah</v>
      </c>
      <c r="O384" t="str">
        <f t="shared" si="39"/>
        <v>Fuzzy</v>
      </c>
      <c r="P384" t="str">
        <f t="shared" si="40"/>
        <v>Fuzzy</v>
      </c>
    </row>
    <row r="385" spans="1:16" x14ac:dyDescent="0.35">
      <c r="A385" t="s">
        <v>388</v>
      </c>
      <c r="B385">
        <v>4598</v>
      </c>
      <c r="C385">
        <v>27</v>
      </c>
      <c r="D385">
        <v>69</v>
      </c>
      <c r="E385">
        <v>723</v>
      </c>
      <c r="F385">
        <v>6</v>
      </c>
      <c r="K385" s="1">
        <f t="shared" si="41"/>
        <v>723</v>
      </c>
      <c r="L385" s="1" t="str">
        <f t="shared" si="36"/>
        <v>Normal</v>
      </c>
      <c r="M385" s="2">
        <f t="shared" si="37"/>
        <v>7.1207430340557281</v>
      </c>
      <c r="N385" s="1" t="str">
        <f t="shared" si="38"/>
        <v>Kering</v>
      </c>
      <c r="O385" t="str">
        <f t="shared" si="39"/>
        <v>Fuzzy</v>
      </c>
      <c r="P385" t="str">
        <f t="shared" si="40"/>
        <v>Fuzzy</v>
      </c>
    </row>
    <row r="386" spans="1:16" x14ac:dyDescent="0.35">
      <c r="A386" t="s">
        <v>389</v>
      </c>
      <c r="B386">
        <v>4599</v>
      </c>
      <c r="C386">
        <v>27</v>
      </c>
      <c r="D386">
        <v>69</v>
      </c>
      <c r="E386">
        <v>686</v>
      </c>
      <c r="F386">
        <v>6</v>
      </c>
      <c r="K386" s="1">
        <f t="shared" si="41"/>
        <v>686</v>
      </c>
      <c r="L386" s="1" t="str">
        <f t="shared" si="36"/>
        <v>Normal</v>
      </c>
      <c r="M386" s="2">
        <f t="shared" si="37"/>
        <v>96.5</v>
      </c>
      <c r="N386" s="1" t="str">
        <f t="shared" si="38"/>
        <v>Basah</v>
      </c>
      <c r="O386" t="str">
        <f t="shared" si="39"/>
        <v>Fuzzy</v>
      </c>
      <c r="P386" t="str">
        <f t="shared" si="40"/>
        <v>Fuzzy</v>
      </c>
    </row>
    <row r="387" spans="1:16" x14ac:dyDescent="0.35">
      <c r="A387" t="s">
        <v>390</v>
      </c>
      <c r="B387">
        <v>4600</v>
      </c>
      <c r="C387">
        <v>27</v>
      </c>
      <c r="D387">
        <v>69</v>
      </c>
      <c r="E387">
        <v>693</v>
      </c>
      <c r="F387">
        <v>6</v>
      </c>
      <c r="K387" s="1">
        <f t="shared" si="41"/>
        <v>693</v>
      </c>
      <c r="L387" s="1" t="str">
        <f t="shared" ref="L387:L450" si="42">IF(A386 &lt;= 10, "Dingin", IF(OR(A386 &gt;= 10, A386 &lt; 35), "Normal", "Panas"))</f>
        <v>Normal</v>
      </c>
      <c r="M387" s="2">
        <f t="shared" ref="M387:M450" si="43">IF(K387&lt;=300, K387/1023*100, IF(K387&lt;=700, (K387-300)/(700-301+1)*100, (K387-700)/(1023-701+1)*100))</f>
        <v>98.25</v>
      </c>
      <c r="N387" s="1" t="str">
        <f t="shared" ref="N387:N450" si="44">IF(M387&lt;=29.32, "Kering", IF(M387&lt;=68.53, "Lembab", "Basah"))</f>
        <v>Basah</v>
      </c>
      <c r="O387" t="str">
        <f t="shared" ref="O387:O450" si="45">IF(OR(AND(C387 &gt; 10, C387 &lt; 22.5), AND(C387 &gt;= 22.5, C387 &lt; 35)), "Fuzzy", "")</f>
        <v>Fuzzy</v>
      </c>
      <c r="P387" t="str">
        <f t="shared" ref="P387:P450" si="46">IF(OR(AND(M387 &gt;= 0, M387 &lt; 50), AND(M387 &gt;= 50, M387 &lt; 100)), "Fuzzy", "")</f>
        <v>Fuzzy</v>
      </c>
    </row>
    <row r="388" spans="1:16" x14ac:dyDescent="0.35">
      <c r="A388" t="s">
        <v>391</v>
      </c>
      <c r="B388">
        <v>4601</v>
      </c>
      <c r="C388">
        <v>27</v>
      </c>
      <c r="D388">
        <v>69</v>
      </c>
      <c r="E388">
        <v>746</v>
      </c>
      <c r="F388">
        <v>6</v>
      </c>
      <c r="K388" s="1">
        <f t="shared" si="41"/>
        <v>746</v>
      </c>
      <c r="L388" s="1" t="str">
        <f t="shared" si="42"/>
        <v>Normal</v>
      </c>
      <c r="M388" s="2">
        <f t="shared" si="43"/>
        <v>14.241486068111456</v>
      </c>
      <c r="N388" s="1" t="str">
        <f t="shared" si="44"/>
        <v>Kering</v>
      </c>
      <c r="O388" t="str">
        <f t="shared" si="45"/>
        <v>Fuzzy</v>
      </c>
      <c r="P388" t="str">
        <f t="shared" si="46"/>
        <v>Fuzzy</v>
      </c>
    </row>
    <row r="389" spans="1:16" x14ac:dyDescent="0.35">
      <c r="A389" t="s">
        <v>392</v>
      </c>
      <c r="B389">
        <v>4602</v>
      </c>
      <c r="C389">
        <v>27</v>
      </c>
      <c r="D389">
        <v>69</v>
      </c>
      <c r="E389">
        <v>707</v>
      </c>
      <c r="F389">
        <v>6</v>
      </c>
      <c r="K389" s="1">
        <f t="shared" si="41"/>
        <v>707</v>
      </c>
      <c r="L389" s="1" t="str">
        <f t="shared" si="42"/>
        <v>Normal</v>
      </c>
      <c r="M389" s="2">
        <f t="shared" si="43"/>
        <v>2.1671826625386998</v>
      </c>
      <c r="N389" s="1" t="str">
        <f t="shared" si="44"/>
        <v>Kering</v>
      </c>
      <c r="O389" t="str">
        <f t="shared" si="45"/>
        <v>Fuzzy</v>
      </c>
      <c r="P389" t="str">
        <f t="shared" si="46"/>
        <v>Fuzzy</v>
      </c>
    </row>
    <row r="390" spans="1:16" x14ac:dyDescent="0.35">
      <c r="A390" t="s">
        <v>393</v>
      </c>
      <c r="B390">
        <v>4603</v>
      </c>
      <c r="C390">
        <v>27</v>
      </c>
      <c r="D390">
        <v>70</v>
      </c>
      <c r="E390">
        <v>671</v>
      </c>
      <c r="F390">
        <v>5</v>
      </c>
      <c r="K390" s="1">
        <f t="shared" si="41"/>
        <v>671</v>
      </c>
      <c r="L390" s="1" t="str">
        <f t="shared" si="42"/>
        <v>Normal</v>
      </c>
      <c r="M390" s="2">
        <f t="shared" si="43"/>
        <v>92.75</v>
      </c>
      <c r="N390" s="1" t="str">
        <f t="shared" si="44"/>
        <v>Basah</v>
      </c>
      <c r="O390" t="str">
        <f t="shared" si="45"/>
        <v>Fuzzy</v>
      </c>
      <c r="P390" t="str">
        <f t="shared" si="46"/>
        <v>Fuzzy</v>
      </c>
    </row>
    <row r="391" spans="1:16" x14ac:dyDescent="0.35">
      <c r="A391" t="s">
        <v>394</v>
      </c>
      <c r="B391">
        <v>4604</v>
      </c>
      <c r="C391">
        <v>27</v>
      </c>
      <c r="D391">
        <v>70</v>
      </c>
      <c r="E391">
        <v>650</v>
      </c>
      <c r="F391">
        <v>6</v>
      </c>
      <c r="K391" s="1">
        <f t="shared" si="41"/>
        <v>650</v>
      </c>
      <c r="L391" s="1" t="str">
        <f t="shared" si="42"/>
        <v>Normal</v>
      </c>
      <c r="M391" s="2">
        <f t="shared" si="43"/>
        <v>87.5</v>
      </c>
      <c r="N391" s="1" t="str">
        <f t="shared" si="44"/>
        <v>Basah</v>
      </c>
      <c r="O391" t="str">
        <f t="shared" si="45"/>
        <v>Fuzzy</v>
      </c>
      <c r="P391" t="str">
        <f t="shared" si="46"/>
        <v>Fuzzy</v>
      </c>
    </row>
    <row r="392" spans="1:16" x14ac:dyDescent="0.35">
      <c r="A392" t="s">
        <v>395</v>
      </c>
      <c r="B392">
        <v>4605</v>
      </c>
      <c r="C392">
        <v>27</v>
      </c>
      <c r="D392">
        <v>70</v>
      </c>
      <c r="E392">
        <v>700</v>
      </c>
      <c r="F392">
        <v>6</v>
      </c>
      <c r="K392" s="1">
        <f t="shared" si="41"/>
        <v>700</v>
      </c>
      <c r="L392" s="1" t="str">
        <f t="shared" si="42"/>
        <v>Normal</v>
      </c>
      <c r="M392" s="2">
        <f t="shared" si="43"/>
        <v>100</v>
      </c>
      <c r="N392" s="1" t="str">
        <f t="shared" si="44"/>
        <v>Basah</v>
      </c>
      <c r="O392" t="str">
        <f t="shared" si="45"/>
        <v>Fuzzy</v>
      </c>
      <c r="P392" t="str">
        <f t="shared" si="46"/>
        <v/>
      </c>
    </row>
    <row r="393" spans="1:16" x14ac:dyDescent="0.35">
      <c r="A393" t="s">
        <v>396</v>
      </c>
      <c r="B393">
        <v>4606</v>
      </c>
      <c r="C393">
        <v>27</v>
      </c>
      <c r="D393">
        <v>70</v>
      </c>
      <c r="E393">
        <v>684</v>
      </c>
      <c r="F393">
        <v>5</v>
      </c>
      <c r="K393" s="1">
        <f t="shared" si="41"/>
        <v>684</v>
      </c>
      <c r="L393" s="1" t="str">
        <f t="shared" si="42"/>
        <v>Normal</v>
      </c>
      <c r="M393" s="2">
        <f t="shared" si="43"/>
        <v>96</v>
      </c>
      <c r="N393" s="1" t="str">
        <f t="shared" si="44"/>
        <v>Basah</v>
      </c>
      <c r="O393" t="str">
        <f t="shared" si="45"/>
        <v>Fuzzy</v>
      </c>
      <c r="P393" t="str">
        <f t="shared" si="46"/>
        <v>Fuzzy</v>
      </c>
    </row>
    <row r="394" spans="1:16" x14ac:dyDescent="0.35">
      <c r="A394" t="s">
        <v>397</v>
      </c>
      <c r="B394">
        <v>4607</v>
      </c>
      <c r="C394">
        <v>27</v>
      </c>
      <c r="D394">
        <v>70</v>
      </c>
      <c r="E394">
        <v>666</v>
      </c>
      <c r="F394">
        <v>5</v>
      </c>
      <c r="K394" s="1">
        <f t="shared" si="41"/>
        <v>666</v>
      </c>
      <c r="L394" s="1" t="str">
        <f t="shared" si="42"/>
        <v>Normal</v>
      </c>
      <c r="M394" s="2">
        <f t="shared" si="43"/>
        <v>91.5</v>
      </c>
      <c r="N394" s="1" t="str">
        <f t="shared" si="44"/>
        <v>Basah</v>
      </c>
      <c r="O394" t="str">
        <f t="shared" si="45"/>
        <v>Fuzzy</v>
      </c>
      <c r="P394" t="str">
        <f t="shared" si="46"/>
        <v>Fuzzy</v>
      </c>
    </row>
    <row r="395" spans="1:16" x14ac:dyDescent="0.35">
      <c r="A395" t="s">
        <v>398</v>
      </c>
      <c r="B395">
        <v>4608</v>
      </c>
      <c r="C395">
        <v>27</v>
      </c>
      <c r="D395">
        <v>70</v>
      </c>
      <c r="E395">
        <v>752</v>
      </c>
      <c r="F395">
        <v>5</v>
      </c>
      <c r="K395" s="1">
        <f t="shared" si="41"/>
        <v>752</v>
      </c>
      <c r="L395" s="1" t="str">
        <f t="shared" si="42"/>
        <v>Normal</v>
      </c>
      <c r="M395" s="2">
        <f t="shared" si="43"/>
        <v>16.099071207430342</v>
      </c>
      <c r="N395" s="1" t="str">
        <f t="shared" si="44"/>
        <v>Kering</v>
      </c>
      <c r="O395" t="str">
        <f t="shared" si="45"/>
        <v>Fuzzy</v>
      </c>
      <c r="P395" t="str">
        <f t="shared" si="46"/>
        <v>Fuzzy</v>
      </c>
    </row>
    <row r="396" spans="1:16" x14ac:dyDescent="0.35">
      <c r="A396" t="s">
        <v>399</v>
      </c>
      <c r="B396">
        <v>4609</v>
      </c>
      <c r="C396">
        <v>27</v>
      </c>
      <c r="D396">
        <v>69</v>
      </c>
      <c r="E396">
        <v>738</v>
      </c>
      <c r="F396">
        <v>5</v>
      </c>
      <c r="K396" s="1">
        <f t="shared" si="41"/>
        <v>738</v>
      </c>
      <c r="L396" s="1" t="str">
        <f t="shared" si="42"/>
        <v>Normal</v>
      </c>
      <c r="M396" s="2">
        <f t="shared" si="43"/>
        <v>11.76470588235294</v>
      </c>
      <c r="N396" s="1" t="str">
        <f t="shared" si="44"/>
        <v>Kering</v>
      </c>
      <c r="O396" t="str">
        <f t="shared" si="45"/>
        <v>Fuzzy</v>
      </c>
      <c r="P396" t="str">
        <f t="shared" si="46"/>
        <v>Fuzzy</v>
      </c>
    </row>
    <row r="397" spans="1:16" x14ac:dyDescent="0.35">
      <c r="A397" t="s">
        <v>400</v>
      </c>
      <c r="B397">
        <v>4610</v>
      </c>
      <c r="C397">
        <v>27</v>
      </c>
      <c r="D397">
        <v>68</v>
      </c>
      <c r="E397">
        <v>717</v>
      </c>
      <c r="F397">
        <v>5</v>
      </c>
      <c r="K397" s="1">
        <f t="shared" ref="K397:K460" si="47">IF(E397&lt;=1023, E397, "")</f>
        <v>717</v>
      </c>
      <c r="L397" s="1" t="str">
        <f t="shared" si="42"/>
        <v>Normal</v>
      </c>
      <c r="M397" s="2">
        <f t="shared" si="43"/>
        <v>5.2631578947368416</v>
      </c>
      <c r="N397" s="1" t="str">
        <f t="shared" si="44"/>
        <v>Kering</v>
      </c>
      <c r="O397" t="str">
        <f t="shared" si="45"/>
        <v>Fuzzy</v>
      </c>
      <c r="P397" t="str">
        <f t="shared" si="46"/>
        <v>Fuzzy</v>
      </c>
    </row>
    <row r="398" spans="1:16" x14ac:dyDescent="0.35">
      <c r="A398" t="s">
        <v>401</v>
      </c>
      <c r="B398">
        <v>4611</v>
      </c>
      <c r="C398">
        <v>27</v>
      </c>
      <c r="D398">
        <v>67</v>
      </c>
      <c r="E398">
        <v>697</v>
      </c>
      <c r="F398">
        <v>6</v>
      </c>
      <c r="K398" s="1">
        <f t="shared" si="47"/>
        <v>697</v>
      </c>
      <c r="L398" s="1" t="str">
        <f t="shared" si="42"/>
        <v>Normal</v>
      </c>
      <c r="M398" s="2">
        <f t="shared" si="43"/>
        <v>99.25</v>
      </c>
      <c r="N398" s="1" t="str">
        <f t="shared" si="44"/>
        <v>Basah</v>
      </c>
      <c r="O398" t="str">
        <f t="shared" si="45"/>
        <v>Fuzzy</v>
      </c>
      <c r="P398" t="str">
        <f t="shared" si="46"/>
        <v>Fuzzy</v>
      </c>
    </row>
    <row r="399" spans="1:16" x14ac:dyDescent="0.35">
      <c r="A399" t="s">
        <v>402</v>
      </c>
      <c r="B399">
        <v>4612</v>
      </c>
      <c r="C399">
        <v>27</v>
      </c>
      <c r="D399">
        <v>66</v>
      </c>
      <c r="E399">
        <v>729</v>
      </c>
      <c r="F399">
        <v>6</v>
      </c>
      <c r="K399" s="1">
        <f t="shared" si="47"/>
        <v>729</v>
      </c>
      <c r="L399" s="1" t="str">
        <f t="shared" si="42"/>
        <v>Normal</v>
      </c>
      <c r="M399" s="2">
        <f t="shared" si="43"/>
        <v>8.9783281733746119</v>
      </c>
      <c r="N399" s="1" t="str">
        <f t="shared" si="44"/>
        <v>Kering</v>
      </c>
      <c r="O399" t="str">
        <f t="shared" si="45"/>
        <v>Fuzzy</v>
      </c>
      <c r="P399" t="str">
        <f t="shared" si="46"/>
        <v>Fuzzy</v>
      </c>
    </row>
    <row r="400" spans="1:16" x14ac:dyDescent="0.35">
      <c r="A400" t="s">
        <v>403</v>
      </c>
      <c r="B400">
        <v>4613</v>
      </c>
      <c r="C400">
        <v>27</v>
      </c>
      <c r="D400">
        <v>65</v>
      </c>
      <c r="E400">
        <v>730</v>
      </c>
      <c r="F400">
        <v>6</v>
      </c>
      <c r="K400" s="1">
        <f t="shared" si="47"/>
        <v>730</v>
      </c>
      <c r="L400" s="1" t="str">
        <f t="shared" si="42"/>
        <v>Normal</v>
      </c>
      <c r="M400" s="2">
        <f t="shared" si="43"/>
        <v>9.2879256965944279</v>
      </c>
      <c r="N400" s="1" t="str">
        <f t="shared" si="44"/>
        <v>Kering</v>
      </c>
      <c r="O400" t="str">
        <f t="shared" si="45"/>
        <v>Fuzzy</v>
      </c>
      <c r="P400" t="str">
        <f t="shared" si="46"/>
        <v>Fuzzy</v>
      </c>
    </row>
    <row r="401" spans="1:16" x14ac:dyDescent="0.35">
      <c r="A401" t="s">
        <v>404</v>
      </c>
      <c r="B401">
        <v>4614</v>
      </c>
      <c r="C401">
        <v>27</v>
      </c>
      <c r="D401">
        <v>64</v>
      </c>
      <c r="E401">
        <v>696</v>
      </c>
      <c r="F401">
        <v>6</v>
      </c>
      <c r="K401" s="1">
        <f t="shared" si="47"/>
        <v>696</v>
      </c>
      <c r="L401" s="1" t="str">
        <f t="shared" si="42"/>
        <v>Normal</v>
      </c>
      <c r="M401" s="2">
        <f t="shared" si="43"/>
        <v>99</v>
      </c>
      <c r="N401" s="1" t="str">
        <f t="shared" si="44"/>
        <v>Basah</v>
      </c>
      <c r="O401" t="str">
        <f t="shared" si="45"/>
        <v>Fuzzy</v>
      </c>
      <c r="P401" t="str">
        <f t="shared" si="46"/>
        <v>Fuzzy</v>
      </c>
    </row>
    <row r="402" spans="1:16" x14ac:dyDescent="0.35">
      <c r="A402" t="s">
        <v>405</v>
      </c>
      <c r="B402">
        <v>4615</v>
      </c>
      <c r="C402">
        <v>27</v>
      </c>
      <c r="D402">
        <v>64</v>
      </c>
      <c r="E402">
        <v>737</v>
      </c>
      <c r="F402">
        <v>5</v>
      </c>
      <c r="K402" s="1">
        <f t="shared" si="47"/>
        <v>737</v>
      </c>
      <c r="L402" s="1" t="str">
        <f t="shared" si="42"/>
        <v>Normal</v>
      </c>
      <c r="M402" s="2">
        <f t="shared" si="43"/>
        <v>11.455108359133128</v>
      </c>
      <c r="N402" s="1" t="str">
        <f t="shared" si="44"/>
        <v>Kering</v>
      </c>
      <c r="O402" t="str">
        <f t="shared" si="45"/>
        <v>Fuzzy</v>
      </c>
      <c r="P402" t="str">
        <f t="shared" si="46"/>
        <v>Fuzzy</v>
      </c>
    </row>
    <row r="403" spans="1:16" x14ac:dyDescent="0.35">
      <c r="A403" t="s">
        <v>406</v>
      </c>
      <c r="B403">
        <v>4616</v>
      </c>
      <c r="C403">
        <v>27</v>
      </c>
      <c r="D403">
        <v>63</v>
      </c>
      <c r="E403">
        <v>738</v>
      </c>
      <c r="F403">
        <v>6</v>
      </c>
      <c r="K403" s="1">
        <f t="shared" si="47"/>
        <v>738</v>
      </c>
      <c r="L403" s="1" t="str">
        <f t="shared" si="42"/>
        <v>Normal</v>
      </c>
      <c r="M403" s="2">
        <f t="shared" si="43"/>
        <v>11.76470588235294</v>
      </c>
      <c r="N403" s="1" t="str">
        <f t="shared" si="44"/>
        <v>Kering</v>
      </c>
      <c r="O403" t="str">
        <f t="shared" si="45"/>
        <v>Fuzzy</v>
      </c>
      <c r="P403" t="str">
        <f t="shared" si="46"/>
        <v>Fuzzy</v>
      </c>
    </row>
    <row r="404" spans="1:16" x14ac:dyDescent="0.35">
      <c r="A404" t="s">
        <v>407</v>
      </c>
      <c r="B404">
        <v>4617</v>
      </c>
      <c r="C404">
        <v>27</v>
      </c>
      <c r="D404">
        <v>62</v>
      </c>
      <c r="E404">
        <v>791</v>
      </c>
      <c r="F404">
        <v>4</v>
      </c>
      <c r="K404" s="1">
        <f t="shared" si="47"/>
        <v>791</v>
      </c>
      <c r="L404" s="1" t="str">
        <f t="shared" si="42"/>
        <v>Normal</v>
      </c>
      <c r="M404" s="2">
        <f t="shared" si="43"/>
        <v>28.173374613003094</v>
      </c>
      <c r="N404" s="1" t="str">
        <f t="shared" si="44"/>
        <v>Kering</v>
      </c>
      <c r="O404" t="str">
        <f t="shared" si="45"/>
        <v>Fuzzy</v>
      </c>
      <c r="P404" t="str">
        <f t="shared" si="46"/>
        <v>Fuzzy</v>
      </c>
    </row>
    <row r="405" spans="1:16" x14ac:dyDescent="0.35">
      <c r="A405" t="s">
        <v>408</v>
      </c>
      <c r="B405">
        <v>4618</v>
      </c>
      <c r="C405">
        <v>27</v>
      </c>
      <c r="D405">
        <v>61</v>
      </c>
      <c r="E405">
        <v>704</v>
      </c>
      <c r="F405">
        <v>4</v>
      </c>
      <c r="K405" s="1">
        <f t="shared" si="47"/>
        <v>704</v>
      </c>
      <c r="L405" s="1" t="str">
        <f t="shared" si="42"/>
        <v>Normal</v>
      </c>
      <c r="M405" s="2">
        <f t="shared" si="43"/>
        <v>1.2383900928792571</v>
      </c>
      <c r="N405" s="1" t="str">
        <f t="shared" si="44"/>
        <v>Kering</v>
      </c>
      <c r="O405" t="str">
        <f t="shared" si="45"/>
        <v>Fuzzy</v>
      </c>
      <c r="P405" t="str">
        <f t="shared" si="46"/>
        <v>Fuzzy</v>
      </c>
    </row>
    <row r="406" spans="1:16" x14ac:dyDescent="0.35">
      <c r="A406" t="s">
        <v>409</v>
      </c>
      <c r="B406">
        <v>4619</v>
      </c>
      <c r="C406">
        <v>27</v>
      </c>
      <c r="D406">
        <v>60</v>
      </c>
      <c r="E406">
        <v>700</v>
      </c>
      <c r="F406">
        <v>4</v>
      </c>
      <c r="K406" s="1">
        <f t="shared" si="47"/>
        <v>700</v>
      </c>
      <c r="L406" s="1" t="str">
        <f t="shared" si="42"/>
        <v>Normal</v>
      </c>
      <c r="M406" s="2">
        <f t="shared" si="43"/>
        <v>100</v>
      </c>
      <c r="N406" s="1" t="str">
        <f t="shared" si="44"/>
        <v>Basah</v>
      </c>
      <c r="O406" t="str">
        <f t="shared" si="45"/>
        <v>Fuzzy</v>
      </c>
      <c r="P406" t="str">
        <f t="shared" si="46"/>
        <v/>
      </c>
    </row>
    <row r="407" spans="1:16" x14ac:dyDescent="0.35">
      <c r="A407" t="s">
        <v>410</v>
      </c>
      <c r="B407">
        <v>4620</v>
      </c>
      <c r="C407">
        <v>27</v>
      </c>
      <c r="D407">
        <v>60</v>
      </c>
      <c r="E407">
        <v>706</v>
      </c>
      <c r="F407">
        <v>3</v>
      </c>
      <c r="K407" s="1">
        <f t="shared" si="47"/>
        <v>706</v>
      </c>
      <c r="L407" s="1" t="str">
        <f t="shared" si="42"/>
        <v>Normal</v>
      </c>
      <c r="M407" s="2">
        <f t="shared" si="43"/>
        <v>1.8575851393188854</v>
      </c>
      <c r="N407" s="1" t="str">
        <f t="shared" si="44"/>
        <v>Kering</v>
      </c>
      <c r="O407" t="str">
        <f t="shared" si="45"/>
        <v>Fuzzy</v>
      </c>
      <c r="P407" t="str">
        <f t="shared" si="46"/>
        <v>Fuzzy</v>
      </c>
    </row>
    <row r="408" spans="1:16" x14ac:dyDescent="0.35">
      <c r="A408" t="s">
        <v>411</v>
      </c>
      <c r="B408">
        <v>4621</v>
      </c>
      <c r="C408">
        <v>27</v>
      </c>
      <c r="D408">
        <v>60</v>
      </c>
      <c r="E408">
        <v>697</v>
      </c>
      <c r="F408">
        <v>4</v>
      </c>
      <c r="K408" s="1">
        <f t="shared" si="47"/>
        <v>697</v>
      </c>
      <c r="L408" s="1" t="str">
        <f t="shared" si="42"/>
        <v>Normal</v>
      </c>
      <c r="M408" s="2">
        <f t="shared" si="43"/>
        <v>99.25</v>
      </c>
      <c r="N408" s="1" t="str">
        <f t="shared" si="44"/>
        <v>Basah</v>
      </c>
      <c r="O408" t="str">
        <f t="shared" si="45"/>
        <v>Fuzzy</v>
      </c>
      <c r="P408" t="str">
        <f t="shared" si="46"/>
        <v>Fuzzy</v>
      </c>
    </row>
    <row r="409" spans="1:16" x14ac:dyDescent="0.35">
      <c r="A409" t="s">
        <v>412</v>
      </c>
      <c r="B409">
        <v>4622</v>
      </c>
      <c r="C409">
        <v>27</v>
      </c>
      <c r="D409">
        <v>61</v>
      </c>
      <c r="E409">
        <v>727</v>
      </c>
      <c r="F409">
        <v>4</v>
      </c>
      <c r="K409" s="1">
        <f t="shared" si="47"/>
        <v>727</v>
      </c>
      <c r="L409" s="1" t="str">
        <f t="shared" si="42"/>
        <v>Normal</v>
      </c>
      <c r="M409" s="2">
        <f t="shared" si="43"/>
        <v>8.3591331269349833</v>
      </c>
      <c r="N409" s="1" t="str">
        <f t="shared" si="44"/>
        <v>Kering</v>
      </c>
      <c r="O409" t="str">
        <f t="shared" si="45"/>
        <v>Fuzzy</v>
      </c>
      <c r="P409" t="str">
        <f t="shared" si="46"/>
        <v>Fuzzy</v>
      </c>
    </row>
    <row r="410" spans="1:16" x14ac:dyDescent="0.35">
      <c r="A410" t="s">
        <v>413</v>
      </c>
      <c r="B410">
        <v>4623</v>
      </c>
      <c r="C410">
        <v>27</v>
      </c>
      <c r="D410">
        <v>61</v>
      </c>
      <c r="E410">
        <v>949</v>
      </c>
      <c r="F410">
        <v>4</v>
      </c>
      <c r="K410" s="1">
        <f t="shared" si="47"/>
        <v>949</v>
      </c>
      <c r="L410" s="1" t="str">
        <f t="shared" si="42"/>
        <v>Normal</v>
      </c>
      <c r="M410" s="2">
        <f t="shared" si="43"/>
        <v>77.089783281733745</v>
      </c>
      <c r="N410" s="1" t="str">
        <f t="shared" si="44"/>
        <v>Basah</v>
      </c>
      <c r="O410" t="str">
        <f t="shared" si="45"/>
        <v>Fuzzy</v>
      </c>
      <c r="P410" t="str">
        <f t="shared" si="46"/>
        <v>Fuzzy</v>
      </c>
    </row>
    <row r="411" spans="1:16" x14ac:dyDescent="0.35">
      <c r="A411" t="s">
        <v>414</v>
      </c>
      <c r="B411">
        <v>4624</v>
      </c>
      <c r="C411">
        <v>27</v>
      </c>
      <c r="D411">
        <v>62</v>
      </c>
      <c r="E411">
        <v>704</v>
      </c>
      <c r="F411">
        <v>4</v>
      </c>
      <c r="K411" s="1">
        <f t="shared" si="47"/>
        <v>704</v>
      </c>
      <c r="L411" s="1" t="str">
        <f t="shared" si="42"/>
        <v>Normal</v>
      </c>
      <c r="M411" s="2">
        <f t="shared" si="43"/>
        <v>1.2383900928792571</v>
      </c>
      <c r="N411" s="1" t="str">
        <f t="shared" si="44"/>
        <v>Kering</v>
      </c>
      <c r="O411" t="str">
        <f t="shared" si="45"/>
        <v>Fuzzy</v>
      </c>
      <c r="P411" t="str">
        <f t="shared" si="46"/>
        <v>Fuzzy</v>
      </c>
    </row>
    <row r="412" spans="1:16" x14ac:dyDescent="0.35">
      <c r="A412" t="s">
        <v>415</v>
      </c>
      <c r="B412">
        <v>4625</v>
      </c>
      <c r="C412">
        <v>27</v>
      </c>
      <c r="D412">
        <v>63</v>
      </c>
      <c r="E412">
        <v>878</v>
      </c>
      <c r="F412">
        <v>4</v>
      </c>
      <c r="K412" s="1">
        <f t="shared" si="47"/>
        <v>878</v>
      </c>
      <c r="L412" s="1" t="str">
        <f t="shared" si="42"/>
        <v>Normal</v>
      </c>
      <c r="M412" s="2">
        <f t="shared" si="43"/>
        <v>55.108359133126939</v>
      </c>
      <c r="N412" s="1" t="str">
        <f t="shared" si="44"/>
        <v>Lembab</v>
      </c>
      <c r="O412" t="str">
        <f t="shared" si="45"/>
        <v>Fuzzy</v>
      </c>
      <c r="P412" t="str">
        <f t="shared" si="46"/>
        <v>Fuzzy</v>
      </c>
    </row>
    <row r="413" spans="1:16" x14ac:dyDescent="0.35">
      <c r="A413" t="s">
        <v>416</v>
      </c>
      <c r="B413">
        <v>4626</v>
      </c>
      <c r="C413">
        <v>27</v>
      </c>
      <c r="D413">
        <v>63</v>
      </c>
      <c r="E413">
        <v>693</v>
      </c>
      <c r="F413">
        <v>4</v>
      </c>
      <c r="K413" s="1">
        <f t="shared" si="47"/>
        <v>693</v>
      </c>
      <c r="L413" s="1" t="str">
        <f t="shared" si="42"/>
        <v>Normal</v>
      </c>
      <c r="M413" s="2">
        <f t="shared" si="43"/>
        <v>98.25</v>
      </c>
      <c r="N413" s="1" t="str">
        <f t="shared" si="44"/>
        <v>Basah</v>
      </c>
      <c r="O413" t="str">
        <f t="shared" si="45"/>
        <v>Fuzzy</v>
      </c>
      <c r="P413" t="str">
        <f t="shared" si="46"/>
        <v>Fuzzy</v>
      </c>
    </row>
    <row r="414" spans="1:16" x14ac:dyDescent="0.35">
      <c r="A414" t="s">
        <v>417</v>
      </c>
      <c r="B414">
        <v>4627</v>
      </c>
      <c r="C414">
        <v>27</v>
      </c>
      <c r="D414">
        <v>63</v>
      </c>
      <c r="E414">
        <v>697</v>
      </c>
      <c r="F414">
        <v>4</v>
      </c>
      <c r="K414" s="1">
        <f t="shared" si="47"/>
        <v>697</v>
      </c>
      <c r="L414" s="1" t="str">
        <f t="shared" si="42"/>
        <v>Normal</v>
      </c>
      <c r="M414" s="2">
        <f t="shared" si="43"/>
        <v>99.25</v>
      </c>
      <c r="N414" s="1" t="str">
        <f t="shared" si="44"/>
        <v>Basah</v>
      </c>
      <c r="O414" t="str">
        <f t="shared" si="45"/>
        <v>Fuzzy</v>
      </c>
      <c r="P414" t="str">
        <f t="shared" si="46"/>
        <v>Fuzzy</v>
      </c>
    </row>
    <row r="415" spans="1:16" x14ac:dyDescent="0.35">
      <c r="A415" t="s">
        <v>418</v>
      </c>
      <c r="B415">
        <v>4628</v>
      </c>
      <c r="C415">
        <v>27</v>
      </c>
      <c r="D415">
        <v>63</v>
      </c>
      <c r="E415">
        <v>589</v>
      </c>
      <c r="F415">
        <v>4</v>
      </c>
      <c r="K415" s="1">
        <f t="shared" si="47"/>
        <v>589</v>
      </c>
      <c r="L415" s="1" t="str">
        <f t="shared" si="42"/>
        <v>Normal</v>
      </c>
      <c r="M415" s="2">
        <f t="shared" si="43"/>
        <v>72.25</v>
      </c>
      <c r="N415" s="1" t="str">
        <f t="shared" si="44"/>
        <v>Basah</v>
      </c>
      <c r="O415" t="str">
        <f t="shared" si="45"/>
        <v>Fuzzy</v>
      </c>
      <c r="P415" t="str">
        <f t="shared" si="46"/>
        <v>Fuzzy</v>
      </c>
    </row>
    <row r="416" spans="1:16" x14ac:dyDescent="0.35">
      <c r="A416" t="s">
        <v>419</v>
      </c>
      <c r="B416">
        <v>4629</v>
      </c>
      <c r="C416">
        <v>27</v>
      </c>
      <c r="D416">
        <v>64</v>
      </c>
      <c r="E416">
        <v>740</v>
      </c>
      <c r="F416">
        <v>4</v>
      </c>
      <c r="K416" s="1">
        <f t="shared" si="47"/>
        <v>740</v>
      </c>
      <c r="L416" s="1" t="str">
        <f t="shared" si="42"/>
        <v>Normal</v>
      </c>
      <c r="M416" s="2">
        <f t="shared" si="43"/>
        <v>12.383900928792571</v>
      </c>
      <c r="N416" s="1" t="str">
        <f t="shared" si="44"/>
        <v>Kering</v>
      </c>
      <c r="O416" t="str">
        <f t="shared" si="45"/>
        <v>Fuzzy</v>
      </c>
      <c r="P416" t="str">
        <f t="shared" si="46"/>
        <v>Fuzzy</v>
      </c>
    </row>
    <row r="417" spans="1:16" x14ac:dyDescent="0.35">
      <c r="A417" t="s">
        <v>420</v>
      </c>
      <c r="B417">
        <v>4630</v>
      </c>
      <c r="C417">
        <v>27</v>
      </c>
      <c r="D417">
        <v>64</v>
      </c>
      <c r="E417">
        <v>718</v>
      </c>
      <c r="F417">
        <v>4</v>
      </c>
      <c r="K417" s="1">
        <f t="shared" si="47"/>
        <v>718</v>
      </c>
      <c r="L417" s="1" t="str">
        <f t="shared" si="42"/>
        <v>Normal</v>
      </c>
      <c r="M417" s="2">
        <f t="shared" si="43"/>
        <v>5.5727554179566559</v>
      </c>
      <c r="N417" s="1" t="str">
        <f t="shared" si="44"/>
        <v>Kering</v>
      </c>
      <c r="O417" t="str">
        <f t="shared" si="45"/>
        <v>Fuzzy</v>
      </c>
      <c r="P417" t="str">
        <f t="shared" si="46"/>
        <v>Fuzzy</v>
      </c>
    </row>
    <row r="418" spans="1:16" x14ac:dyDescent="0.35">
      <c r="A418" t="s">
        <v>421</v>
      </c>
      <c r="B418">
        <v>4631</v>
      </c>
      <c r="C418">
        <v>27</v>
      </c>
      <c r="D418">
        <v>64</v>
      </c>
      <c r="E418">
        <v>729</v>
      </c>
      <c r="F418">
        <v>4</v>
      </c>
      <c r="K418" s="1">
        <f t="shared" si="47"/>
        <v>729</v>
      </c>
      <c r="L418" s="1" t="str">
        <f t="shared" si="42"/>
        <v>Normal</v>
      </c>
      <c r="M418" s="2">
        <f t="shared" si="43"/>
        <v>8.9783281733746119</v>
      </c>
      <c r="N418" s="1" t="str">
        <f t="shared" si="44"/>
        <v>Kering</v>
      </c>
      <c r="O418" t="str">
        <f t="shared" si="45"/>
        <v>Fuzzy</v>
      </c>
      <c r="P418" t="str">
        <f t="shared" si="46"/>
        <v>Fuzzy</v>
      </c>
    </row>
    <row r="419" spans="1:16" x14ac:dyDescent="0.35">
      <c r="A419" t="s">
        <v>422</v>
      </c>
      <c r="B419">
        <v>4632</v>
      </c>
      <c r="C419">
        <v>27</v>
      </c>
      <c r="D419">
        <v>65</v>
      </c>
      <c r="E419">
        <v>678</v>
      </c>
      <c r="F419">
        <v>4</v>
      </c>
      <c r="K419" s="1">
        <f t="shared" si="47"/>
        <v>678</v>
      </c>
      <c r="L419" s="1" t="str">
        <f t="shared" si="42"/>
        <v>Normal</v>
      </c>
      <c r="M419" s="2">
        <f t="shared" si="43"/>
        <v>94.5</v>
      </c>
      <c r="N419" s="1" t="str">
        <f t="shared" si="44"/>
        <v>Basah</v>
      </c>
      <c r="O419" t="str">
        <f t="shared" si="45"/>
        <v>Fuzzy</v>
      </c>
      <c r="P419" t="str">
        <f t="shared" si="46"/>
        <v>Fuzzy</v>
      </c>
    </row>
    <row r="420" spans="1:16" x14ac:dyDescent="0.35">
      <c r="A420" t="s">
        <v>423</v>
      </c>
      <c r="B420">
        <v>4633</v>
      </c>
      <c r="C420">
        <v>27</v>
      </c>
      <c r="D420">
        <v>64</v>
      </c>
      <c r="E420">
        <v>692</v>
      </c>
      <c r="F420">
        <v>4</v>
      </c>
      <c r="K420" s="1">
        <f t="shared" si="47"/>
        <v>692</v>
      </c>
      <c r="L420" s="1" t="str">
        <f t="shared" si="42"/>
        <v>Normal</v>
      </c>
      <c r="M420" s="2">
        <f t="shared" si="43"/>
        <v>98</v>
      </c>
      <c r="N420" s="1" t="str">
        <f t="shared" si="44"/>
        <v>Basah</v>
      </c>
      <c r="O420" t="str">
        <f t="shared" si="45"/>
        <v>Fuzzy</v>
      </c>
      <c r="P420" t="str">
        <f t="shared" si="46"/>
        <v>Fuzzy</v>
      </c>
    </row>
    <row r="421" spans="1:16" x14ac:dyDescent="0.35">
      <c r="A421" t="s">
        <v>424</v>
      </c>
      <c r="B421">
        <v>4634</v>
      </c>
      <c r="C421">
        <v>27</v>
      </c>
      <c r="D421">
        <v>64</v>
      </c>
      <c r="E421">
        <v>686</v>
      </c>
      <c r="F421">
        <v>4</v>
      </c>
      <c r="K421" s="1">
        <f t="shared" si="47"/>
        <v>686</v>
      </c>
      <c r="L421" s="1" t="str">
        <f t="shared" si="42"/>
        <v>Normal</v>
      </c>
      <c r="M421" s="2">
        <f t="shared" si="43"/>
        <v>96.5</v>
      </c>
      <c r="N421" s="1" t="str">
        <f t="shared" si="44"/>
        <v>Basah</v>
      </c>
      <c r="O421" t="str">
        <f t="shared" si="45"/>
        <v>Fuzzy</v>
      </c>
      <c r="P421" t="str">
        <f t="shared" si="46"/>
        <v>Fuzzy</v>
      </c>
    </row>
    <row r="422" spans="1:16" x14ac:dyDescent="0.35">
      <c r="A422" t="s">
        <v>425</v>
      </c>
      <c r="B422">
        <v>4635</v>
      </c>
      <c r="C422">
        <v>27</v>
      </c>
      <c r="D422">
        <v>64</v>
      </c>
      <c r="E422">
        <v>731</v>
      </c>
      <c r="F422">
        <v>4</v>
      </c>
      <c r="K422" s="1">
        <f t="shared" si="47"/>
        <v>731</v>
      </c>
      <c r="L422" s="1" t="str">
        <f t="shared" si="42"/>
        <v>Normal</v>
      </c>
      <c r="M422" s="2">
        <f t="shared" si="43"/>
        <v>9.5975232198142422</v>
      </c>
      <c r="N422" s="1" t="str">
        <f t="shared" si="44"/>
        <v>Kering</v>
      </c>
      <c r="O422" t="str">
        <f t="shared" si="45"/>
        <v>Fuzzy</v>
      </c>
      <c r="P422" t="str">
        <f t="shared" si="46"/>
        <v>Fuzzy</v>
      </c>
    </row>
    <row r="423" spans="1:16" x14ac:dyDescent="0.35">
      <c r="A423" t="s">
        <v>426</v>
      </c>
      <c r="B423">
        <v>4636</v>
      </c>
      <c r="C423">
        <v>27</v>
      </c>
      <c r="D423">
        <v>65</v>
      </c>
      <c r="E423">
        <v>772</v>
      </c>
      <c r="F423">
        <v>4</v>
      </c>
      <c r="K423" s="1">
        <f t="shared" si="47"/>
        <v>772</v>
      </c>
      <c r="L423" s="1" t="str">
        <f t="shared" si="42"/>
        <v>Normal</v>
      </c>
      <c r="M423" s="2">
        <f t="shared" si="43"/>
        <v>22.291021671826623</v>
      </c>
      <c r="N423" s="1" t="str">
        <f t="shared" si="44"/>
        <v>Kering</v>
      </c>
      <c r="O423" t="str">
        <f t="shared" si="45"/>
        <v>Fuzzy</v>
      </c>
      <c r="P423" t="str">
        <f t="shared" si="46"/>
        <v>Fuzzy</v>
      </c>
    </row>
    <row r="424" spans="1:16" x14ac:dyDescent="0.35">
      <c r="A424" t="s">
        <v>427</v>
      </c>
      <c r="B424">
        <v>4637</v>
      </c>
      <c r="C424">
        <v>27</v>
      </c>
      <c r="D424">
        <v>65</v>
      </c>
      <c r="E424">
        <v>705</v>
      </c>
      <c r="F424">
        <v>3</v>
      </c>
      <c r="K424" s="1">
        <f t="shared" si="47"/>
        <v>705</v>
      </c>
      <c r="L424" s="1" t="str">
        <f t="shared" si="42"/>
        <v>Normal</v>
      </c>
      <c r="M424" s="2">
        <f t="shared" si="43"/>
        <v>1.5479876160990713</v>
      </c>
      <c r="N424" s="1" t="str">
        <f t="shared" si="44"/>
        <v>Kering</v>
      </c>
      <c r="O424" t="str">
        <f t="shared" si="45"/>
        <v>Fuzzy</v>
      </c>
      <c r="P424" t="str">
        <f t="shared" si="46"/>
        <v>Fuzzy</v>
      </c>
    </row>
    <row r="425" spans="1:16" x14ac:dyDescent="0.35">
      <c r="A425" t="s">
        <v>428</v>
      </c>
      <c r="B425">
        <v>4638</v>
      </c>
      <c r="C425">
        <v>27</v>
      </c>
      <c r="D425">
        <v>65</v>
      </c>
      <c r="E425">
        <v>751</v>
      </c>
      <c r="F425">
        <v>4</v>
      </c>
      <c r="K425" s="1">
        <f t="shared" si="47"/>
        <v>751</v>
      </c>
      <c r="L425" s="1" t="str">
        <f t="shared" si="42"/>
        <v>Normal</v>
      </c>
      <c r="M425" s="2">
        <f t="shared" si="43"/>
        <v>15.789473684210526</v>
      </c>
      <c r="N425" s="1" t="str">
        <f t="shared" si="44"/>
        <v>Kering</v>
      </c>
      <c r="O425" t="str">
        <f t="shared" si="45"/>
        <v>Fuzzy</v>
      </c>
      <c r="P425" t="str">
        <f t="shared" si="46"/>
        <v>Fuzzy</v>
      </c>
    </row>
    <row r="426" spans="1:16" x14ac:dyDescent="0.35">
      <c r="A426" t="s">
        <v>429</v>
      </c>
      <c r="B426">
        <v>4639</v>
      </c>
      <c r="C426">
        <v>27</v>
      </c>
      <c r="D426">
        <v>65</v>
      </c>
      <c r="E426">
        <v>1001</v>
      </c>
      <c r="F426">
        <v>4</v>
      </c>
      <c r="K426" s="1">
        <f t="shared" si="47"/>
        <v>1001</v>
      </c>
      <c r="L426" s="1" t="str">
        <f t="shared" si="42"/>
        <v>Normal</v>
      </c>
      <c r="M426" s="2">
        <f t="shared" si="43"/>
        <v>93.188854489164086</v>
      </c>
      <c r="N426" s="1" t="str">
        <f t="shared" si="44"/>
        <v>Basah</v>
      </c>
      <c r="O426" t="str">
        <f t="shared" si="45"/>
        <v>Fuzzy</v>
      </c>
      <c r="P426" t="str">
        <f t="shared" si="46"/>
        <v>Fuzzy</v>
      </c>
    </row>
    <row r="427" spans="1:16" x14ac:dyDescent="0.35">
      <c r="A427" t="s">
        <v>430</v>
      </c>
      <c r="B427">
        <v>4640</v>
      </c>
      <c r="C427">
        <v>27</v>
      </c>
      <c r="D427">
        <v>65</v>
      </c>
      <c r="E427">
        <v>678</v>
      </c>
      <c r="F427">
        <v>4</v>
      </c>
      <c r="K427" s="1">
        <f t="shared" si="47"/>
        <v>678</v>
      </c>
      <c r="L427" s="1" t="str">
        <f t="shared" si="42"/>
        <v>Normal</v>
      </c>
      <c r="M427" s="2">
        <f t="shared" si="43"/>
        <v>94.5</v>
      </c>
      <c r="N427" s="1" t="str">
        <f t="shared" si="44"/>
        <v>Basah</v>
      </c>
      <c r="O427" t="str">
        <f t="shared" si="45"/>
        <v>Fuzzy</v>
      </c>
      <c r="P427" t="str">
        <f t="shared" si="46"/>
        <v>Fuzzy</v>
      </c>
    </row>
    <row r="428" spans="1:16" x14ac:dyDescent="0.35">
      <c r="A428" t="s">
        <v>431</v>
      </c>
      <c r="B428">
        <v>4641</v>
      </c>
      <c r="C428">
        <v>27</v>
      </c>
      <c r="D428">
        <v>65</v>
      </c>
      <c r="E428">
        <v>745</v>
      </c>
      <c r="F428">
        <v>4</v>
      </c>
      <c r="K428" s="1">
        <f t="shared" si="47"/>
        <v>745</v>
      </c>
      <c r="L428" s="1" t="str">
        <f t="shared" si="42"/>
        <v>Normal</v>
      </c>
      <c r="M428" s="2">
        <f t="shared" si="43"/>
        <v>13.93188854489164</v>
      </c>
      <c r="N428" s="1" t="str">
        <f t="shared" si="44"/>
        <v>Kering</v>
      </c>
      <c r="O428" t="str">
        <f t="shared" si="45"/>
        <v>Fuzzy</v>
      </c>
      <c r="P428" t="str">
        <f t="shared" si="46"/>
        <v>Fuzzy</v>
      </c>
    </row>
    <row r="429" spans="1:16" x14ac:dyDescent="0.35">
      <c r="A429" t="s">
        <v>432</v>
      </c>
      <c r="B429">
        <v>4642</v>
      </c>
      <c r="C429">
        <v>27</v>
      </c>
      <c r="D429">
        <v>65</v>
      </c>
      <c r="E429">
        <v>677</v>
      </c>
      <c r="F429">
        <v>4</v>
      </c>
      <c r="K429" s="1">
        <f t="shared" si="47"/>
        <v>677</v>
      </c>
      <c r="L429" s="1" t="str">
        <f t="shared" si="42"/>
        <v>Normal</v>
      </c>
      <c r="M429" s="2">
        <f t="shared" si="43"/>
        <v>94.25</v>
      </c>
      <c r="N429" s="1" t="str">
        <f t="shared" si="44"/>
        <v>Basah</v>
      </c>
      <c r="O429" t="str">
        <f t="shared" si="45"/>
        <v>Fuzzy</v>
      </c>
      <c r="P429" t="str">
        <f t="shared" si="46"/>
        <v>Fuzzy</v>
      </c>
    </row>
    <row r="430" spans="1:16" x14ac:dyDescent="0.35">
      <c r="A430" t="s">
        <v>433</v>
      </c>
      <c r="B430">
        <v>4643</v>
      </c>
      <c r="C430">
        <v>27</v>
      </c>
      <c r="D430">
        <v>64</v>
      </c>
      <c r="E430">
        <v>703</v>
      </c>
      <c r="F430">
        <v>4</v>
      </c>
      <c r="K430" s="1">
        <f t="shared" si="47"/>
        <v>703</v>
      </c>
      <c r="L430" s="1" t="str">
        <f t="shared" si="42"/>
        <v>Normal</v>
      </c>
      <c r="M430" s="2">
        <f t="shared" si="43"/>
        <v>0.92879256965944268</v>
      </c>
      <c r="N430" s="1" t="str">
        <f t="shared" si="44"/>
        <v>Kering</v>
      </c>
      <c r="O430" t="str">
        <f t="shared" si="45"/>
        <v>Fuzzy</v>
      </c>
      <c r="P430" t="str">
        <f t="shared" si="46"/>
        <v>Fuzzy</v>
      </c>
    </row>
    <row r="431" spans="1:16" x14ac:dyDescent="0.35">
      <c r="A431" t="s">
        <v>434</v>
      </c>
      <c r="B431">
        <v>4644</v>
      </c>
      <c r="C431">
        <v>27</v>
      </c>
      <c r="D431">
        <v>63</v>
      </c>
      <c r="E431">
        <v>675</v>
      </c>
      <c r="F431">
        <v>4</v>
      </c>
      <c r="K431" s="1">
        <f t="shared" si="47"/>
        <v>675</v>
      </c>
      <c r="L431" s="1" t="str">
        <f t="shared" si="42"/>
        <v>Normal</v>
      </c>
      <c r="M431" s="2">
        <f t="shared" si="43"/>
        <v>93.75</v>
      </c>
      <c r="N431" s="1" t="str">
        <f t="shared" si="44"/>
        <v>Basah</v>
      </c>
      <c r="O431" t="str">
        <f t="shared" si="45"/>
        <v>Fuzzy</v>
      </c>
      <c r="P431" t="str">
        <f t="shared" si="46"/>
        <v>Fuzzy</v>
      </c>
    </row>
    <row r="432" spans="1:16" x14ac:dyDescent="0.35">
      <c r="A432" t="s">
        <v>435</v>
      </c>
      <c r="B432">
        <v>4645</v>
      </c>
      <c r="C432">
        <v>27</v>
      </c>
      <c r="D432">
        <v>62</v>
      </c>
      <c r="E432">
        <v>596</v>
      </c>
      <c r="F432">
        <v>4</v>
      </c>
      <c r="K432" s="1">
        <f t="shared" si="47"/>
        <v>596</v>
      </c>
      <c r="L432" s="1" t="str">
        <f t="shared" si="42"/>
        <v>Normal</v>
      </c>
      <c r="M432" s="2">
        <f t="shared" si="43"/>
        <v>74</v>
      </c>
      <c r="N432" s="1" t="str">
        <f t="shared" si="44"/>
        <v>Basah</v>
      </c>
      <c r="O432" t="str">
        <f t="shared" si="45"/>
        <v>Fuzzy</v>
      </c>
      <c r="P432" t="str">
        <f t="shared" si="46"/>
        <v>Fuzzy</v>
      </c>
    </row>
    <row r="433" spans="1:16" x14ac:dyDescent="0.35">
      <c r="A433" t="s">
        <v>436</v>
      </c>
      <c r="B433">
        <v>4646</v>
      </c>
      <c r="C433">
        <v>27</v>
      </c>
      <c r="D433">
        <v>61</v>
      </c>
      <c r="E433">
        <v>783</v>
      </c>
      <c r="F433">
        <v>4</v>
      </c>
      <c r="K433" s="1">
        <f t="shared" si="47"/>
        <v>783</v>
      </c>
      <c r="L433" s="1" t="str">
        <f t="shared" si="42"/>
        <v>Normal</v>
      </c>
      <c r="M433" s="2">
        <f t="shared" si="43"/>
        <v>25.696594427244584</v>
      </c>
      <c r="N433" s="1" t="str">
        <f t="shared" si="44"/>
        <v>Kering</v>
      </c>
      <c r="O433" t="str">
        <f t="shared" si="45"/>
        <v>Fuzzy</v>
      </c>
      <c r="P433" t="str">
        <f t="shared" si="46"/>
        <v>Fuzzy</v>
      </c>
    </row>
    <row r="434" spans="1:16" x14ac:dyDescent="0.35">
      <c r="A434" t="s">
        <v>437</v>
      </c>
      <c r="B434">
        <v>4647</v>
      </c>
      <c r="C434">
        <v>27</v>
      </c>
      <c r="D434">
        <v>62</v>
      </c>
      <c r="E434">
        <v>733</v>
      </c>
      <c r="F434">
        <v>4</v>
      </c>
      <c r="K434" s="1">
        <f t="shared" si="47"/>
        <v>733</v>
      </c>
      <c r="L434" s="1" t="str">
        <f t="shared" si="42"/>
        <v>Normal</v>
      </c>
      <c r="M434" s="2">
        <f t="shared" si="43"/>
        <v>10.216718266253871</v>
      </c>
      <c r="N434" s="1" t="str">
        <f t="shared" si="44"/>
        <v>Kering</v>
      </c>
      <c r="O434" t="str">
        <f t="shared" si="45"/>
        <v>Fuzzy</v>
      </c>
      <c r="P434" t="str">
        <f t="shared" si="46"/>
        <v>Fuzzy</v>
      </c>
    </row>
    <row r="435" spans="1:16" x14ac:dyDescent="0.35">
      <c r="A435" t="s">
        <v>438</v>
      </c>
      <c r="B435">
        <v>4648</v>
      </c>
      <c r="C435">
        <v>27</v>
      </c>
      <c r="D435">
        <v>63</v>
      </c>
      <c r="E435">
        <v>655</v>
      </c>
      <c r="F435">
        <v>4</v>
      </c>
      <c r="K435" s="1">
        <f t="shared" si="47"/>
        <v>655</v>
      </c>
      <c r="L435" s="1" t="str">
        <f t="shared" si="42"/>
        <v>Normal</v>
      </c>
      <c r="M435" s="2">
        <f t="shared" si="43"/>
        <v>88.75</v>
      </c>
      <c r="N435" s="1" t="str">
        <f t="shared" si="44"/>
        <v>Basah</v>
      </c>
      <c r="O435" t="str">
        <f t="shared" si="45"/>
        <v>Fuzzy</v>
      </c>
      <c r="P435" t="str">
        <f t="shared" si="46"/>
        <v>Fuzzy</v>
      </c>
    </row>
    <row r="436" spans="1:16" x14ac:dyDescent="0.35">
      <c r="A436" t="s">
        <v>439</v>
      </c>
      <c r="B436">
        <v>4649</v>
      </c>
      <c r="C436">
        <v>27</v>
      </c>
      <c r="D436">
        <v>63</v>
      </c>
      <c r="E436">
        <v>729</v>
      </c>
      <c r="F436">
        <v>4</v>
      </c>
      <c r="K436" s="1">
        <f t="shared" si="47"/>
        <v>729</v>
      </c>
      <c r="L436" s="1" t="str">
        <f t="shared" si="42"/>
        <v>Normal</v>
      </c>
      <c r="M436" s="2">
        <f t="shared" si="43"/>
        <v>8.9783281733746119</v>
      </c>
      <c r="N436" s="1" t="str">
        <f t="shared" si="44"/>
        <v>Kering</v>
      </c>
      <c r="O436" t="str">
        <f t="shared" si="45"/>
        <v>Fuzzy</v>
      </c>
      <c r="P436" t="str">
        <f t="shared" si="46"/>
        <v>Fuzzy</v>
      </c>
    </row>
    <row r="437" spans="1:16" x14ac:dyDescent="0.35">
      <c r="A437" t="s">
        <v>440</v>
      </c>
      <c r="B437">
        <v>4650</v>
      </c>
      <c r="C437">
        <v>27</v>
      </c>
      <c r="D437">
        <v>64</v>
      </c>
      <c r="E437">
        <v>668</v>
      </c>
      <c r="F437">
        <v>4</v>
      </c>
      <c r="K437" s="1">
        <f t="shared" si="47"/>
        <v>668</v>
      </c>
      <c r="L437" s="1" t="str">
        <f t="shared" si="42"/>
        <v>Normal</v>
      </c>
      <c r="M437" s="2">
        <f t="shared" si="43"/>
        <v>92</v>
      </c>
      <c r="N437" s="1" t="str">
        <f t="shared" si="44"/>
        <v>Basah</v>
      </c>
      <c r="O437" t="str">
        <f t="shared" si="45"/>
        <v>Fuzzy</v>
      </c>
      <c r="P437" t="str">
        <f t="shared" si="46"/>
        <v>Fuzzy</v>
      </c>
    </row>
    <row r="438" spans="1:16" x14ac:dyDescent="0.35">
      <c r="A438" t="s">
        <v>441</v>
      </c>
      <c r="B438">
        <v>4651</v>
      </c>
      <c r="C438">
        <v>27</v>
      </c>
      <c r="D438">
        <v>65</v>
      </c>
      <c r="E438">
        <v>693</v>
      </c>
      <c r="F438">
        <v>4</v>
      </c>
      <c r="K438" s="1">
        <f t="shared" si="47"/>
        <v>693</v>
      </c>
      <c r="L438" s="1" t="str">
        <f t="shared" si="42"/>
        <v>Normal</v>
      </c>
      <c r="M438" s="2">
        <f t="shared" si="43"/>
        <v>98.25</v>
      </c>
      <c r="N438" s="1" t="str">
        <f t="shared" si="44"/>
        <v>Basah</v>
      </c>
      <c r="O438" t="str">
        <f t="shared" si="45"/>
        <v>Fuzzy</v>
      </c>
      <c r="P438" t="str">
        <f t="shared" si="46"/>
        <v>Fuzzy</v>
      </c>
    </row>
    <row r="439" spans="1:16" x14ac:dyDescent="0.35">
      <c r="A439" t="s">
        <v>442</v>
      </c>
      <c r="B439">
        <v>4652</v>
      </c>
      <c r="C439">
        <v>27</v>
      </c>
      <c r="D439">
        <v>65</v>
      </c>
      <c r="E439">
        <v>728</v>
      </c>
      <c r="F439">
        <v>4</v>
      </c>
      <c r="K439" s="1">
        <f t="shared" si="47"/>
        <v>728</v>
      </c>
      <c r="L439" s="1" t="str">
        <f t="shared" si="42"/>
        <v>Normal</v>
      </c>
      <c r="M439" s="2">
        <f t="shared" si="43"/>
        <v>8.6687306501547994</v>
      </c>
      <c r="N439" s="1" t="str">
        <f t="shared" si="44"/>
        <v>Kering</v>
      </c>
      <c r="O439" t="str">
        <f t="shared" si="45"/>
        <v>Fuzzy</v>
      </c>
      <c r="P439" t="str">
        <f t="shared" si="46"/>
        <v>Fuzzy</v>
      </c>
    </row>
    <row r="440" spans="1:16" x14ac:dyDescent="0.35">
      <c r="A440" t="s">
        <v>443</v>
      </c>
      <c r="B440">
        <v>4653</v>
      </c>
      <c r="C440">
        <v>27</v>
      </c>
      <c r="D440">
        <v>65</v>
      </c>
      <c r="E440">
        <v>770</v>
      </c>
      <c r="F440">
        <v>4</v>
      </c>
      <c r="K440" s="1">
        <f t="shared" si="47"/>
        <v>770</v>
      </c>
      <c r="L440" s="1" t="str">
        <f t="shared" si="42"/>
        <v>Normal</v>
      </c>
      <c r="M440" s="2">
        <f t="shared" si="43"/>
        <v>21.671826625386998</v>
      </c>
      <c r="N440" s="1" t="str">
        <f t="shared" si="44"/>
        <v>Kering</v>
      </c>
      <c r="O440" t="str">
        <f t="shared" si="45"/>
        <v>Fuzzy</v>
      </c>
      <c r="P440" t="str">
        <f t="shared" si="46"/>
        <v>Fuzzy</v>
      </c>
    </row>
    <row r="441" spans="1:16" x14ac:dyDescent="0.35">
      <c r="A441" t="s">
        <v>444</v>
      </c>
      <c r="B441">
        <v>4654</v>
      </c>
      <c r="C441">
        <v>27</v>
      </c>
      <c r="D441">
        <v>66</v>
      </c>
      <c r="E441">
        <v>733</v>
      </c>
      <c r="F441">
        <v>4</v>
      </c>
      <c r="K441" s="1">
        <f t="shared" si="47"/>
        <v>733</v>
      </c>
      <c r="L441" s="1" t="str">
        <f t="shared" si="42"/>
        <v>Normal</v>
      </c>
      <c r="M441" s="2">
        <f t="shared" si="43"/>
        <v>10.216718266253871</v>
      </c>
      <c r="N441" s="1" t="str">
        <f t="shared" si="44"/>
        <v>Kering</v>
      </c>
      <c r="O441" t="str">
        <f t="shared" si="45"/>
        <v>Fuzzy</v>
      </c>
      <c r="P441" t="str">
        <f t="shared" si="46"/>
        <v>Fuzzy</v>
      </c>
    </row>
    <row r="442" spans="1:16" x14ac:dyDescent="0.35">
      <c r="A442" t="s">
        <v>445</v>
      </c>
      <c r="B442">
        <v>4655</v>
      </c>
      <c r="C442">
        <v>27</v>
      </c>
      <c r="D442">
        <v>66</v>
      </c>
      <c r="E442">
        <v>768</v>
      </c>
      <c r="F442">
        <v>4</v>
      </c>
      <c r="K442" s="1">
        <f t="shared" si="47"/>
        <v>768</v>
      </c>
      <c r="L442" s="1" t="str">
        <f t="shared" si="42"/>
        <v>Normal</v>
      </c>
      <c r="M442" s="2">
        <f t="shared" si="43"/>
        <v>21.052631578947366</v>
      </c>
      <c r="N442" s="1" t="str">
        <f t="shared" si="44"/>
        <v>Kering</v>
      </c>
      <c r="O442" t="str">
        <f t="shared" si="45"/>
        <v>Fuzzy</v>
      </c>
      <c r="P442" t="str">
        <f t="shared" si="46"/>
        <v>Fuzzy</v>
      </c>
    </row>
    <row r="443" spans="1:16" x14ac:dyDescent="0.35">
      <c r="A443" t="s">
        <v>446</v>
      </c>
      <c r="B443">
        <v>4656</v>
      </c>
      <c r="C443">
        <v>27</v>
      </c>
      <c r="D443">
        <v>66</v>
      </c>
      <c r="E443">
        <v>724</v>
      </c>
      <c r="F443">
        <v>4</v>
      </c>
      <c r="K443" s="1">
        <f t="shared" si="47"/>
        <v>724</v>
      </c>
      <c r="L443" s="1" t="str">
        <f t="shared" si="42"/>
        <v>Normal</v>
      </c>
      <c r="M443" s="2">
        <f t="shared" si="43"/>
        <v>7.4303405572755414</v>
      </c>
      <c r="N443" s="1" t="str">
        <f t="shared" si="44"/>
        <v>Kering</v>
      </c>
      <c r="O443" t="str">
        <f t="shared" si="45"/>
        <v>Fuzzy</v>
      </c>
      <c r="P443" t="str">
        <f t="shared" si="46"/>
        <v>Fuzzy</v>
      </c>
    </row>
    <row r="444" spans="1:16" x14ac:dyDescent="0.35">
      <c r="A444" t="s">
        <v>447</v>
      </c>
      <c r="B444">
        <v>4657</v>
      </c>
      <c r="C444">
        <v>27</v>
      </c>
      <c r="D444">
        <v>67</v>
      </c>
      <c r="E444">
        <v>701</v>
      </c>
      <c r="F444">
        <v>4</v>
      </c>
      <c r="K444" s="1">
        <f t="shared" si="47"/>
        <v>701</v>
      </c>
      <c r="L444" s="1" t="str">
        <f t="shared" si="42"/>
        <v>Normal</v>
      </c>
      <c r="M444" s="2">
        <f t="shared" si="43"/>
        <v>0.30959752321981426</v>
      </c>
      <c r="N444" s="1" t="str">
        <f t="shared" si="44"/>
        <v>Kering</v>
      </c>
      <c r="O444" t="str">
        <f t="shared" si="45"/>
        <v>Fuzzy</v>
      </c>
      <c r="P444" t="str">
        <f t="shared" si="46"/>
        <v>Fuzzy</v>
      </c>
    </row>
    <row r="445" spans="1:16" x14ac:dyDescent="0.35">
      <c r="A445" t="s">
        <v>448</v>
      </c>
      <c r="B445">
        <v>4658</v>
      </c>
      <c r="C445">
        <v>27</v>
      </c>
      <c r="D445">
        <v>66</v>
      </c>
      <c r="E445">
        <v>722</v>
      </c>
      <c r="F445">
        <v>4</v>
      </c>
      <c r="K445" s="1">
        <f t="shared" si="47"/>
        <v>722</v>
      </c>
      <c r="L445" s="1" t="str">
        <f t="shared" si="42"/>
        <v>Normal</v>
      </c>
      <c r="M445" s="2">
        <f t="shared" si="43"/>
        <v>6.8111455108359129</v>
      </c>
      <c r="N445" s="1" t="str">
        <f t="shared" si="44"/>
        <v>Kering</v>
      </c>
      <c r="O445" t="str">
        <f t="shared" si="45"/>
        <v>Fuzzy</v>
      </c>
      <c r="P445" t="str">
        <f t="shared" si="46"/>
        <v>Fuzzy</v>
      </c>
    </row>
    <row r="446" spans="1:16" x14ac:dyDescent="0.35">
      <c r="A446" t="s">
        <v>449</v>
      </c>
      <c r="B446">
        <v>4659</v>
      </c>
      <c r="C446">
        <v>27</v>
      </c>
      <c r="D446">
        <v>67</v>
      </c>
      <c r="E446">
        <v>768</v>
      </c>
      <c r="F446">
        <v>4</v>
      </c>
      <c r="K446" s="1">
        <f t="shared" si="47"/>
        <v>768</v>
      </c>
      <c r="L446" s="1" t="str">
        <f t="shared" si="42"/>
        <v>Normal</v>
      </c>
      <c r="M446" s="2">
        <f t="shared" si="43"/>
        <v>21.052631578947366</v>
      </c>
      <c r="N446" s="1" t="str">
        <f t="shared" si="44"/>
        <v>Kering</v>
      </c>
      <c r="O446" t="str">
        <f t="shared" si="45"/>
        <v>Fuzzy</v>
      </c>
      <c r="P446" t="str">
        <f t="shared" si="46"/>
        <v>Fuzzy</v>
      </c>
    </row>
    <row r="447" spans="1:16" x14ac:dyDescent="0.35">
      <c r="A447" t="s">
        <v>450</v>
      </c>
      <c r="B447">
        <v>4660</v>
      </c>
      <c r="C447">
        <v>27</v>
      </c>
      <c r="D447">
        <v>67</v>
      </c>
      <c r="E447">
        <v>736</v>
      </c>
      <c r="F447">
        <v>4</v>
      </c>
      <c r="K447" s="1">
        <f t="shared" si="47"/>
        <v>736</v>
      </c>
      <c r="L447" s="1" t="str">
        <f t="shared" si="42"/>
        <v>Normal</v>
      </c>
      <c r="M447" s="2">
        <f t="shared" si="43"/>
        <v>11.145510835913312</v>
      </c>
      <c r="N447" s="1" t="str">
        <f t="shared" si="44"/>
        <v>Kering</v>
      </c>
      <c r="O447" t="str">
        <f t="shared" si="45"/>
        <v>Fuzzy</v>
      </c>
      <c r="P447" t="str">
        <f t="shared" si="46"/>
        <v>Fuzzy</v>
      </c>
    </row>
    <row r="448" spans="1:16" x14ac:dyDescent="0.35">
      <c r="A448" t="s">
        <v>451</v>
      </c>
      <c r="B448">
        <v>4661</v>
      </c>
      <c r="C448">
        <v>27</v>
      </c>
      <c r="D448">
        <v>67</v>
      </c>
      <c r="E448">
        <v>737</v>
      </c>
      <c r="F448">
        <v>4</v>
      </c>
      <c r="K448" s="1">
        <f t="shared" si="47"/>
        <v>737</v>
      </c>
      <c r="L448" s="1" t="str">
        <f t="shared" si="42"/>
        <v>Normal</v>
      </c>
      <c r="M448" s="2">
        <f t="shared" si="43"/>
        <v>11.455108359133128</v>
      </c>
      <c r="N448" s="1" t="str">
        <f t="shared" si="44"/>
        <v>Kering</v>
      </c>
      <c r="O448" t="str">
        <f t="shared" si="45"/>
        <v>Fuzzy</v>
      </c>
      <c r="P448" t="str">
        <f t="shared" si="46"/>
        <v>Fuzzy</v>
      </c>
    </row>
    <row r="449" spans="1:16" x14ac:dyDescent="0.35">
      <c r="A449" t="s">
        <v>452</v>
      </c>
      <c r="B449">
        <v>4662</v>
      </c>
      <c r="C449">
        <v>27</v>
      </c>
      <c r="D449">
        <v>67</v>
      </c>
      <c r="E449">
        <v>764</v>
      </c>
      <c r="F449">
        <v>4</v>
      </c>
      <c r="K449" s="1">
        <f t="shared" si="47"/>
        <v>764</v>
      </c>
      <c r="L449" s="1" t="str">
        <f t="shared" si="42"/>
        <v>Normal</v>
      </c>
      <c r="M449" s="2">
        <f t="shared" si="43"/>
        <v>19.814241486068113</v>
      </c>
      <c r="N449" s="1" t="str">
        <f t="shared" si="44"/>
        <v>Kering</v>
      </c>
      <c r="O449" t="str">
        <f t="shared" si="45"/>
        <v>Fuzzy</v>
      </c>
      <c r="P449" t="str">
        <f t="shared" si="46"/>
        <v>Fuzzy</v>
      </c>
    </row>
    <row r="450" spans="1:16" x14ac:dyDescent="0.35">
      <c r="A450" t="s">
        <v>453</v>
      </c>
      <c r="B450">
        <v>4663</v>
      </c>
      <c r="C450">
        <v>27</v>
      </c>
      <c r="D450">
        <v>67</v>
      </c>
      <c r="E450">
        <v>737</v>
      </c>
      <c r="F450">
        <v>4</v>
      </c>
      <c r="K450" s="1">
        <f t="shared" si="47"/>
        <v>737</v>
      </c>
      <c r="L450" s="1" t="str">
        <f t="shared" si="42"/>
        <v>Normal</v>
      </c>
      <c r="M450" s="2">
        <f t="shared" si="43"/>
        <v>11.455108359133128</v>
      </c>
      <c r="N450" s="1" t="str">
        <f t="shared" si="44"/>
        <v>Kering</v>
      </c>
      <c r="O450" t="str">
        <f t="shared" si="45"/>
        <v>Fuzzy</v>
      </c>
      <c r="P450" t="str">
        <f t="shared" si="46"/>
        <v>Fuzzy</v>
      </c>
    </row>
    <row r="451" spans="1:16" x14ac:dyDescent="0.35">
      <c r="A451" t="s">
        <v>454</v>
      </c>
      <c r="B451">
        <v>4664</v>
      </c>
      <c r="C451">
        <v>27</v>
      </c>
      <c r="D451">
        <v>67</v>
      </c>
      <c r="E451">
        <v>838</v>
      </c>
      <c r="F451">
        <v>5</v>
      </c>
      <c r="K451" s="1">
        <f t="shared" si="47"/>
        <v>838</v>
      </c>
      <c r="L451" s="1" t="str">
        <f t="shared" ref="L451:L514" si="48">IF(A450 &lt;= 10, "Dingin", IF(OR(A450 &gt;= 10, A450 &lt; 35), "Normal", "Panas"))</f>
        <v>Normal</v>
      </c>
      <c r="M451" s="2">
        <f t="shared" ref="M451:M514" si="49">IF(K451&lt;=300, K451/1023*100, IF(K451&lt;=700, (K451-300)/(700-301+1)*100, (K451-700)/(1023-701+1)*100))</f>
        <v>42.724458204334361</v>
      </c>
      <c r="N451" s="1" t="str">
        <f t="shared" ref="N451:N514" si="50">IF(M451&lt;=29.32, "Kering", IF(M451&lt;=68.53, "Lembab", "Basah"))</f>
        <v>Lembab</v>
      </c>
      <c r="O451" t="str">
        <f t="shared" ref="O451:O514" si="51">IF(OR(AND(C451 &gt; 10, C451 &lt; 22.5), AND(C451 &gt;= 22.5, C451 &lt; 35)), "Fuzzy", "")</f>
        <v>Fuzzy</v>
      </c>
      <c r="P451" t="str">
        <f t="shared" ref="P451:P514" si="52">IF(OR(AND(M451 &gt;= 0, M451 &lt; 50), AND(M451 &gt;= 50, M451 &lt; 100)), "Fuzzy", "")</f>
        <v>Fuzzy</v>
      </c>
    </row>
    <row r="452" spans="1:16" x14ac:dyDescent="0.35">
      <c r="A452" t="s">
        <v>455</v>
      </c>
      <c r="B452">
        <v>4665</v>
      </c>
      <c r="C452">
        <v>27</v>
      </c>
      <c r="D452">
        <v>68</v>
      </c>
      <c r="E452">
        <v>687</v>
      </c>
      <c r="F452">
        <v>4</v>
      </c>
      <c r="K452" s="1">
        <f t="shared" si="47"/>
        <v>687</v>
      </c>
      <c r="L452" s="1" t="str">
        <f t="shared" si="48"/>
        <v>Normal</v>
      </c>
      <c r="M452" s="2">
        <f t="shared" si="49"/>
        <v>96.75</v>
      </c>
      <c r="N452" s="1" t="str">
        <f t="shared" si="50"/>
        <v>Basah</v>
      </c>
      <c r="O452" t="str">
        <f t="shared" si="51"/>
        <v>Fuzzy</v>
      </c>
      <c r="P452" t="str">
        <f t="shared" si="52"/>
        <v>Fuzzy</v>
      </c>
    </row>
    <row r="453" spans="1:16" x14ac:dyDescent="0.35">
      <c r="A453" t="s">
        <v>456</v>
      </c>
      <c r="B453">
        <v>4666</v>
      </c>
      <c r="C453">
        <v>27</v>
      </c>
      <c r="D453">
        <v>67</v>
      </c>
      <c r="E453">
        <v>734</v>
      </c>
      <c r="F453">
        <v>4</v>
      </c>
      <c r="K453" s="1">
        <f t="shared" si="47"/>
        <v>734</v>
      </c>
      <c r="L453" s="1" t="str">
        <f t="shared" si="48"/>
        <v>Normal</v>
      </c>
      <c r="M453" s="2">
        <f t="shared" si="49"/>
        <v>10.526315789473683</v>
      </c>
      <c r="N453" s="1" t="str">
        <f t="shared" si="50"/>
        <v>Kering</v>
      </c>
      <c r="O453" t="str">
        <f t="shared" si="51"/>
        <v>Fuzzy</v>
      </c>
      <c r="P453" t="str">
        <f t="shared" si="52"/>
        <v>Fuzzy</v>
      </c>
    </row>
    <row r="454" spans="1:16" x14ac:dyDescent="0.35">
      <c r="A454" t="s">
        <v>457</v>
      </c>
      <c r="B454">
        <v>4667</v>
      </c>
      <c r="C454">
        <v>27</v>
      </c>
      <c r="D454">
        <v>67</v>
      </c>
      <c r="E454">
        <v>744</v>
      </c>
      <c r="F454">
        <v>4</v>
      </c>
      <c r="K454" s="1">
        <f t="shared" si="47"/>
        <v>744</v>
      </c>
      <c r="L454" s="1" t="str">
        <f t="shared" si="48"/>
        <v>Normal</v>
      </c>
      <c r="M454" s="2">
        <f t="shared" si="49"/>
        <v>13.622291021671826</v>
      </c>
      <c r="N454" s="1" t="str">
        <f t="shared" si="50"/>
        <v>Kering</v>
      </c>
      <c r="O454" t="str">
        <f t="shared" si="51"/>
        <v>Fuzzy</v>
      </c>
      <c r="P454" t="str">
        <f t="shared" si="52"/>
        <v>Fuzzy</v>
      </c>
    </row>
    <row r="455" spans="1:16" x14ac:dyDescent="0.35">
      <c r="A455" t="s">
        <v>458</v>
      </c>
      <c r="B455">
        <v>4668</v>
      </c>
      <c r="C455">
        <v>27</v>
      </c>
      <c r="D455">
        <v>67</v>
      </c>
      <c r="E455">
        <v>746</v>
      </c>
      <c r="F455">
        <v>4</v>
      </c>
      <c r="K455" s="1">
        <f t="shared" si="47"/>
        <v>746</v>
      </c>
      <c r="L455" s="1" t="str">
        <f t="shared" si="48"/>
        <v>Normal</v>
      </c>
      <c r="M455" s="2">
        <f t="shared" si="49"/>
        <v>14.241486068111456</v>
      </c>
      <c r="N455" s="1" t="str">
        <f t="shared" si="50"/>
        <v>Kering</v>
      </c>
      <c r="O455" t="str">
        <f t="shared" si="51"/>
        <v>Fuzzy</v>
      </c>
      <c r="P455" t="str">
        <f t="shared" si="52"/>
        <v>Fuzzy</v>
      </c>
    </row>
    <row r="456" spans="1:16" x14ac:dyDescent="0.35">
      <c r="A456" t="s">
        <v>459</v>
      </c>
      <c r="B456">
        <v>4669</v>
      </c>
      <c r="C456">
        <v>27</v>
      </c>
      <c r="D456">
        <v>66</v>
      </c>
      <c r="E456">
        <v>728</v>
      </c>
      <c r="F456">
        <v>4</v>
      </c>
      <c r="K456" s="1">
        <f t="shared" si="47"/>
        <v>728</v>
      </c>
      <c r="L456" s="1" t="str">
        <f t="shared" si="48"/>
        <v>Normal</v>
      </c>
      <c r="M456" s="2">
        <f t="shared" si="49"/>
        <v>8.6687306501547994</v>
      </c>
      <c r="N456" s="1" t="str">
        <f t="shared" si="50"/>
        <v>Kering</v>
      </c>
      <c r="O456" t="str">
        <f t="shared" si="51"/>
        <v>Fuzzy</v>
      </c>
      <c r="P456" t="str">
        <f t="shared" si="52"/>
        <v>Fuzzy</v>
      </c>
    </row>
    <row r="457" spans="1:16" x14ac:dyDescent="0.35">
      <c r="A457" t="s">
        <v>460</v>
      </c>
      <c r="B457">
        <v>4670</v>
      </c>
      <c r="C457">
        <v>27</v>
      </c>
      <c r="D457">
        <v>65</v>
      </c>
      <c r="E457">
        <v>669</v>
      </c>
      <c r="F457">
        <v>4</v>
      </c>
      <c r="K457" s="1">
        <f t="shared" si="47"/>
        <v>669</v>
      </c>
      <c r="L457" s="1" t="str">
        <f t="shared" si="48"/>
        <v>Normal</v>
      </c>
      <c r="M457" s="2">
        <f t="shared" si="49"/>
        <v>92.25</v>
      </c>
      <c r="N457" s="1" t="str">
        <f t="shared" si="50"/>
        <v>Basah</v>
      </c>
      <c r="O457" t="str">
        <f t="shared" si="51"/>
        <v>Fuzzy</v>
      </c>
      <c r="P457" t="str">
        <f t="shared" si="52"/>
        <v>Fuzzy</v>
      </c>
    </row>
    <row r="458" spans="1:16" x14ac:dyDescent="0.35">
      <c r="A458" t="s">
        <v>461</v>
      </c>
      <c r="B458">
        <v>4671</v>
      </c>
      <c r="C458">
        <v>27</v>
      </c>
      <c r="D458">
        <v>64</v>
      </c>
      <c r="E458">
        <v>667</v>
      </c>
      <c r="F458">
        <v>4</v>
      </c>
      <c r="K458" s="1">
        <f t="shared" si="47"/>
        <v>667</v>
      </c>
      <c r="L458" s="1" t="str">
        <f t="shared" si="48"/>
        <v>Normal</v>
      </c>
      <c r="M458" s="2">
        <f t="shared" si="49"/>
        <v>91.75</v>
      </c>
      <c r="N458" s="1" t="str">
        <f t="shared" si="50"/>
        <v>Basah</v>
      </c>
      <c r="O458" t="str">
        <f t="shared" si="51"/>
        <v>Fuzzy</v>
      </c>
      <c r="P458" t="str">
        <f t="shared" si="52"/>
        <v>Fuzzy</v>
      </c>
    </row>
    <row r="459" spans="1:16" x14ac:dyDescent="0.35">
      <c r="A459" t="s">
        <v>462</v>
      </c>
      <c r="B459">
        <v>4672</v>
      </c>
      <c r="C459">
        <v>27</v>
      </c>
      <c r="D459">
        <v>64</v>
      </c>
      <c r="E459">
        <v>761</v>
      </c>
      <c r="F459">
        <v>4</v>
      </c>
      <c r="K459" s="1">
        <f t="shared" si="47"/>
        <v>761</v>
      </c>
      <c r="L459" s="1" t="str">
        <f t="shared" si="48"/>
        <v>Normal</v>
      </c>
      <c r="M459" s="2">
        <f t="shared" si="49"/>
        <v>18.885448916408667</v>
      </c>
      <c r="N459" s="1" t="str">
        <f t="shared" si="50"/>
        <v>Kering</v>
      </c>
      <c r="O459" t="str">
        <f t="shared" si="51"/>
        <v>Fuzzy</v>
      </c>
      <c r="P459" t="str">
        <f t="shared" si="52"/>
        <v>Fuzzy</v>
      </c>
    </row>
    <row r="460" spans="1:16" x14ac:dyDescent="0.35">
      <c r="A460" t="s">
        <v>463</v>
      </c>
      <c r="B460">
        <v>4673</v>
      </c>
      <c r="C460">
        <v>27</v>
      </c>
      <c r="D460">
        <v>63</v>
      </c>
      <c r="E460">
        <v>732</v>
      </c>
      <c r="F460">
        <v>4</v>
      </c>
      <c r="K460" s="1">
        <f t="shared" si="47"/>
        <v>732</v>
      </c>
      <c r="L460" s="1" t="str">
        <f t="shared" si="48"/>
        <v>Normal</v>
      </c>
      <c r="M460" s="2">
        <f t="shared" si="49"/>
        <v>9.9071207430340564</v>
      </c>
      <c r="N460" s="1" t="str">
        <f t="shared" si="50"/>
        <v>Kering</v>
      </c>
      <c r="O460" t="str">
        <f t="shared" si="51"/>
        <v>Fuzzy</v>
      </c>
      <c r="P460" t="str">
        <f t="shared" si="52"/>
        <v>Fuzzy</v>
      </c>
    </row>
    <row r="461" spans="1:16" x14ac:dyDescent="0.35">
      <c r="A461" t="s">
        <v>464</v>
      </c>
      <c r="B461">
        <v>4674</v>
      </c>
      <c r="C461">
        <v>27</v>
      </c>
      <c r="D461">
        <v>62</v>
      </c>
      <c r="E461">
        <v>687</v>
      </c>
      <c r="F461">
        <v>4</v>
      </c>
      <c r="K461" s="1">
        <f t="shared" ref="K461:K524" si="53">IF(E461&lt;=1023, E461, "")</f>
        <v>687</v>
      </c>
      <c r="L461" s="1" t="str">
        <f t="shared" si="48"/>
        <v>Normal</v>
      </c>
      <c r="M461" s="2">
        <f t="shared" si="49"/>
        <v>96.75</v>
      </c>
      <c r="N461" s="1" t="str">
        <f t="shared" si="50"/>
        <v>Basah</v>
      </c>
      <c r="O461" t="str">
        <f t="shared" si="51"/>
        <v>Fuzzy</v>
      </c>
      <c r="P461" t="str">
        <f t="shared" si="52"/>
        <v>Fuzzy</v>
      </c>
    </row>
    <row r="462" spans="1:16" x14ac:dyDescent="0.35">
      <c r="A462" t="s">
        <v>465</v>
      </c>
      <c r="B462">
        <v>4675</v>
      </c>
      <c r="C462">
        <v>27</v>
      </c>
      <c r="D462">
        <v>61</v>
      </c>
      <c r="E462">
        <v>718</v>
      </c>
      <c r="F462">
        <v>4</v>
      </c>
      <c r="K462" s="1">
        <f t="shared" si="53"/>
        <v>718</v>
      </c>
      <c r="L462" s="1" t="str">
        <f t="shared" si="48"/>
        <v>Normal</v>
      </c>
      <c r="M462" s="2">
        <f t="shared" si="49"/>
        <v>5.5727554179566559</v>
      </c>
      <c r="N462" s="1" t="str">
        <f t="shared" si="50"/>
        <v>Kering</v>
      </c>
      <c r="O462" t="str">
        <f t="shared" si="51"/>
        <v>Fuzzy</v>
      </c>
      <c r="P462" t="str">
        <f t="shared" si="52"/>
        <v>Fuzzy</v>
      </c>
    </row>
    <row r="463" spans="1:16" x14ac:dyDescent="0.35">
      <c r="A463" t="s">
        <v>466</v>
      </c>
      <c r="B463">
        <v>4676</v>
      </c>
      <c r="C463">
        <v>27</v>
      </c>
      <c r="D463">
        <v>61</v>
      </c>
      <c r="E463">
        <v>774</v>
      </c>
      <c r="F463">
        <v>4</v>
      </c>
      <c r="K463" s="1">
        <f t="shared" si="53"/>
        <v>774</v>
      </c>
      <c r="L463" s="1" t="str">
        <f t="shared" si="48"/>
        <v>Normal</v>
      </c>
      <c r="M463" s="2">
        <f t="shared" si="49"/>
        <v>22.910216718266255</v>
      </c>
      <c r="N463" s="1" t="str">
        <f t="shared" si="50"/>
        <v>Kering</v>
      </c>
      <c r="O463" t="str">
        <f t="shared" si="51"/>
        <v>Fuzzy</v>
      </c>
      <c r="P463" t="str">
        <f t="shared" si="52"/>
        <v>Fuzzy</v>
      </c>
    </row>
    <row r="464" spans="1:16" x14ac:dyDescent="0.35">
      <c r="A464" t="s">
        <v>467</v>
      </c>
      <c r="B464">
        <v>4677</v>
      </c>
      <c r="C464">
        <v>27</v>
      </c>
      <c r="D464">
        <v>60</v>
      </c>
      <c r="E464">
        <v>720</v>
      </c>
      <c r="F464">
        <v>4</v>
      </c>
      <c r="K464" s="1">
        <f t="shared" si="53"/>
        <v>720</v>
      </c>
      <c r="L464" s="1" t="str">
        <f t="shared" si="48"/>
        <v>Normal</v>
      </c>
      <c r="M464" s="2">
        <f t="shared" si="49"/>
        <v>6.1919504643962853</v>
      </c>
      <c r="N464" s="1" t="str">
        <f t="shared" si="50"/>
        <v>Kering</v>
      </c>
      <c r="O464" t="str">
        <f t="shared" si="51"/>
        <v>Fuzzy</v>
      </c>
      <c r="P464" t="str">
        <f t="shared" si="52"/>
        <v>Fuzzy</v>
      </c>
    </row>
    <row r="465" spans="1:16" x14ac:dyDescent="0.35">
      <c r="A465" t="s">
        <v>468</v>
      </c>
      <c r="B465">
        <v>4678</v>
      </c>
      <c r="C465">
        <v>27</v>
      </c>
      <c r="D465">
        <v>60</v>
      </c>
      <c r="E465">
        <v>670</v>
      </c>
      <c r="F465">
        <v>4</v>
      </c>
      <c r="K465" s="1">
        <f t="shared" si="53"/>
        <v>670</v>
      </c>
      <c r="L465" s="1" t="str">
        <f t="shared" si="48"/>
        <v>Normal</v>
      </c>
      <c r="M465" s="2">
        <f t="shared" si="49"/>
        <v>92.5</v>
      </c>
      <c r="N465" s="1" t="str">
        <f t="shared" si="50"/>
        <v>Basah</v>
      </c>
      <c r="O465" t="str">
        <f t="shared" si="51"/>
        <v>Fuzzy</v>
      </c>
      <c r="P465" t="str">
        <f t="shared" si="52"/>
        <v>Fuzzy</v>
      </c>
    </row>
    <row r="466" spans="1:16" x14ac:dyDescent="0.35">
      <c r="A466" t="s">
        <v>469</v>
      </c>
      <c r="B466">
        <v>4679</v>
      </c>
      <c r="C466">
        <v>27</v>
      </c>
      <c r="D466">
        <v>59</v>
      </c>
      <c r="E466">
        <v>646</v>
      </c>
      <c r="F466">
        <v>4</v>
      </c>
      <c r="K466" s="1">
        <f t="shared" si="53"/>
        <v>646</v>
      </c>
      <c r="L466" s="1" t="str">
        <f t="shared" si="48"/>
        <v>Normal</v>
      </c>
      <c r="M466" s="2">
        <f t="shared" si="49"/>
        <v>86.5</v>
      </c>
      <c r="N466" s="1" t="str">
        <f t="shared" si="50"/>
        <v>Basah</v>
      </c>
      <c r="O466" t="str">
        <f t="shared" si="51"/>
        <v>Fuzzy</v>
      </c>
      <c r="P466" t="str">
        <f t="shared" si="52"/>
        <v>Fuzzy</v>
      </c>
    </row>
    <row r="467" spans="1:16" x14ac:dyDescent="0.35">
      <c r="A467" t="s">
        <v>470</v>
      </c>
      <c r="B467">
        <v>4680</v>
      </c>
      <c r="C467">
        <v>27</v>
      </c>
      <c r="D467">
        <v>59</v>
      </c>
      <c r="E467">
        <v>689</v>
      </c>
      <c r="F467">
        <v>4</v>
      </c>
      <c r="K467" s="1">
        <f t="shared" si="53"/>
        <v>689</v>
      </c>
      <c r="L467" s="1" t="str">
        <f t="shared" si="48"/>
        <v>Normal</v>
      </c>
      <c r="M467" s="2">
        <f t="shared" si="49"/>
        <v>97.25</v>
      </c>
      <c r="N467" s="1" t="str">
        <f t="shared" si="50"/>
        <v>Basah</v>
      </c>
      <c r="O467" t="str">
        <f t="shared" si="51"/>
        <v>Fuzzy</v>
      </c>
      <c r="P467" t="str">
        <f t="shared" si="52"/>
        <v>Fuzzy</v>
      </c>
    </row>
    <row r="468" spans="1:16" x14ac:dyDescent="0.35">
      <c r="A468" t="s">
        <v>471</v>
      </c>
      <c r="B468">
        <v>4681</v>
      </c>
      <c r="C468">
        <v>27</v>
      </c>
      <c r="D468">
        <v>59</v>
      </c>
      <c r="E468">
        <v>728</v>
      </c>
      <c r="F468">
        <v>4</v>
      </c>
      <c r="K468" s="1">
        <f t="shared" si="53"/>
        <v>728</v>
      </c>
      <c r="L468" s="1" t="str">
        <f t="shared" si="48"/>
        <v>Normal</v>
      </c>
      <c r="M468" s="2">
        <f t="shared" si="49"/>
        <v>8.6687306501547994</v>
      </c>
      <c r="N468" s="1" t="str">
        <f t="shared" si="50"/>
        <v>Kering</v>
      </c>
      <c r="O468" t="str">
        <f t="shared" si="51"/>
        <v>Fuzzy</v>
      </c>
      <c r="P468" t="str">
        <f t="shared" si="52"/>
        <v>Fuzzy</v>
      </c>
    </row>
    <row r="469" spans="1:16" x14ac:dyDescent="0.35">
      <c r="A469" t="s">
        <v>472</v>
      </c>
      <c r="B469">
        <v>4682</v>
      </c>
      <c r="C469">
        <v>27</v>
      </c>
      <c r="D469">
        <v>58</v>
      </c>
      <c r="E469">
        <v>783</v>
      </c>
      <c r="F469">
        <v>4</v>
      </c>
      <c r="K469" s="1">
        <f t="shared" si="53"/>
        <v>783</v>
      </c>
      <c r="L469" s="1" t="str">
        <f t="shared" si="48"/>
        <v>Normal</v>
      </c>
      <c r="M469" s="2">
        <f t="shared" si="49"/>
        <v>25.696594427244584</v>
      </c>
      <c r="N469" s="1" t="str">
        <f t="shared" si="50"/>
        <v>Kering</v>
      </c>
      <c r="O469" t="str">
        <f t="shared" si="51"/>
        <v>Fuzzy</v>
      </c>
      <c r="P469" t="str">
        <f t="shared" si="52"/>
        <v>Fuzzy</v>
      </c>
    </row>
    <row r="470" spans="1:16" x14ac:dyDescent="0.35">
      <c r="A470" t="s">
        <v>473</v>
      </c>
      <c r="B470">
        <v>4683</v>
      </c>
      <c r="C470">
        <v>27</v>
      </c>
      <c r="D470">
        <v>58</v>
      </c>
      <c r="E470">
        <v>677</v>
      </c>
      <c r="F470">
        <v>4</v>
      </c>
      <c r="K470" s="1">
        <f t="shared" si="53"/>
        <v>677</v>
      </c>
      <c r="L470" s="1" t="str">
        <f t="shared" si="48"/>
        <v>Normal</v>
      </c>
      <c r="M470" s="2">
        <f t="shared" si="49"/>
        <v>94.25</v>
      </c>
      <c r="N470" s="1" t="str">
        <f t="shared" si="50"/>
        <v>Basah</v>
      </c>
      <c r="O470" t="str">
        <f t="shared" si="51"/>
        <v>Fuzzy</v>
      </c>
      <c r="P470" t="str">
        <f t="shared" si="52"/>
        <v>Fuzzy</v>
      </c>
    </row>
    <row r="471" spans="1:16" x14ac:dyDescent="0.35">
      <c r="A471" t="s">
        <v>474</v>
      </c>
      <c r="B471">
        <v>4684</v>
      </c>
      <c r="C471">
        <v>27</v>
      </c>
      <c r="D471">
        <v>58</v>
      </c>
      <c r="E471">
        <v>751</v>
      </c>
      <c r="F471">
        <v>4</v>
      </c>
      <c r="K471" s="1">
        <f t="shared" si="53"/>
        <v>751</v>
      </c>
      <c r="L471" s="1" t="str">
        <f t="shared" si="48"/>
        <v>Normal</v>
      </c>
      <c r="M471" s="2">
        <f t="shared" si="49"/>
        <v>15.789473684210526</v>
      </c>
      <c r="N471" s="1" t="str">
        <f t="shared" si="50"/>
        <v>Kering</v>
      </c>
      <c r="O471" t="str">
        <f t="shared" si="51"/>
        <v>Fuzzy</v>
      </c>
      <c r="P471" t="str">
        <f t="shared" si="52"/>
        <v>Fuzzy</v>
      </c>
    </row>
    <row r="472" spans="1:16" x14ac:dyDescent="0.35">
      <c r="A472" t="s">
        <v>475</v>
      </c>
      <c r="B472">
        <v>4685</v>
      </c>
      <c r="C472">
        <v>27</v>
      </c>
      <c r="D472">
        <v>57</v>
      </c>
      <c r="E472">
        <v>720</v>
      </c>
      <c r="F472">
        <v>4</v>
      </c>
      <c r="K472" s="1">
        <f t="shared" si="53"/>
        <v>720</v>
      </c>
      <c r="L472" s="1" t="str">
        <f t="shared" si="48"/>
        <v>Normal</v>
      </c>
      <c r="M472" s="2">
        <f t="shared" si="49"/>
        <v>6.1919504643962853</v>
      </c>
      <c r="N472" s="1" t="str">
        <f t="shared" si="50"/>
        <v>Kering</v>
      </c>
      <c r="O472" t="str">
        <f t="shared" si="51"/>
        <v>Fuzzy</v>
      </c>
      <c r="P472" t="str">
        <f t="shared" si="52"/>
        <v>Fuzzy</v>
      </c>
    </row>
    <row r="473" spans="1:16" x14ac:dyDescent="0.35">
      <c r="A473" t="s">
        <v>476</v>
      </c>
      <c r="B473">
        <v>4686</v>
      </c>
      <c r="C473">
        <v>27</v>
      </c>
      <c r="D473">
        <v>57</v>
      </c>
      <c r="E473">
        <v>743</v>
      </c>
      <c r="F473">
        <v>4</v>
      </c>
      <c r="K473" s="1">
        <f t="shared" si="53"/>
        <v>743</v>
      </c>
      <c r="L473" s="1" t="str">
        <f t="shared" si="48"/>
        <v>Normal</v>
      </c>
      <c r="M473" s="2">
        <f t="shared" si="49"/>
        <v>13.312693498452013</v>
      </c>
      <c r="N473" s="1" t="str">
        <f t="shared" si="50"/>
        <v>Kering</v>
      </c>
      <c r="O473" t="str">
        <f t="shared" si="51"/>
        <v>Fuzzy</v>
      </c>
      <c r="P473" t="str">
        <f t="shared" si="52"/>
        <v>Fuzzy</v>
      </c>
    </row>
    <row r="474" spans="1:16" x14ac:dyDescent="0.35">
      <c r="A474" t="s">
        <v>477</v>
      </c>
      <c r="B474">
        <v>4687</v>
      </c>
      <c r="C474">
        <v>27</v>
      </c>
      <c r="D474">
        <v>58</v>
      </c>
      <c r="E474">
        <v>748</v>
      </c>
      <c r="F474">
        <v>4</v>
      </c>
      <c r="K474" s="1">
        <f t="shared" si="53"/>
        <v>748</v>
      </c>
      <c r="L474" s="1" t="str">
        <f t="shared" si="48"/>
        <v>Normal</v>
      </c>
      <c r="M474" s="2">
        <f t="shared" si="49"/>
        <v>14.860681114551083</v>
      </c>
      <c r="N474" s="1" t="str">
        <f t="shared" si="50"/>
        <v>Kering</v>
      </c>
      <c r="O474" t="str">
        <f t="shared" si="51"/>
        <v>Fuzzy</v>
      </c>
      <c r="P474" t="str">
        <f t="shared" si="52"/>
        <v>Fuzzy</v>
      </c>
    </row>
    <row r="475" spans="1:16" x14ac:dyDescent="0.35">
      <c r="A475" t="s">
        <v>478</v>
      </c>
      <c r="B475">
        <v>4688</v>
      </c>
      <c r="C475">
        <v>27</v>
      </c>
      <c r="D475">
        <v>59</v>
      </c>
      <c r="E475">
        <v>783</v>
      </c>
      <c r="F475">
        <v>4</v>
      </c>
      <c r="K475" s="1">
        <f t="shared" si="53"/>
        <v>783</v>
      </c>
      <c r="L475" s="1" t="str">
        <f t="shared" si="48"/>
        <v>Normal</v>
      </c>
      <c r="M475" s="2">
        <f t="shared" si="49"/>
        <v>25.696594427244584</v>
      </c>
      <c r="N475" s="1" t="str">
        <f t="shared" si="50"/>
        <v>Kering</v>
      </c>
      <c r="O475" t="str">
        <f t="shared" si="51"/>
        <v>Fuzzy</v>
      </c>
      <c r="P475" t="str">
        <f t="shared" si="52"/>
        <v>Fuzzy</v>
      </c>
    </row>
    <row r="476" spans="1:16" x14ac:dyDescent="0.35">
      <c r="A476" t="s">
        <v>479</v>
      </c>
      <c r="B476">
        <v>4689</v>
      </c>
      <c r="C476">
        <v>26</v>
      </c>
      <c r="D476">
        <v>60</v>
      </c>
      <c r="E476">
        <v>742</v>
      </c>
      <c r="F476">
        <v>4</v>
      </c>
      <c r="K476" s="1">
        <f t="shared" si="53"/>
        <v>742</v>
      </c>
      <c r="L476" s="1" t="str">
        <f t="shared" si="48"/>
        <v>Normal</v>
      </c>
      <c r="M476" s="2">
        <f t="shared" si="49"/>
        <v>13.003095975232199</v>
      </c>
      <c r="N476" s="1" t="str">
        <f t="shared" si="50"/>
        <v>Kering</v>
      </c>
      <c r="O476" t="str">
        <f t="shared" si="51"/>
        <v>Fuzzy</v>
      </c>
      <c r="P476" t="str">
        <f t="shared" si="52"/>
        <v>Fuzzy</v>
      </c>
    </row>
    <row r="477" spans="1:16" x14ac:dyDescent="0.35">
      <c r="A477" t="s">
        <v>480</v>
      </c>
      <c r="B477">
        <v>4690</v>
      </c>
      <c r="C477">
        <v>26</v>
      </c>
      <c r="D477">
        <v>61</v>
      </c>
      <c r="E477">
        <v>733</v>
      </c>
      <c r="F477">
        <v>4</v>
      </c>
      <c r="K477" s="1">
        <f t="shared" si="53"/>
        <v>733</v>
      </c>
      <c r="L477" s="1" t="str">
        <f t="shared" si="48"/>
        <v>Normal</v>
      </c>
      <c r="M477" s="2">
        <f t="shared" si="49"/>
        <v>10.216718266253871</v>
      </c>
      <c r="N477" s="1" t="str">
        <f t="shared" si="50"/>
        <v>Kering</v>
      </c>
      <c r="O477" t="str">
        <f t="shared" si="51"/>
        <v>Fuzzy</v>
      </c>
      <c r="P477" t="str">
        <f t="shared" si="52"/>
        <v>Fuzzy</v>
      </c>
    </row>
    <row r="478" spans="1:16" x14ac:dyDescent="0.35">
      <c r="A478" t="s">
        <v>481</v>
      </c>
      <c r="B478">
        <v>4691</v>
      </c>
      <c r="C478">
        <v>26</v>
      </c>
      <c r="D478">
        <v>62</v>
      </c>
      <c r="E478">
        <v>689</v>
      </c>
      <c r="F478">
        <v>4</v>
      </c>
      <c r="K478" s="1">
        <f t="shared" si="53"/>
        <v>689</v>
      </c>
      <c r="L478" s="1" t="str">
        <f t="shared" si="48"/>
        <v>Normal</v>
      </c>
      <c r="M478" s="2">
        <f t="shared" si="49"/>
        <v>97.25</v>
      </c>
      <c r="N478" s="1" t="str">
        <f t="shared" si="50"/>
        <v>Basah</v>
      </c>
      <c r="O478" t="str">
        <f t="shared" si="51"/>
        <v>Fuzzy</v>
      </c>
      <c r="P478" t="str">
        <f t="shared" si="52"/>
        <v>Fuzzy</v>
      </c>
    </row>
    <row r="479" spans="1:16" x14ac:dyDescent="0.35">
      <c r="A479" t="s">
        <v>482</v>
      </c>
      <c r="B479">
        <v>4692</v>
      </c>
      <c r="C479">
        <v>26</v>
      </c>
      <c r="D479">
        <v>62</v>
      </c>
      <c r="E479">
        <v>698</v>
      </c>
      <c r="F479">
        <v>5</v>
      </c>
      <c r="K479" s="1">
        <f t="shared" si="53"/>
        <v>698</v>
      </c>
      <c r="L479" s="1" t="str">
        <f t="shared" si="48"/>
        <v>Normal</v>
      </c>
      <c r="M479" s="2">
        <f t="shared" si="49"/>
        <v>99.5</v>
      </c>
      <c r="N479" s="1" t="str">
        <f t="shared" si="50"/>
        <v>Basah</v>
      </c>
      <c r="O479" t="str">
        <f t="shared" si="51"/>
        <v>Fuzzy</v>
      </c>
      <c r="P479" t="str">
        <f t="shared" si="52"/>
        <v>Fuzzy</v>
      </c>
    </row>
    <row r="480" spans="1:16" x14ac:dyDescent="0.35">
      <c r="A480" t="s">
        <v>483</v>
      </c>
      <c r="B480">
        <v>4693</v>
      </c>
      <c r="C480">
        <v>26</v>
      </c>
      <c r="D480">
        <v>63</v>
      </c>
      <c r="E480">
        <v>784</v>
      </c>
      <c r="F480">
        <v>4</v>
      </c>
      <c r="K480" s="1">
        <f t="shared" si="53"/>
        <v>784</v>
      </c>
      <c r="L480" s="1" t="str">
        <f t="shared" si="48"/>
        <v>Normal</v>
      </c>
      <c r="M480" s="2">
        <f t="shared" si="49"/>
        <v>26.006191950464398</v>
      </c>
      <c r="N480" s="1" t="str">
        <f t="shared" si="50"/>
        <v>Kering</v>
      </c>
      <c r="O480" t="str">
        <f t="shared" si="51"/>
        <v>Fuzzy</v>
      </c>
      <c r="P480" t="str">
        <f t="shared" si="52"/>
        <v>Fuzzy</v>
      </c>
    </row>
    <row r="481" spans="1:16" x14ac:dyDescent="0.35">
      <c r="A481" t="s">
        <v>484</v>
      </c>
      <c r="B481">
        <v>4694</v>
      </c>
      <c r="C481">
        <v>26</v>
      </c>
      <c r="D481">
        <v>63</v>
      </c>
      <c r="E481">
        <v>761</v>
      </c>
      <c r="F481">
        <v>3</v>
      </c>
      <c r="K481" s="1">
        <f t="shared" si="53"/>
        <v>761</v>
      </c>
      <c r="L481" s="1" t="str">
        <f t="shared" si="48"/>
        <v>Normal</v>
      </c>
      <c r="M481" s="2">
        <f t="shared" si="49"/>
        <v>18.885448916408667</v>
      </c>
      <c r="N481" s="1" t="str">
        <f t="shared" si="50"/>
        <v>Kering</v>
      </c>
      <c r="O481" t="str">
        <f t="shared" si="51"/>
        <v>Fuzzy</v>
      </c>
      <c r="P481" t="str">
        <f t="shared" si="52"/>
        <v>Fuzzy</v>
      </c>
    </row>
    <row r="482" spans="1:16" x14ac:dyDescent="0.35">
      <c r="A482" t="s">
        <v>485</v>
      </c>
      <c r="B482">
        <v>4695</v>
      </c>
      <c r="C482">
        <v>26</v>
      </c>
      <c r="D482">
        <v>64</v>
      </c>
      <c r="E482">
        <v>501</v>
      </c>
      <c r="F482">
        <v>4</v>
      </c>
      <c r="K482" s="1">
        <f t="shared" si="53"/>
        <v>501</v>
      </c>
      <c r="L482" s="1" t="str">
        <f t="shared" si="48"/>
        <v>Normal</v>
      </c>
      <c r="M482" s="2">
        <f t="shared" si="49"/>
        <v>50.249999999999993</v>
      </c>
      <c r="N482" s="1" t="str">
        <f t="shared" si="50"/>
        <v>Lembab</v>
      </c>
      <c r="O482" t="str">
        <f t="shared" si="51"/>
        <v>Fuzzy</v>
      </c>
      <c r="P482" t="str">
        <f t="shared" si="52"/>
        <v>Fuzzy</v>
      </c>
    </row>
    <row r="483" spans="1:16" x14ac:dyDescent="0.35">
      <c r="A483" t="s">
        <v>486</v>
      </c>
      <c r="B483">
        <v>4696</v>
      </c>
      <c r="C483">
        <v>26</v>
      </c>
      <c r="D483">
        <v>64</v>
      </c>
      <c r="E483">
        <v>742</v>
      </c>
      <c r="F483">
        <v>4</v>
      </c>
      <c r="K483" s="1">
        <f t="shared" si="53"/>
        <v>742</v>
      </c>
      <c r="L483" s="1" t="str">
        <f t="shared" si="48"/>
        <v>Normal</v>
      </c>
      <c r="M483" s="2">
        <f t="shared" si="49"/>
        <v>13.003095975232199</v>
      </c>
      <c r="N483" s="1" t="str">
        <f t="shared" si="50"/>
        <v>Kering</v>
      </c>
      <c r="O483" t="str">
        <f t="shared" si="51"/>
        <v>Fuzzy</v>
      </c>
      <c r="P483" t="str">
        <f t="shared" si="52"/>
        <v>Fuzzy</v>
      </c>
    </row>
    <row r="484" spans="1:16" x14ac:dyDescent="0.35">
      <c r="A484" t="s">
        <v>487</v>
      </c>
      <c r="B484">
        <v>4697</v>
      </c>
      <c r="C484">
        <v>26</v>
      </c>
      <c r="D484">
        <v>64</v>
      </c>
      <c r="E484">
        <v>608</v>
      </c>
      <c r="F484">
        <v>4</v>
      </c>
      <c r="K484" s="1">
        <f t="shared" si="53"/>
        <v>608</v>
      </c>
      <c r="L484" s="1" t="str">
        <f t="shared" si="48"/>
        <v>Normal</v>
      </c>
      <c r="M484" s="2">
        <f t="shared" si="49"/>
        <v>77</v>
      </c>
      <c r="N484" s="1" t="str">
        <f t="shared" si="50"/>
        <v>Basah</v>
      </c>
      <c r="O484" t="str">
        <f t="shared" si="51"/>
        <v>Fuzzy</v>
      </c>
      <c r="P484" t="str">
        <f t="shared" si="52"/>
        <v>Fuzzy</v>
      </c>
    </row>
    <row r="485" spans="1:16" x14ac:dyDescent="0.35">
      <c r="A485" t="s">
        <v>488</v>
      </c>
      <c r="B485">
        <v>4698</v>
      </c>
      <c r="C485">
        <v>27</v>
      </c>
      <c r="D485">
        <v>64</v>
      </c>
      <c r="E485">
        <v>692</v>
      </c>
      <c r="F485">
        <v>4</v>
      </c>
      <c r="K485" s="1">
        <f t="shared" si="53"/>
        <v>692</v>
      </c>
      <c r="L485" s="1" t="str">
        <f t="shared" si="48"/>
        <v>Normal</v>
      </c>
      <c r="M485" s="2">
        <f t="shared" si="49"/>
        <v>98</v>
      </c>
      <c r="N485" s="1" t="str">
        <f t="shared" si="50"/>
        <v>Basah</v>
      </c>
      <c r="O485" t="str">
        <f t="shared" si="51"/>
        <v>Fuzzy</v>
      </c>
      <c r="P485" t="str">
        <f t="shared" si="52"/>
        <v>Fuzzy</v>
      </c>
    </row>
    <row r="486" spans="1:16" x14ac:dyDescent="0.35">
      <c r="A486" t="s">
        <v>489</v>
      </c>
      <c r="B486">
        <v>4699</v>
      </c>
      <c r="C486">
        <v>27</v>
      </c>
      <c r="D486">
        <v>65</v>
      </c>
      <c r="E486">
        <v>721</v>
      </c>
      <c r="F486">
        <v>4</v>
      </c>
      <c r="K486" s="1">
        <f t="shared" si="53"/>
        <v>721</v>
      </c>
      <c r="L486" s="1" t="str">
        <f t="shared" si="48"/>
        <v>Normal</v>
      </c>
      <c r="M486" s="2">
        <f t="shared" si="49"/>
        <v>6.5015479876160995</v>
      </c>
      <c r="N486" s="1" t="str">
        <f t="shared" si="50"/>
        <v>Kering</v>
      </c>
      <c r="O486" t="str">
        <f t="shared" si="51"/>
        <v>Fuzzy</v>
      </c>
      <c r="P486" t="str">
        <f t="shared" si="52"/>
        <v>Fuzzy</v>
      </c>
    </row>
    <row r="487" spans="1:16" x14ac:dyDescent="0.35">
      <c r="A487" t="s">
        <v>490</v>
      </c>
      <c r="B487">
        <v>4700</v>
      </c>
      <c r="C487">
        <v>27</v>
      </c>
      <c r="D487">
        <v>65</v>
      </c>
      <c r="E487">
        <v>631</v>
      </c>
      <c r="F487">
        <v>4</v>
      </c>
      <c r="K487" s="1">
        <f t="shared" si="53"/>
        <v>631</v>
      </c>
      <c r="L487" s="1" t="str">
        <f t="shared" si="48"/>
        <v>Normal</v>
      </c>
      <c r="M487" s="2">
        <f t="shared" si="49"/>
        <v>82.75</v>
      </c>
      <c r="N487" s="1" t="str">
        <f t="shared" si="50"/>
        <v>Basah</v>
      </c>
      <c r="O487" t="str">
        <f t="shared" si="51"/>
        <v>Fuzzy</v>
      </c>
      <c r="P487" t="str">
        <f t="shared" si="52"/>
        <v>Fuzzy</v>
      </c>
    </row>
    <row r="488" spans="1:16" x14ac:dyDescent="0.35">
      <c r="A488" t="s">
        <v>491</v>
      </c>
      <c r="B488">
        <v>4701</v>
      </c>
      <c r="C488">
        <v>27</v>
      </c>
      <c r="D488">
        <v>65</v>
      </c>
      <c r="E488">
        <v>994</v>
      </c>
      <c r="F488">
        <v>4</v>
      </c>
      <c r="K488" s="1">
        <f t="shared" si="53"/>
        <v>994</v>
      </c>
      <c r="L488" s="1" t="str">
        <f t="shared" si="48"/>
        <v>Normal</v>
      </c>
      <c r="M488" s="2">
        <f t="shared" si="49"/>
        <v>91.021671826625379</v>
      </c>
      <c r="N488" s="1" t="str">
        <f t="shared" si="50"/>
        <v>Basah</v>
      </c>
      <c r="O488" t="str">
        <f t="shared" si="51"/>
        <v>Fuzzy</v>
      </c>
      <c r="P488" t="str">
        <f t="shared" si="52"/>
        <v>Fuzzy</v>
      </c>
    </row>
    <row r="489" spans="1:16" x14ac:dyDescent="0.35">
      <c r="A489" t="s">
        <v>492</v>
      </c>
      <c r="B489">
        <v>4702</v>
      </c>
      <c r="C489">
        <v>27</v>
      </c>
      <c r="D489">
        <v>66</v>
      </c>
      <c r="E489">
        <v>687</v>
      </c>
      <c r="F489">
        <v>4</v>
      </c>
      <c r="K489" s="1">
        <f t="shared" si="53"/>
        <v>687</v>
      </c>
      <c r="L489" s="1" t="str">
        <f t="shared" si="48"/>
        <v>Normal</v>
      </c>
      <c r="M489" s="2">
        <f t="shared" si="49"/>
        <v>96.75</v>
      </c>
      <c r="N489" s="1" t="str">
        <f t="shared" si="50"/>
        <v>Basah</v>
      </c>
      <c r="O489" t="str">
        <f t="shared" si="51"/>
        <v>Fuzzy</v>
      </c>
      <c r="P489" t="str">
        <f t="shared" si="52"/>
        <v>Fuzzy</v>
      </c>
    </row>
    <row r="490" spans="1:16" x14ac:dyDescent="0.35">
      <c r="A490" t="s">
        <v>493</v>
      </c>
      <c r="B490">
        <v>4703</v>
      </c>
      <c r="C490">
        <v>27</v>
      </c>
      <c r="D490">
        <v>66</v>
      </c>
      <c r="E490">
        <v>731</v>
      </c>
      <c r="F490">
        <v>4</v>
      </c>
      <c r="K490" s="1">
        <f t="shared" si="53"/>
        <v>731</v>
      </c>
      <c r="L490" s="1" t="str">
        <f t="shared" si="48"/>
        <v>Normal</v>
      </c>
      <c r="M490" s="2">
        <f t="shared" si="49"/>
        <v>9.5975232198142422</v>
      </c>
      <c r="N490" s="1" t="str">
        <f t="shared" si="50"/>
        <v>Kering</v>
      </c>
      <c r="O490" t="str">
        <f t="shared" si="51"/>
        <v>Fuzzy</v>
      </c>
      <c r="P490" t="str">
        <f t="shared" si="52"/>
        <v>Fuzzy</v>
      </c>
    </row>
    <row r="491" spans="1:16" x14ac:dyDescent="0.35">
      <c r="A491" t="s">
        <v>494</v>
      </c>
      <c r="B491">
        <v>4704</v>
      </c>
      <c r="C491">
        <v>27</v>
      </c>
      <c r="D491">
        <v>66</v>
      </c>
      <c r="E491">
        <v>693</v>
      </c>
      <c r="F491">
        <v>4</v>
      </c>
      <c r="K491" s="1">
        <f t="shared" si="53"/>
        <v>693</v>
      </c>
      <c r="L491" s="1" t="str">
        <f t="shared" si="48"/>
        <v>Normal</v>
      </c>
      <c r="M491" s="2">
        <f t="shared" si="49"/>
        <v>98.25</v>
      </c>
      <c r="N491" s="1" t="str">
        <f t="shared" si="50"/>
        <v>Basah</v>
      </c>
      <c r="O491" t="str">
        <f t="shared" si="51"/>
        <v>Fuzzy</v>
      </c>
      <c r="P491" t="str">
        <f t="shared" si="52"/>
        <v>Fuzzy</v>
      </c>
    </row>
    <row r="492" spans="1:16" x14ac:dyDescent="0.35">
      <c r="A492" t="s">
        <v>495</v>
      </c>
      <c r="B492">
        <v>4705</v>
      </c>
      <c r="C492">
        <v>27</v>
      </c>
      <c r="D492">
        <v>66</v>
      </c>
      <c r="E492">
        <v>710</v>
      </c>
      <c r="F492">
        <v>4</v>
      </c>
      <c r="K492" s="1">
        <f t="shared" si="53"/>
        <v>710</v>
      </c>
      <c r="L492" s="1" t="str">
        <f t="shared" si="48"/>
        <v>Normal</v>
      </c>
      <c r="M492" s="2">
        <f t="shared" si="49"/>
        <v>3.0959752321981426</v>
      </c>
      <c r="N492" s="1" t="str">
        <f t="shared" si="50"/>
        <v>Kering</v>
      </c>
      <c r="O492" t="str">
        <f t="shared" si="51"/>
        <v>Fuzzy</v>
      </c>
      <c r="P492" t="str">
        <f t="shared" si="52"/>
        <v>Fuzzy</v>
      </c>
    </row>
    <row r="493" spans="1:16" x14ac:dyDescent="0.35">
      <c r="A493" t="s">
        <v>496</v>
      </c>
      <c r="B493">
        <v>4706</v>
      </c>
      <c r="C493">
        <v>27</v>
      </c>
      <c r="D493">
        <v>66</v>
      </c>
      <c r="E493">
        <v>721</v>
      </c>
      <c r="F493">
        <v>4</v>
      </c>
      <c r="K493" s="1">
        <f t="shared" si="53"/>
        <v>721</v>
      </c>
      <c r="L493" s="1" t="str">
        <f t="shared" si="48"/>
        <v>Normal</v>
      </c>
      <c r="M493" s="2">
        <f t="shared" si="49"/>
        <v>6.5015479876160995</v>
      </c>
      <c r="N493" s="1" t="str">
        <f t="shared" si="50"/>
        <v>Kering</v>
      </c>
      <c r="O493" t="str">
        <f t="shared" si="51"/>
        <v>Fuzzy</v>
      </c>
      <c r="P493" t="str">
        <f t="shared" si="52"/>
        <v>Fuzzy</v>
      </c>
    </row>
    <row r="494" spans="1:16" x14ac:dyDescent="0.35">
      <c r="A494" t="s">
        <v>497</v>
      </c>
      <c r="B494">
        <v>4707</v>
      </c>
      <c r="C494">
        <v>27</v>
      </c>
      <c r="D494">
        <v>66</v>
      </c>
      <c r="E494">
        <v>679</v>
      </c>
      <c r="F494">
        <v>4</v>
      </c>
      <c r="K494" s="1">
        <f t="shared" si="53"/>
        <v>679</v>
      </c>
      <c r="L494" s="1" t="str">
        <f t="shared" si="48"/>
        <v>Normal</v>
      </c>
      <c r="M494" s="2">
        <f t="shared" si="49"/>
        <v>94.75</v>
      </c>
      <c r="N494" s="1" t="str">
        <f t="shared" si="50"/>
        <v>Basah</v>
      </c>
      <c r="O494" t="str">
        <f t="shared" si="51"/>
        <v>Fuzzy</v>
      </c>
      <c r="P494" t="str">
        <f t="shared" si="52"/>
        <v>Fuzzy</v>
      </c>
    </row>
    <row r="495" spans="1:16" x14ac:dyDescent="0.35">
      <c r="A495" t="s">
        <v>498</v>
      </c>
      <c r="B495">
        <v>4708</v>
      </c>
      <c r="C495">
        <v>27</v>
      </c>
      <c r="D495">
        <v>66</v>
      </c>
      <c r="E495">
        <v>688</v>
      </c>
      <c r="F495">
        <v>4</v>
      </c>
      <c r="K495" s="1">
        <f t="shared" si="53"/>
        <v>688</v>
      </c>
      <c r="L495" s="1" t="str">
        <f t="shared" si="48"/>
        <v>Normal</v>
      </c>
      <c r="M495" s="2">
        <f t="shared" si="49"/>
        <v>97</v>
      </c>
      <c r="N495" s="1" t="str">
        <f t="shared" si="50"/>
        <v>Basah</v>
      </c>
      <c r="O495" t="str">
        <f t="shared" si="51"/>
        <v>Fuzzy</v>
      </c>
      <c r="P495" t="str">
        <f t="shared" si="52"/>
        <v>Fuzzy</v>
      </c>
    </row>
    <row r="496" spans="1:16" x14ac:dyDescent="0.35">
      <c r="A496" t="s">
        <v>499</v>
      </c>
      <c r="B496">
        <v>4709</v>
      </c>
      <c r="C496">
        <v>27</v>
      </c>
      <c r="D496">
        <v>65</v>
      </c>
      <c r="E496">
        <v>647</v>
      </c>
      <c r="F496">
        <v>4</v>
      </c>
      <c r="K496" s="1">
        <f t="shared" si="53"/>
        <v>647</v>
      </c>
      <c r="L496" s="1" t="str">
        <f t="shared" si="48"/>
        <v>Normal</v>
      </c>
      <c r="M496" s="2">
        <f t="shared" si="49"/>
        <v>86.75</v>
      </c>
      <c r="N496" s="1" t="str">
        <f t="shared" si="50"/>
        <v>Basah</v>
      </c>
      <c r="O496" t="str">
        <f t="shared" si="51"/>
        <v>Fuzzy</v>
      </c>
      <c r="P496" t="str">
        <f t="shared" si="52"/>
        <v>Fuzzy</v>
      </c>
    </row>
    <row r="497" spans="1:16" x14ac:dyDescent="0.35">
      <c r="A497" t="s">
        <v>500</v>
      </c>
      <c r="B497">
        <v>4710</v>
      </c>
      <c r="C497">
        <v>27</v>
      </c>
      <c r="D497">
        <v>64</v>
      </c>
      <c r="E497">
        <v>743</v>
      </c>
      <c r="F497">
        <v>4</v>
      </c>
      <c r="K497" s="1">
        <f t="shared" si="53"/>
        <v>743</v>
      </c>
      <c r="L497" s="1" t="str">
        <f t="shared" si="48"/>
        <v>Normal</v>
      </c>
      <c r="M497" s="2">
        <f t="shared" si="49"/>
        <v>13.312693498452013</v>
      </c>
      <c r="N497" s="1" t="str">
        <f t="shared" si="50"/>
        <v>Kering</v>
      </c>
      <c r="O497" t="str">
        <f t="shared" si="51"/>
        <v>Fuzzy</v>
      </c>
      <c r="P497" t="str">
        <f t="shared" si="52"/>
        <v>Fuzzy</v>
      </c>
    </row>
    <row r="498" spans="1:16" x14ac:dyDescent="0.35">
      <c r="A498" t="s">
        <v>501</v>
      </c>
      <c r="B498">
        <v>4711</v>
      </c>
      <c r="C498">
        <v>27</v>
      </c>
      <c r="D498">
        <v>64</v>
      </c>
      <c r="E498">
        <v>746</v>
      </c>
      <c r="F498">
        <v>4</v>
      </c>
      <c r="K498" s="1">
        <f t="shared" si="53"/>
        <v>746</v>
      </c>
      <c r="L498" s="1" t="str">
        <f t="shared" si="48"/>
        <v>Normal</v>
      </c>
      <c r="M498" s="2">
        <f t="shared" si="49"/>
        <v>14.241486068111456</v>
      </c>
      <c r="N498" s="1" t="str">
        <f t="shared" si="50"/>
        <v>Kering</v>
      </c>
      <c r="O498" t="str">
        <f t="shared" si="51"/>
        <v>Fuzzy</v>
      </c>
      <c r="P498" t="str">
        <f t="shared" si="52"/>
        <v>Fuzzy</v>
      </c>
    </row>
    <row r="499" spans="1:16" x14ac:dyDescent="0.35">
      <c r="A499" t="s">
        <v>502</v>
      </c>
      <c r="B499">
        <v>4712</v>
      </c>
      <c r="C499">
        <v>27</v>
      </c>
      <c r="D499">
        <v>65</v>
      </c>
      <c r="E499">
        <v>974</v>
      </c>
      <c r="F499">
        <v>4</v>
      </c>
      <c r="K499" s="1">
        <f t="shared" si="53"/>
        <v>974</v>
      </c>
      <c r="L499" s="1" t="str">
        <f t="shared" si="48"/>
        <v>Normal</v>
      </c>
      <c r="M499" s="2">
        <f t="shared" si="49"/>
        <v>84.829721362229108</v>
      </c>
      <c r="N499" s="1" t="str">
        <f t="shared" si="50"/>
        <v>Basah</v>
      </c>
      <c r="O499" t="str">
        <f t="shared" si="51"/>
        <v>Fuzzy</v>
      </c>
      <c r="P499" t="str">
        <f t="shared" si="52"/>
        <v>Fuzzy</v>
      </c>
    </row>
    <row r="500" spans="1:16" x14ac:dyDescent="0.35">
      <c r="A500" t="s">
        <v>503</v>
      </c>
      <c r="B500">
        <v>4713</v>
      </c>
      <c r="C500">
        <v>27</v>
      </c>
      <c r="D500">
        <v>65</v>
      </c>
      <c r="E500">
        <v>750</v>
      </c>
      <c r="F500">
        <v>4</v>
      </c>
      <c r="K500" s="1">
        <f t="shared" si="53"/>
        <v>750</v>
      </c>
      <c r="L500" s="1" t="str">
        <f t="shared" si="48"/>
        <v>Normal</v>
      </c>
      <c r="M500" s="2">
        <f t="shared" si="49"/>
        <v>15.479876160990713</v>
      </c>
      <c r="N500" s="1" t="str">
        <f t="shared" si="50"/>
        <v>Kering</v>
      </c>
      <c r="O500" t="str">
        <f t="shared" si="51"/>
        <v>Fuzzy</v>
      </c>
      <c r="P500" t="str">
        <f t="shared" si="52"/>
        <v>Fuzzy</v>
      </c>
    </row>
    <row r="501" spans="1:16" x14ac:dyDescent="0.35">
      <c r="A501" t="s">
        <v>504</v>
      </c>
      <c r="B501">
        <v>4714</v>
      </c>
      <c r="C501">
        <v>27</v>
      </c>
      <c r="D501">
        <v>66</v>
      </c>
      <c r="E501">
        <v>721</v>
      </c>
      <c r="F501">
        <v>4</v>
      </c>
      <c r="K501" s="1">
        <f t="shared" si="53"/>
        <v>721</v>
      </c>
      <c r="L501" s="1" t="str">
        <f t="shared" si="48"/>
        <v>Normal</v>
      </c>
      <c r="M501" s="2">
        <f t="shared" si="49"/>
        <v>6.5015479876160995</v>
      </c>
      <c r="N501" s="1" t="str">
        <f t="shared" si="50"/>
        <v>Kering</v>
      </c>
      <c r="O501" t="str">
        <f t="shared" si="51"/>
        <v>Fuzzy</v>
      </c>
      <c r="P501" t="str">
        <f t="shared" si="52"/>
        <v>Fuzzy</v>
      </c>
    </row>
    <row r="502" spans="1:16" x14ac:dyDescent="0.35">
      <c r="A502" t="s">
        <v>505</v>
      </c>
      <c r="B502">
        <v>4715</v>
      </c>
      <c r="C502">
        <v>27</v>
      </c>
      <c r="D502">
        <v>66</v>
      </c>
      <c r="E502">
        <v>730</v>
      </c>
      <c r="F502">
        <v>4</v>
      </c>
      <c r="K502" s="1">
        <f t="shared" si="53"/>
        <v>730</v>
      </c>
      <c r="L502" s="1" t="str">
        <f t="shared" si="48"/>
        <v>Normal</v>
      </c>
      <c r="M502" s="2">
        <f t="shared" si="49"/>
        <v>9.2879256965944279</v>
      </c>
      <c r="N502" s="1" t="str">
        <f t="shared" si="50"/>
        <v>Kering</v>
      </c>
      <c r="O502" t="str">
        <f t="shared" si="51"/>
        <v>Fuzzy</v>
      </c>
      <c r="P502" t="str">
        <f t="shared" si="52"/>
        <v>Fuzzy</v>
      </c>
    </row>
    <row r="503" spans="1:16" x14ac:dyDescent="0.35">
      <c r="A503" t="s">
        <v>506</v>
      </c>
      <c r="B503">
        <v>4716</v>
      </c>
      <c r="C503">
        <v>27</v>
      </c>
      <c r="D503">
        <v>66</v>
      </c>
      <c r="E503">
        <v>823</v>
      </c>
      <c r="F503">
        <v>4</v>
      </c>
      <c r="K503" s="1">
        <f t="shared" si="53"/>
        <v>823</v>
      </c>
      <c r="L503" s="1" t="str">
        <f t="shared" si="48"/>
        <v>Normal</v>
      </c>
      <c r="M503" s="2">
        <f t="shared" si="49"/>
        <v>38.080495356037154</v>
      </c>
      <c r="N503" s="1" t="str">
        <f t="shared" si="50"/>
        <v>Lembab</v>
      </c>
      <c r="O503" t="str">
        <f t="shared" si="51"/>
        <v>Fuzzy</v>
      </c>
      <c r="P503" t="str">
        <f t="shared" si="52"/>
        <v>Fuzzy</v>
      </c>
    </row>
    <row r="504" spans="1:16" x14ac:dyDescent="0.35">
      <c r="A504" t="s">
        <v>507</v>
      </c>
      <c r="B504">
        <v>4717</v>
      </c>
      <c r="C504">
        <v>27</v>
      </c>
      <c r="D504">
        <v>66</v>
      </c>
      <c r="E504">
        <v>675</v>
      </c>
      <c r="F504">
        <v>4</v>
      </c>
      <c r="K504" s="1">
        <f t="shared" si="53"/>
        <v>675</v>
      </c>
      <c r="L504" s="1" t="str">
        <f t="shared" si="48"/>
        <v>Normal</v>
      </c>
      <c r="M504" s="2">
        <f t="shared" si="49"/>
        <v>93.75</v>
      </c>
      <c r="N504" s="1" t="str">
        <f t="shared" si="50"/>
        <v>Basah</v>
      </c>
      <c r="O504" t="str">
        <f t="shared" si="51"/>
        <v>Fuzzy</v>
      </c>
      <c r="P504" t="str">
        <f t="shared" si="52"/>
        <v>Fuzzy</v>
      </c>
    </row>
    <row r="505" spans="1:16" x14ac:dyDescent="0.35">
      <c r="A505" t="s">
        <v>508</v>
      </c>
      <c r="B505">
        <v>4718</v>
      </c>
      <c r="C505">
        <v>27</v>
      </c>
      <c r="D505">
        <v>67</v>
      </c>
      <c r="E505">
        <v>716</v>
      </c>
      <c r="F505">
        <v>3</v>
      </c>
      <c r="K505" s="1">
        <f t="shared" si="53"/>
        <v>716</v>
      </c>
      <c r="L505" s="1" t="str">
        <f t="shared" si="48"/>
        <v>Normal</v>
      </c>
      <c r="M505" s="2">
        <f t="shared" si="49"/>
        <v>4.9535603715170282</v>
      </c>
      <c r="N505" s="1" t="str">
        <f t="shared" si="50"/>
        <v>Kering</v>
      </c>
      <c r="O505" t="str">
        <f t="shared" si="51"/>
        <v>Fuzzy</v>
      </c>
      <c r="P505" t="str">
        <f t="shared" si="52"/>
        <v>Fuzzy</v>
      </c>
    </row>
    <row r="506" spans="1:16" x14ac:dyDescent="0.35">
      <c r="A506" t="s">
        <v>509</v>
      </c>
      <c r="B506">
        <v>4719</v>
      </c>
      <c r="C506">
        <v>27</v>
      </c>
      <c r="D506">
        <v>67</v>
      </c>
      <c r="E506">
        <v>747</v>
      </c>
      <c r="F506">
        <v>4</v>
      </c>
      <c r="K506" s="1">
        <f t="shared" si="53"/>
        <v>747</v>
      </c>
      <c r="L506" s="1" t="str">
        <f t="shared" si="48"/>
        <v>Normal</v>
      </c>
      <c r="M506" s="2">
        <f t="shared" si="49"/>
        <v>14.551083591331269</v>
      </c>
      <c r="N506" s="1" t="str">
        <f t="shared" si="50"/>
        <v>Kering</v>
      </c>
      <c r="O506" t="str">
        <f t="shared" si="51"/>
        <v>Fuzzy</v>
      </c>
      <c r="P506" t="str">
        <f t="shared" si="52"/>
        <v>Fuzzy</v>
      </c>
    </row>
    <row r="507" spans="1:16" x14ac:dyDescent="0.35">
      <c r="A507" t="s">
        <v>510</v>
      </c>
      <c r="B507">
        <v>4720</v>
      </c>
      <c r="C507">
        <v>27</v>
      </c>
      <c r="D507">
        <v>67</v>
      </c>
      <c r="E507">
        <v>1014</v>
      </c>
      <c r="F507">
        <v>3</v>
      </c>
      <c r="K507" s="1">
        <f t="shared" si="53"/>
        <v>1014</v>
      </c>
      <c r="L507" s="1" t="str">
        <f t="shared" si="48"/>
        <v>Normal</v>
      </c>
      <c r="M507" s="2">
        <f t="shared" si="49"/>
        <v>97.213622291021679</v>
      </c>
      <c r="N507" s="1" t="str">
        <f t="shared" si="50"/>
        <v>Basah</v>
      </c>
      <c r="O507" t="str">
        <f t="shared" si="51"/>
        <v>Fuzzy</v>
      </c>
      <c r="P507" t="str">
        <f t="shared" si="52"/>
        <v>Fuzzy</v>
      </c>
    </row>
    <row r="508" spans="1:16" x14ac:dyDescent="0.35">
      <c r="A508" t="s">
        <v>511</v>
      </c>
      <c r="B508">
        <v>4721</v>
      </c>
      <c r="C508">
        <v>27</v>
      </c>
      <c r="D508">
        <v>67</v>
      </c>
      <c r="E508">
        <v>675</v>
      </c>
      <c r="F508">
        <v>3</v>
      </c>
      <c r="K508" s="1">
        <f t="shared" si="53"/>
        <v>675</v>
      </c>
      <c r="L508" s="1" t="str">
        <f t="shared" si="48"/>
        <v>Normal</v>
      </c>
      <c r="M508" s="2">
        <f t="shared" si="49"/>
        <v>93.75</v>
      </c>
      <c r="N508" s="1" t="str">
        <f t="shared" si="50"/>
        <v>Basah</v>
      </c>
      <c r="O508" t="str">
        <f t="shared" si="51"/>
        <v>Fuzzy</v>
      </c>
      <c r="P508" t="str">
        <f t="shared" si="52"/>
        <v>Fuzzy</v>
      </c>
    </row>
    <row r="509" spans="1:16" x14ac:dyDescent="0.35">
      <c r="A509" t="s">
        <v>512</v>
      </c>
      <c r="B509">
        <v>4722</v>
      </c>
      <c r="C509">
        <v>27</v>
      </c>
      <c r="D509">
        <v>69</v>
      </c>
      <c r="E509">
        <v>763</v>
      </c>
      <c r="F509">
        <v>4</v>
      </c>
      <c r="K509" s="1">
        <f t="shared" si="53"/>
        <v>763</v>
      </c>
      <c r="L509" s="1" t="str">
        <f t="shared" si="48"/>
        <v>Normal</v>
      </c>
      <c r="M509" s="2">
        <f t="shared" si="49"/>
        <v>19.504643962848299</v>
      </c>
      <c r="N509" s="1" t="str">
        <f t="shared" si="50"/>
        <v>Kering</v>
      </c>
      <c r="O509" t="str">
        <f t="shared" si="51"/>
        <v>Fuzzy</v>
      </c>
      <c r="P509" t="str">
        <f t="shared" si="52"/>
        <v>Fuzzy</v>
      </c>
    </row>
    <row r="510" spans="1:16" x14ac:dyDescent="0.35">
      <c r="A510" t="s">
        <v>513</v>
      </c>
      <c r="B510">
        <v>4723</v>
      </c>
      <c r="C510">
        <v>27</v>
      </c>
      <c r="D510">
        <v>69</v>
      </c>
      <c r="E510">
        <v>540</v>
      </c>
      <c r="F510">
        <v>4</v>
      </c>
      <c r="K510" s="1">
        <f t="shared" si="53"/>
        <v>540</v>
      </c>
      <c r="L510" s="1" t="str">
        <f t="shared" si="48"/>
        <v>Normal</v>
      </c>
      <c r="M510" s="2">
        <f t="shared" si="49"/>
        <v>60</v>
      </c>
      <c r="N510" s="1" t="str">
        <f t="shared" si="50"/>
        <v>Lembab</v>
      </c>
      <c r="O510" t="str">
        <f t="shared" si="51"/>
        <v>Fuzzy</v>
      </c>
      <c r="P510" t="str">
        <f t="shared" si="52"/>
        <v>Fuzzy</v>
      </c>
    </row>
    <row r="511" spans="1:16" x14ac:dyDescent="0.35">
      <c r="A511" t="s">
        <v>514</v>
      </c>
      <c r="B511">
        <v>4724</v>
      </c>
      <c r="C511">
        <v>27</v>
      </c>
      <c r="D511">
        <v>69</v>
      </c>
      <c r="E511">
        <v>661</v>
      </c>
      <c r="F511">
        <v>3</v>
      </c>
      <c r="K511" s="1">
        <f t="shared" si="53"/>
        <v>661</v>
      </c>
      <c r="L511" s="1" t="str">
        <f t="shared" si="48"/>
        <v>Normal</v>
      </c>
      <c r="M511" s="2">
        <f t="shared" si="49"/>
        <v>90.25</v>
      </c>
      <c r="N511" s="1" t="str">
        <f t="shared" si="50"/>
        <v>Basah</v>
      </c>
      <c r="O511" t="str">
        <f t="shared" si="51"/>
        <v>Fuzzy</v>
      </c>
      <c r="P511" t="str">
        <f t="shared" si="52"/>
        <v>Fuzzy</v>
      </c>
    </row>
    <row r="512" spans="1:16" x14ac:dyDescent="0.35">
      <c r="A512" t="s">
        <v>515</v>
      </c>
      <c r="B512">
        <v>4725</v>
      </c>
      <c r="C512">
        <v>27</v>
      </c>
      <c r="D512">
        <v>68</v>
      </c>
      <c r="E512">
        <v>692</v>
      </c>
      <c r="F512">
        <v>5</v>
      </c>
      <c r="K512" s="1">
        <f t="shared" si="53"/>
        <v>692</v>
      </c>
      <c r="L512" s="1" t="str">
        <f t="shared" si="48"/>
        <v>Normal</v>
      </c>
      <c r="M512" s="2">
        <f t="shared" si="49"/>
        <v>98</v>
      </c>
      <c r="N512" s="1" t="str">
        <f t="shared" si="50"/>
        <v>Basah</v>
      </c>
      <c r="O512" t="str">
        <f t="shared" si="51"/>
        <v>Fuzzy</v>
      </c>
      <c r="P512" t="str">
        <f t="shared" si="52"/>
        <v>Fuzzy</v>
      </c>
    </row>
    <row r="513" spans="1:16" x14ac:dyDescent="0.35">
      <c r="A513" t="s">
        <v>516</v>
      </c>
      <c r="B513">
        <v>4726</v>
      </c>
      <c r="C513">
        <v>27</v>
      </c>
      <c r="D513">
        <v>68</v>
      </c>
      <c r="E513">
        <v>1010</v>
      </c>
      <c r="F513">
        <v>4</v>
      </c>
      <c r="K513" s="1">
        <f t="shared" si="53"/>
        <v>1010</v>
      </c>
      <c r="L513" s="1" t="str">
        <f t="shared" si="48"/>
        <v>Normal</v>
      </c>
      <c r="M513" s="2">
        <f t="shared" si="49"/>
        <v>95.975232198142407</v>
      </c>
      <c r="N513" s="1" t="str">
        <f t="shared" si="50"/>
        <v>Basah</v>
      </c>
      <c r="O513" t="str">
        <f t="shared" si="51"/>
        <v>Fuzzy</v>
      </c>
      <c r="P513" t="str">
        <f t="shared" si="52"/>
        <v>Fuzzy</v>
      </c>
    </row>
    <row r="514" spans="1:16" x14ac:dyDescent="0.35">
      <c r="A514" t="s">
        <v>517</v>
      </c>
      <c r="B514">
        <v>4727</v>
      </c>
      <c r="C514">
        <v>27</v>
      </c>
      <c r="D514">
        <v>68</v>
      </c>
      <c r="E514">
        <v>746</v>
      </c>
      <c r="F514">
        <v>4</v>
      </c>
      <c r="K514" s="1">
        <f t="shared" si="53"/>
        <v>746</v>
      </c>
      <c r="L514" s="1" t="str">
        <f t="shared" si="48"/>
        <v>Normal</v>
      </c>
      <c r="M514" s="2">
        <f t="shared" si="49"/>
        <v>14.241486068111456</v>
      </c>
      <c r="N514" s="1" t="str">
        <f t="shared" si="50"/>
        <v>Kering</v>
      </c>
      <c r="O514" t="str">
        <f t="shared" si="51"/>
        <v>Fuzzy</v>
      </c>
      <c r="P514" t="str">
        <f t="shared" si="52"/>
        <v>Fuzzy</v>
      </c>
    </row>
    <row r="515" spans="1:16" x14ac:dyDescent="0.35">
      <c r="A515" t="s">
        <v>518</v>
      </c>
      <c r="B515">
        <v>4728</v>
      </c>
      <c r="C515">
        <v>27</v>
      </c>
      <c r="D515">
        <v>69</v>
      </c>
      <c r="E515">
        <v>713</v>
      </c>
      <c r="F515">
        <v>4</v>
      </c>
      <c r="K515" s="1">
        <f t="shared" si="53"/>
        <v>713</v>
      </c>
      <c r="L515" s="1" t="str">
        <f t="shared" ref="L515:L578" si="54">IF(A514 &lt;= 10, "Dingin", IF(OR(A514 &gt;= 10, A514 &lt; 35), "Normal", "Panas"))</f>
        <v>Normal</v>
      </c>
      <c r="M515" s="2">
        <f t="shared" ref="M515:M578" si="55">IF(K515&lt;=300, K515/1023*100, IF(K515&lt;=700, (K515-300)/(700-301+1)*100, (K515-700)/(1023-701+1)*100))</f>
        <v>4.0247678018575854</v>
      </c>
      <c r="N515" s="1" t="str">
        <f t="shared" ref="N515:N578" si="56">IF(M515&lt;=29.32, "Kering", IF(M515&lt;=68.53, "Lembab", "Basah"))</f>
        <v>Kering</v>
      </c>
      <c r="O515" t="str">
        <f t="shared" ref="O515:O578" si="57">IF(OR(AND(C515 &gt; 10, C515 &lt; 22.5), AND(C515 &gt;= 22.5, C515 &lt; 35)), "Fuzzy", "")</f>
        <v>Fuzzy</v>
      </c>
      <c r="P515" t="str">
        <f t="shared" ref="P515:P578" si="58">IF(OR(AND(M515 &gt;= 0, M515 &lt; 50), AND(M515 &gt;= 50, M515 &lt; 100)), "Fuzzy", "")</f>
        <v>Fuzzy</v>
      </c>
    </row>
    <row r="516" spans="1:16" x14ac:dyDescent="0.35">
      <c r="A516" t="s">
        <v>519</v>
      </c>
      <c r="B516">
        <v>4729</v>
      </c>
      <c r="C516">
        <v>27</v>
      </c>
      <c r="D516">
        <v>69</v>
      </c>
      <c r="E516">
        <v>750</v>
      </c>
      <c r="F516">
        <v>4</v>
      </c>
      <c r="K516" s="1">
        <f t="shared" si="53"/>
        <v>750</v>
      </c>
      <c r="L516" s="1" t="str">
        <f t="shared" si="54"/>
        <v>Normal</v>
      </c>
      <c r="M516" s="2">
        <f t="shared" si="55"/>
        <v>15.479876160990713</v>
      </c>
      <c r="N516" s="1" t="str">
        <f t="shared" si="56"/>
        <v>Kering</v>
      </c>
      <c r="O516" t="str">
        <f t="shared" si="57"/>
        <v>Fuzzy</v>
      </c>
      <c r="P516" t="str">
        <f t="shared" si="58"/>
        <v>Fuzzy</v>
      </c>
    </row>
    <row r="517" spans="1:16" x14ac:dyDescent="0.35">
      <c r="A517" t="s">
        <v>520</v>
      </c>
      <c r="B517">
        <v>4730</v>
      </c>
      <c r="C517">
        <v>27</v>
      </c>
      <c r="D517">
        <v>69</v>
      </c>
      <c r="E517">
        <v>693</v>
      </c>
      <c r="F517">
        <v>4</v>
      </c>
      <c r="K517" s="1">
        <f t="shared" si="53"/>
        <v>693</v>
      </c>
      <c r="L517" s="1" t="str">
        <f t="shared" si="54"/>
        <v>Normal</v>
      </c>
      <c r="M517" s="2">
        <f t="shared" si="55"/>
        <v>98.25</v>
      </c>
      <c r="N517" s="1" t="str">
        <f t="shared" si="56"/>
        <v>Basah</v>
      </c>
      <c r="O517" t="str">
        <f t="shared" si="57"/>
        <v>Fuzzy</v>
      </c>
      <c r="P517" t="str">
        <f t="shared" si="58"/>
        <v>Fuzzy</v>
      </c>
    </row>
    <row r="518" spans="1:16" x14ac:dyDescent="0.35">
      <c r="A518" t="s">
        <v>521</v>
      </c>
      <c r="B518">
        <v>4731</v>
      </c>
      <c r="C518">
        <v>27</v>
      </c>
      <c r="D518">
        <v>70</v>
      </c>
      <c r="E518">
        <v>737</v>
      </c>
      <c r="F518">
        <v>4</v>
      </c>
      <c r="K518" s="1">
        <f t="shared" si="53"/>
        <v>737</v>
      </c>
      <c r="L518" s="1" t="str">
        <f t="shared" si="54"/>
        <v>Normal</v>
      </c>
      <c r="M518" s="2">
        <f t="shared" si="55"/>
        <v>11.455108359133128</v>
      </c>
      <c r="N518" s="1" t="str">
        <f t="shared" si="56"/>
        <v>Kering</v>
      </c>
      <c r="O518" t="str">
        <f t="shared" si="57"/>
        <v>Fuzzy</v>
      </c>
      <c r="P518" t="str">
        <f t="shared" si="58"/>
        <v>Fuzzy</v>
      </c>
    </row>
    <row r="519" spans="1:16" x14ac:dyDescent="0.35">
      <c r="A519" t="s">
        <v>522</v>
      </c>
      <c r="B519">
        <v>4732</v>
      </c>
      <c r="C519">
        <v>27</v>
      </c>
      <c r="D519">
        <v>72</v>
      </c>
      <c r="E519">
        <v>706</v>
      </c>
      <c r="F519">
        <v>4</v>
      </c>
      <c r="K519" s="1">
        <f t="shared" si="53"/>
        <v>706</v>
      </c>
      <c r="L519" s="1" t="str">
        <f t="shared" si="54"/>
        <v>Normal</v>
      </c>
      <c r="M519" s="2">
        <f t="shared" si="55"/>
        <v>1.8575851393188854</v>
      </c>
      <c r="N519" s="1" t="str">
        <f t="shared" si="56"/>
        <v>Kering</v>
      </c>
      <c r="O519" t="str">
        <f t="shared" si="57"/>
        <v>Fuzzy</v>
      </c>
      <c r="P519" t="str">
        <f t="shared" si="58"/>
        <v>Fuzzy</v>
      </c>
    </row>
    <row r="520" spans="1:16" x14ac:dyDescent="0.35">
      <c r="A520" t="s">
        <v>523</v>
      </c>
      <c r="B520">
        <v>4733</v>
      </c>
      <c r="C520">
        <v>27</v>
      </c>
      <c r="D520">
        <v>69</v>
      </c>
      <c r="E520">
        <v>746</v>
      </c>
      <c r="F520">
        <v>4</v>
      </c>
      <c r="K520" s="1">
        <f t="shared" si="53"/>
        <v>746</v>
      </c>
      <c r="L520" s="1" t="str">
        <f t="shared" si="54"/>
        <v>Normal</v>
      </c>
      <c r="M520" s="2">
        <f t="shared" si="55"/>
        <v>14.241486068111456</v>
      </c>
      <c r="N520" s="1" t="str">
        <f t="shared" si="56"/>
        <v>Kering</v>
      </c>
      <c r="O520" t="str">
        <f t="shared" si="57"/>
        <v>Fuzzy</v>
      </c>
      <c r="P520" t="str">
        <f t="shared" si="58"/>
        <v>Fuzzy</v>
      </c>
    </row>
    <row r="521" spans="1:16" x14ac:dyDescent="0.35">
      <c r="A521" t="s">
        <v>524</v>
      </c>
      <c r="B521">
        <v>4734</v>
      </c>
      <c r="C521">
        <v>27</v>
      </c>
      <c r="D521">
        <v>66</v>
      </c>
      <c r="E521">
        <v>750</v>
      </c>
      <c r="F521">
        <v>4</v>
      </c>
      <c r="K521" s="1">
        <f t="shared" si="53"/>
        <v>750</v>
      </c>
      <c r="L521" s="1" t="str">
        <f t="shared" si="54"/>
        <v>Normal</v>
      </c>
      <c r="M521" s="2">
        <f t="shared" si="55"/>
        <v>15.479876160990713</v>
      </c>
      <c r="N521" s="1" t="str">
        <f t="shared" si="56"/>
        <v>Kering</v>
      </c>
      <c r="O521" t="str">
        <f t="shared" si="57"/>
        <v>Fuzzy</v>
      </c>
      <c r="P521" t="str">
        <f t="shared" si="58"/>
        <v>Fuzzy</v>
      </c>
    </row>
    <row r="522" spans="1:16" x14ac:dyDescent="0.35">
      <c r="A522" t="s">
        <v>525</v>
      </c>
      <c r="B522">
        <v>4735</v>
      </c>
      <c r="C522">
        <v>27</v>
      </c>
      <c r="D522">
        <v>64</v>
      </c>
      <c r="E522">
        <v>680</v>
      </c>
      <c r="F522">
        <v>5</v>
      </c>
      <c r="K522" s="1">
        <f t="shared" si="53"/>
        <v>680</v>
      </c>
      <c r="L522" s="1" t="str">
        <f t="shared" si="54"/>
        <v>Normal</v>
      </c>
      <c r="M522" s="2">
        <f t="shared" si="55"/>
        <v>95</v>
      </c>
      <c r="N522" s="1" t="str">
        <f t="shared" si="56"/>
        <v>Basah</v>
      </c>
      <c r="O522" t="str">
        <f t="shared" si="57"/>
        <v>Fuzzy</v>
      </c>
      <c r="P522" t="str">
        <f t="shared" si="58"/>
        <v>Fuzzy</v>
      </c>
    </row>
    <row r="523" spans="1:16" x14ac:dyDescent="0.35">
      <c r="A523" t="s">
        <v>526</v>
      </c>
      <c r="B523">
        <v>4736</v>
      </c>
      <c r="C523">
        <v>27</v>
      </c>
      <c r="D523">
        <v>63</v>
      </c>
      <c r="E523">
        <v>718</v>
      </c>
      <c r="F523">
        <v>3</v>
      </c>
      <c r="K523" s="1">
        <f t="shared" si="53"/>
        <v>718</v>
      </c>
      <c r="L523" s="1" t="str">
        <f t="shared" si="54"/>
        <v>Normal</v>
      </c>
      <c r="M523" s="2">
        <f t="shared" si="55"/>
        <v>5.5727554179566559</v>
      </c>
      <c r="N523" s="1" t="str">
        <f t="shared" si="56"/>
        <v>Kering</v>
      </c>
      <c r="O523" t="str">
        <f t="shared" si="57"/>
        <v>Fuzzy</v>
      </c>
      <c r="P523" t="str">
        <f t="shared" si="58"/>
        <v>Fuzzy</v>
      </c>
    </row>
    <row r="524" spans="1:16" x14ac:dyDescent="0.35">
      <c r="A524" t="s">
        <v>527</v>
      </c>
      <c r="B524">
        <v>4737</v>
      </c>
      <c r="C524">
        <v>27</v>
      </c>
      <c r="D524">
        <v>64</v>
      </c>
      <c r="E524">
        <v>608</v>
      </c>
      <c r="F524">
        <v>3</v>
      </c>
      <c r="K524" s="1">
        <f t="shared" si="53"/>
        <v>608</v>
      </c>
      <c r="L524" s="1" t="str">
        <f t="shared" si="54"/>
        <v>Normal</v>
      </c>
      <c r="M524" s="2">
        <f t="shared" si="55"/>
        <v>77</v>
      </c>
      <c r="N524" s="1" t="str">
        <f t="shared" si="56"/>
        <v>Basah</v>
      </c>
      <c r="O524" t="str">
        <f t="shared" si="57"/>
        <v>Fuzzy</v>
      </c>
      <c r="P524" t="str">
        <f t="shared" si="58"/>
        <v>Fuzzy</v>
      </c>
    </row>
    <row r="525" spans="1:16" x14ac:dyDescent="0.35">
      <c r="A525" t="s">
        <v>528</v>
      </c>
      <c r="B525">
        <v>4738</v>
      </c>
      <c r="C525">
        <v>27</v>
      </c>
      <c r="D525">
        <v>65</v>
      </c>
      <c r="E525">
        <v>684</v>
      </c>
      <c r="F525">
        <v>4</v>
      </c>
      <c r="K525" s="1">
        <f t="shared" ref="K525:K588" si="59">IF(E525&lt;=1023, E525, "")</f>
        <v>684</v>
      </c>
      <c r="L525" s="1" t="str">
        <f t="shared" si="54"/>
        <v>Normal</v>
      </c>
      <c r="M525" s="2">
        <f t="shared" si="55"/>
        <v>96</v>
      </c>
      <c r="N525" s="1" t="str">
        <f t="shared" si="56"/>
        <v>Basah</v>
      </c>
      <c r="O525" t="str">
        <f t="shared" si="57"/>
        <v>Fuzzy</v>
      </c>
      <c r="P525" t="str">
        <f t="shared" si="58"/>
        <v>Fuzzy</v>
      </c>
    </row>
    <row r="526" spans="1:16" x14ac:dyDescent="0.35">
      <c r="A526" t="s">
        <v>529</v>
      </c>
      <c r="B526">
        <v>4739</v>
      </c>
      <c r="C526">
        <v>27</v>
      </c>
      <c r="D526">
        <v>66</v>
      </c>
      <c r="E526">
        <v>708</v>
      </c>
      <c r="F526">
        <v>4</v>
      </c>
      <c r="K526" s="1">
        <f t="shared" si="59"/>
        <v>708</v>
      </c>
      <c r="L526" s="1" t="str">
        <f t="shared" si="54"/>
        <v>Normal</v>
      </c>
      <c r="M526" s="2">
        <f t="shared" si="55"/>
        <v>2.4767801857585141</v>
      </c>
      <c r="N526" s="1" t="str">
        <f t="shared" si="56"/>
        <v>Kering</v>
      </c>
      <c r="O526" t="str">
        <f t="shared" si="57"/>
        <v>Fuzzy</v>
      </c>
      <c r="P526" t="str">
        <f t="shared" si="58"/>
        <v>Fuzzy</v>
      </c>
    </row>
    <row r="527" spans="1:16" x14ac:dyDescent="0.35">
      <c r="A527" t="s">
        <v>530</v>
      </c>
      <c r="B527">
        <v>4740</v>
      </c>
      <c r="C527">
        <v>27</v>
      </c>
      <c r="D527">
        <v>67</v>
      </c>
      <c r="E527">
        <v>721</v>
      </c>
      <c r="F527">
        <v>4</v>
      </c>
      <c r="K527" s="1">
        <f t="shared" si="59"/>
        <v>721</v>
      </c>
      <c r="L527" s="1" t="str">
        <f t="shared" si="54"/>
        <v>Normal</v>
      </c>
      <c r="M527" s="2">
        <f t="shared" si="55"/>
        <v>6.5015479876160995</v>
      </c>
      <c r="N527" s="1" t="str">
        <f t="shared" si="56"/>
        <v>Kering</v>
      </c>
      <c r="O527" t="str">
        <f t="shared" si="57"/>
        <v>Fuzzy</v>
      </c>
      <c r="P527" t="str">
        <f t="shared" si="58"/>
        <v>Fuzzy</v>
      </c>
    </row>
    <row r="528" spans="1:16" x14ac:dyDescent="0.35">
      <c r="A528" t="s">
        <v>531</v>
      </c>
      <c r="B528">
        <v>4741</v>
      </c>
      <c r="C528">
        <v>27</v>
      </c>
      <c r="D528">
        <v>68</v>
      </c>
      <c r="E528">
        <v>717</v>
      </c>
      <c r="F528">
        <v>4</v>
      </c>
      <c r="K528" s="1">
        <f t="shared" si="59"/>
        <v>717</v>
      </c>
      <c r="L528" s="1" t="str">
        <f t="shared" si="54"/>
        <v>Normal</v>
      </c>
      <c r="M528" s="2">
        <f t="shared" si="55"/>
        <v>5.2631578947368416</v>
      </c>
      <c r="N528" s="1" t="str">
        <f t="shared" si="56"/>
        <v>Kering</v>
      </c>
      <c r="O528" t="str">
        <f t="shared" si="57"/>
        <v>Fuzzy</v>
      </c>
      <c r="P528" t="str">
        <f t="shared" si="58"/>
        <v>Fuzzy</v>
      </c>
    </row>
    <row r="529" spans="1:16" x14ac:dyDescent="0.35">
      <c r="A529" t="s">
        <v>532</v>
      </c>
      <c r="B529">
        <v>4742</v>
      </c>
      <c r="C529">
        <v>27</v>
      </c>
      <c r="D529">
        <v>68</v>
      </c>
      <c r="E529">
        <v>756</v>
      </c>
      <c r="F529">
        <v>4</v>
      </c>
      <c r="K529" s="1">
        <f t="shared" si="59"/>
        <v>756</v>
      </c>
      <c r="L529" s="1" t="str">
        <f t="shared" si="54"/>
        <v>Normal</v>
      </c>
      <c r="M529" s="2">
        <f t="shared" si="55"/>
        <v>17.337461300309599</v>
      </c>
      <c r="N529" s="1" t="str">
        <f t="shared" si="56"/>
        <v>Kering</v>
      </c>
      <c r="O529" t="str">
        <f t="shared" si="57"/>
        <v>Fuzzy</v>
      </c>
      <c r="P529" t="str">
        <f t="shared" si="58"/>
        <v>Fuzzy</v>
      </c>
    </row>
    <row r="530" spans="1:16" x14ac:dyDescent="0.35">
      <c r="A530" t="s">
        <v>533</v>
      </c>
      <c r="B530">
        <v>4743</v>
      </c>
      <c r="C530">
        <v>27</v>
      </c>
      <c r="D530">
        <v>68</v>
      </c>
      <c r="E530">
        <v>688</v>
      </c>
      <c r="F530">
        <v>4</v>
      </c>
      <c r="K530" s="1">
        <f t="shared" si="59"/>
        <v>688</v>
      </c>
      <c r="L530" s="1" t="str">
        <f t="shared" si="54"/>
        <v>Normal</v>
      </c>
      <c r="M530" s="2">
        <f t="shared" si="55"/>
        <v>97</v>
      </c>
      <c r="N530" s="1" t="str">
        <f t="shared" si="56"/>
        <v>Basah</v>
      </c>
      <c r="O530" t="str">
        <f t="shared" si="57"/>
        <v>Fuzzy</v>
      </c>
      <c r="P530" t="str">
        <f t="shared" si="58"/>
        <v>Fuzzy</v>
      </c>
    </row>
    <row r="531" spans="1:16" x14ac:dyDescent="0.35">
      <c r="A531" t="s">
        <v>534</v>
      </c>
      <c r="B531">
        <v>4744</v>
      </c>
      <c r="C531">
        <v>27</v>
      </c>
      <c r="D531">
        <v>68</v>
      </c>
      <c r="E531">
        <v>704</v>
      </c>
      <c r="F531">
        <v>3</v>
      </c>
      <c r="K531" s="1">
        <f t="shared" si="59"/>
        <v>704</v>
      </c>
      <c r="L531" s="1" t="str">
        <f t="shared" si="54"/>
        <v>Normal</v>
      </c>
      <c r="M531" s="2">
        <f t="shared" si="55"/>
        <v>1.2383900928792571</v>
      </c>
      <c r="N531" s="1" t="str">
        <f t="shared" si="56"/>
        <v>Kering</v>
      </c>
      <c r="O531" t="str">
        <f t="shared" si="57"/>
        <v>Fuzzy</v>
      </c>
      <c r="P531" t="str">
        <f t="shared" si="58"/>
        <v>Fuzzy</v>
      </c>
    </row>
    <row r="532" spans="1:16" x14ac:dyDescent="0.35">
      <c r="A532" t="s">
        <v>535</v>
      </c>
      <c r="B532">
        <v>4745</v>
      </c>
      <c r="C532">
        <v>27</v>
      </c>
      <c r="D532">
        <v>68</v>
      </c>
      <c r="E532">
        <v>708</v>
      </c>
      <c r="F532">
        <v>4</v>
      </c>
      <c r="K532" s="1">
        <f t="shared" si="59"/>
        <v>708</v>
      </c>
      <c r="L532" s="1" t="str">
        <f t="shared" si="54"/>
        <v>Normal</v>
      </c>
      <c r="M532" s="2">
        <f t="shared" si="55"/>
        <v>2.4767801857585141</v>
      </c>
      <c r="N532" s="1" t="str">
        <f t="shared" si="56"/>
        <v>Kering</v>
      </c>
      <c r="O532" t="str">
        <f t="shared" si="57"/>
        <v>Fuzzy</v>
      </c>
      <c r="P532" t="str">
        <f t="shared" si="58"/>
        <v>Fuzzy</v>
      </c>
    </row>
    <row r="533" spans="1:16" x14ac:dyDescent="0.35">
      <c r="A533" t="s">
        <v>536</v>
      </c>
      <c r="B533">
        <v>4746</v>
      </c>
      <c r="C533">
        <v>27</v>
      </c>
      <c r="D533">
        <v>68</v>
      </c>
      <c r="E533">
        <v>554</v>
      </c>
      <c r="F533">
        <v>3</v>
      </c>
      <c r="K533" s="1">
        <f t="shared" si="59"/>
        <v>554</v>
      </c>
      <c r="L533" s="1" t="str">
        <f t="shared" si="54"/>
        <v>Normal</v>
      </c>
      <c r="M533" s="2">
        <f t="shared" si="55"/>
        <v>63.5</v>
      </c>
      <c r="N533" s="1" t="str">
        <f t="shared" si="56"/>
        <v>Lembab</v>
      </c>
      <c r="O533" t="str">
        <f t="shared" si="57"/>
        <v>Fuzzy</v>
      </c>
      <c r="P533" t="str">
        <f t="shared" si="58"/>
        <v>Fuzzy</v>
      </c>
    </row>
    <row r="534" spans="1:16" x14ac:dyDescent="0.35">
      <c r="A534" t="s">
        <v>537</v>
      </c>
      <c r="B534">
        <v>4747</v>
      </c>
      <c r="C534">
        <v>28</v>
      </c>
      <c r="D534">
        <v>70</v>
      </c>
      <c r="E534">
        <v>644</v>
      </c>
      <c r="F534">
        <v>4</v>
      </c>
      <c r="K534" s="1">
        <f t="shared" si="59"/>
        <v>644</v>
      </c>
      <c r="L534" s="1" t="str">
        <f t="shared" si="54"/>
        <v>Normal</v>
      </c>
      <c r="M534" s="2">
        <f t="shared" si="55"/>
        <v>86</v>
      </c>
      <c r="N534" s="1" t="str">
        <f t="shared" si="56"/>
        <v>Basah</v>
      </c>
      <c r="O534" t="str">
        <f t="shared" si="57"/>
        <v>Fuzzy</v>
      </c>
      <c r="P534" t="str">
        <f t="shared" si="58"/>
        <v>Fuzzy</v>
      </c>
    </row>
    <row r="535" spans="1:16" x14ac:dyDescent="0.35">
      <c r="A535" t="s">
        <v>538</v>
      </c>
      <c r="B535">
        <v>4748</v>
      </c>
      <c r="C535">
        <v>28</v>
      </c>
      <c r="D535">
        <v>70</v>
      </c>
      <c r="E535">
        <v>703</v>
      </c>
      <c r="F535">
        <v>3</v>
      </c>
      <c r="K535" s="1">
        <f t="shared" si="59"/>
        <v>703</v>
      </c>
      <c r="L535" s="1" t="str">
        <f t="shared" si="54"/>
        <v>Normal</v>
      </c>
      <c r="M535" s="2">
        <f t="shared" si="55"/>
        <v>0.92879256965944268</v>
      </c>
      <c r="N535" s="1" t="str">
        <f t="shared" si="56"/>
        <v>Kering</v>
      </c>
      <c r="O535" t="str">
        <f t="shared" si="57"/>
        <v>Fuzzy</v>
      </c>
      <c r="P535" t="str">
        <f t="shared" si="58"/>
        <v>Fuzzy</v>
      </c>
    </row>
    <row r="536" spans="1:16" x14ac:dyDescent="0.35">
      <c r="A536" t="s">
        <v>539</v>
      </c>
      <c r="B536">
        <v>4749</v>
      </c>
      <c r="C536">
        <v>28</v>
      </c>
      <c r="D536">
        <v>70</v>
      </c>
      <c r="E536">
        <v>709</v>
      </c>
      <c r="F536">
        <v>4</v>
      </c>
      <c r="K536" s="1">
        <f t="shared" si="59"/>
        <v>709</v>
      </c>
      <c r="L536" s="1" t="str">
        <f t="shared" si="54"/>
        <v>Normal</v>
      </c>
      <c r="M536" s="2">
        <f t="shared" si="55"/>
        <v>2.7863777089783279</v>
      </c>
      <c r="N536" s="1" t="str">
        <f t="shared" si="56"/>
        <v>Kering</v>
      </c>
      <c r="O536" t="str">
        <f t="shared" si="57"/>
        <v>Fuzzy</v>
      </c>
      <c r="P536" t="str">
        <f t="shared" si="58"/>
        <v>Fuzzy</v>
      </c>
    </row>
    <row r="537" spans="1:16" x14ac:dyDescent="0.35">
      <c r="A537" t="s">
        <v>540</v>
      </c>
      <c r="B537">
        <v>4750</v>
      </c>
      <c r="C537">
        <v>28</v>
      </c>
      <c r="D537">
        <v>70</v>
      </c>
      <c r="E537">
        <v>724</v>
      </c>
      <c r="F537">
        <v>3</v>
      </c>
      <c r="K537" s="1">
        <f t="shared" si="59"/>
        <v>724</v>
      </c>
      <c r="L537" s="1" t="str">
        <f t="shared" si="54"/>
        <v>Normal</v>
      </c>
      <c r="M537" s="2">
        <f t="shared" si="55"/>
        <v>7.4303405572755414</v>
      </c>
      <c r="N537" s="1" t="str">
        <f t="shared" si="56"/>
        <v>Kering</v>
      </c>
      <c r="O537" t="str">
        <f t="shared" si="57"/>
        <v>Fuzzy</v>
      </c>
      <c r="P537" t="str">
        <f t="shared" si="58"/>
        <v>Fuzzy</v>
      </c>
    </row>
    <row r="538" spans="1:16" x14ac:dyDescent="0.35">
      <c r="A538" t="s">
        <v>541</v>
      </c>
      <c r="B538">
        <v>4751</v>
      </c>
      <c r="C538">
        <v>28</v>
      </c>
      <c r="D538">
        <v>70</v>
      </c>
      <c r="E538">
        <v>815</v>
      </c>
      <c r="F538">
        <v>4</v>
      </c>
      <c r="K538" s="1">
        <f t="shared" si="59"/>
        <v>815</v>
      </c>
      <c r="L538" s="1" t="str">
        <f t="shared" si="54"/>
        <v>Normal</v>
      </c>
      <c r="M538" s="2">
        <f t="shared" si="55"/>
        <v>35.60371517027864</v>
      </c>
      <c r="N538" s="1" t="str">
        <f t="shared" si="56"/>
        <v>Lembab</v>
      </c>
      <c r="O538" t="str">
        <f t="shared" si="57"/>
        <v>Fuzzy</v>
      </c>
      <c r="P538" t="str">
        <f t="shared" si="58"/>
        <v>Fuzzy</v>
      </c>
    </row>
    <row r="539" spans="1:16" x14ac:dyDescent="0.35">
      <c r="A539" t="s">
        <v>542</v>
      </c>
      <c r="B539">
        <v>4752</v>
      </c>
      <c r="C539">
        <v>27</v>
      </c>
      <c r="D539">
        <v>69</v>
      </c>
      <c r="E539">
        <v>731</v>
      </c>
      <c r="F539">
        <v>4</v>
      </c>
      <c r="K539" s="1">
        <f t="shared" si="59"/>
        <v>731</v>
      </c>
      <c r="L539" s="1" t="str">
        <f t="shared" si="54"/>
        <v>Normal</v>
      </c>
      <c r="M539" s="2">
        <f t="shared" si="55"/>
        <v>9.5975232198142422</v>
      </c>
      <c r="N539" s="1" t="str">
        <f t="shared" si="56"/>
        <v>Kering</v>
      </c>
      <c r="O539" t="str">
        <f t="shared" si="57"/>
        <v>Fuzzy</v>
      </c>
      <c r="P539" t="str">
        <f t="shared" si="58"/>
        <v>Fuzzy</v>
      </c>
    </row>
    <row r="540" spans="1:16" x14ac:dyDescent="0.35">
      <c r="A540" t="s">
        <v>543</v>
      </c>
      <c r="B540">
        <v>4753</v>
      </c>
      <c r="C540">
        <v>27</v>
      </c>
      <c r="D540">
        <v>70</v>
      </c>
      <c r="E540">
        <v>737</v>
      </c>
      <c r="F540">
        <v>3</v>
      </c>
      <c r="K540" s="1">
        <f t="shared" si="59"/>
        <v>737</v>
      </c>
      <c r="L540" s="1" t="str">
        <f t="shared" si="54"/>
        <v>Normal</v>
      </c>
      <c r="M540" s="2">
        <f t="shared" si="55"/>
        <v>11.455108359133128</v>
      </c>
      <c r="N540" s="1" t="str">
        <f t="shared" si="56"/>
        <v>Kering</v>
      </c>
      <c r="O540" t="str">
        <f t="shared" si="57"/>
        <v>Fuzzy</v>
      </c>
      <c r="P540" t="str">
        <f t="shared" si="58"/>
        <v>Fuzzy</v>
      </c>
    </row>
    <row r="541" spans="1:16" x14ac:dyDescent="0.35">
      <c r="A541" t="s">
        <v>544</v>
      </c>
      <c r="B541">
        <v>4754</v>
      </c>
      <c r="C541">
        <v>28</v>
      </c>
      <c r="D541">
        <v>71</v>
      </c>
      <c r="E541">
        <v>713</v>
      </c>
      <c r="F541">
        <v>4</v>
      </c>
      <c r="K541" s="1">
        <f t="shared" si="59"/>
        <v>713</v>
      </c>
      <c r="L541" s="1" t="str">
        <f t="shared" si="54"/>
        <v>Normal</v>
      </c>
      <c r="M541" s="2">
        <f t="shared" si="55"/>
        <v>4.0247678018575854</v>
      </c>
      <c r="N541" s="1" t="str">
        <f t="shared" si="56"/>
        <v>Kering</v>
      </c>
      <c r="O541" t="str">
        <f t="shared" si="57"/>
        <v>Fuzzy</v>
      </c>
      <c r="P541" t="str">
        <f t="shared" si="58"/>
        <v>Fuzzy</v>
      </c>
    </row>
    <row r="542" spans="1:16" x14ac:dyDescent="0.35">
      <c r="A542" t="s">
        <v>545</v>
      </c>
      <c r="B542">
        <v>4755</v>
      </c>
      <c r="C542">
        <v>28</v>
      </c>
      <c r="D542">
        <v>71</v>
      </c>
      <c r="E542">
        <v>680</v>
      </c>
      <c r="F542">
        <v>3</v>
      </c>
      <c r="K542" s="1">
        <f t="shared" si="59"/>
        <v>680</v>
      </c>
      <c r="L542" s="1" t="str">
        <f t="shared" si="54"/>
        <v>Normal</v>
      </c>
      <c r="M542" s="2">
        <f t="shared" si="55"/>
        <v>95</v>
      </c>
      <c r="N542" s="1" t="str">
        <f t="shared" si="56"/>
        <v>Basah</v>
      </c>
      <c r="O542" t="str">
        <f t="shared" si="57"/>
        <v>Fuzzy</v>
      </c>
      <c r="P542" t="str">
        <f t="shared" si="58"/>
        <v>Fuzzy</v>
      </c>
    </row>
    <row r="543" spans="1:16" x14ac:dyDescent="0.35">
      <c r="A543" t="s">
        <v>546</v>
      </c>
      <c r="B543">
        <v>4756</v>
      </c>
      <c r="C543">
        <v>28</v>
      </c>
      <c r="D543">
        <v>71</v>
      </c>
      <c r="E543">
        <v>713</v>
      </c>
      <c r="F543">
        <v>4</v>
      </c>
      <c r="K543" s="1">
        <f t="shared" si="59"/>
        <v>713</v>
      </c>
      <c r="L543" s="1" t="str">
        <f t="shared" si="54"/>
        <v>Normal</v>
      </c>
      <c r="M543" s="2">
        <f t="shared" si="55"/>
        <v>4.0247678018575854</v>
      </c>
      <c r="N543" s="1" t="str">
        <f t="shared" si="56"/>
        <v>Kering</v>
      </c>
      <c r="O543" t="str">
        <f t="shared" si="57"/>
        <v>Fuzzy</v>
      </c>
      <c r="P543" t="str">
        <f t="shared" si="58"/>
        <v>Fuzzy</v>
      </c>
    </row>
    <row r="544" spans="1:16" x14ac:dyDescent="0.35">
      <c r="A544" t="s">
        <v>547</v>
      </c>
      <c r="B544">
        <v>4757</v>
      </c>
      <c r="C544">
        <v>28</v>
      </c>
      <c r="D544">
        <v>74</v>
      </c>
      <c r="E544">
        <v>755</v>
      </c>
      <c r="F544">
        <v>3</v>
      </c>
      <c r="K544" s="1">
        <f t="shared" si="59"/>
        <v>755</v>
      </c>
      <c r="L544" s="1" t="str">
        <f t="shared" si="54"/>
        <v>Normal</v>
      </c>
      <c r="M544" s="2">
        <f t="shared" si="55"/>
        <v>17.027863777089784</v>
      </c>
      <c r="N544" s="1" t="str">
        <f t="shared" si="56"/>
        <v>Kering</v>
      </c>
      <c r="O544" t="str">
        <f t="shared" si="57"/>
        <v>Fuzzy</v>
      </c>
      <c r="P544" t="str">
        <f t="shared" si="58"/>
        <v>Fuzzy</v>
      </c>
    </row>
    <row r="545" spans="1:16" x14ac:dyDescent="0.35">
      <c r="A545" t="s">
        <v>548</v>
      </c>
      <c r="B545">
        <v>4758</v>
      </c>
      <c r="C545">
        <v>28</v>
      </c>
      <c r="D545">
        <v>74</v>
      </c>
      <c r="E545">
        <v>610</v>
      </c>
      <c r="F545">
        <v>4</v>
      </c>
      <c r="K545" s="1">
        <f t="shared" si="59"/>
        <v>610</v>
      </c>
      <c r="L545" s="1" t="str">
        <f t="shared" si="54"/>
        <v>Normal</v>
      </c>
      <c r="M545" s="2">
        <f t="shared" si="55"/>
        <v>77.5</v>
      </c>
      <c r="N545" s="1" t="str">
        <f t="shared" si="56"/>
        <v>Basah</v>
      </c>
      <c r="O545" t="str">
        <f t="shared" si="57"/>
        <v>Fuzzy</v>
      </c>
      <c r="P545" t="str">
        <f t="shared" si="58"/>
        <v>Fuzzy</v>
      </c>
    </row>
    <row r="546" spans="1:16" x14ac:dyDescent="0.35">
      <c r="A546" t="s">
        <v>549</v>
      </c>
      <c r="B546">
        <v>4759</v>
      </c>
      <c r="C546">
        <v>28</v>
      </c>
      <c r="D546">
        <v>72</v>
      </c>
      <c r="E546">
        <v>659</v>
      </c>
      <c r="F546">
        <v>3</v>
      </c>
      <c r="K546" s="1">
        <f t="shared" si="59"/>
        <v>659</v>
      </c>
      <c r="L546" s="1" t="str">
        <f t="shared" si="54"/>
        <v>Normal</v>
      </c>
      <c r="M546" s="2">
        <f t="shared" si="55"/>
        <v>89.75</v>
      </c>
      <c r="N546" s="1" t="str">
        <f t="shared" si="56"/>
        <v>Basah</v>
      </c>
      <c r="O546" t="str">
        <f t="shared" si="57"/>
        <v>Fuzzy</v>
      </c>
      <c r="P546" t="str">
        <f t="shared" si="58"/>
        <v>Fuzzy</v>
      </c>
    </row>
    <row r="547" spans="1:16" x14ac:dyDescent="0.35">
      <c r="A547" t="s">
        <v>550</v>
      </c>
      <c r="B547">
        <v>4760</v>
      </c>
      <c r="C547">
        <v>28</v>
      </c>
      <c r="D547">
        <v>69</v>
      </c>
      <c r="E547">
        <v>771</v>
      </c>
      <c r="F547">
        <v>4</v>
      </c>
      <c r="K547" s="1">
        <f t="shared" si="59"/>
        <v>771</v>
      </c>
      <c r="L547" s="1" t="str">
        <f t="shared" si="54"/>
        <v>Normal</v>
      </c>
      <c r="M547" s="2">
        <f t="shared" si="55"/>
        <v>21.981424148606813</v>
      </c>
      <c r="N547" s="1" t="str">
        <f t="shared" si="56"/>
        <v>Kering</v>
      </c>
      <c r="O547" t="str">
        <f t="shared" si="57"/>
        <v>Fuzzy</v>
      </c>
      <c r="P547" t="str">
        <f t="shared" si="58"/>
        <v>Fuzzy</v>
      </c>
    </row>
    <row r="548" spans="1:16" x14ac:dyDescent="0.35">
      <c r="A548" t="s">
        <v>551</v>
      </c>
      <c r="B548">
        <v>4761</v>
      </c>
      <c r="C548">
        <v>28</v>
      </c>
      <c r="D548">
        <v>68</v>
      </c>
      <c r="E548">
        <v>729</v>
      </c>
      <c r="F548">
        <v>4</v>
      </c>
      <c r="K548" s="1">
        <f t="shared" si="59"/>
        <v>729</v>
      </c>
      <c r="L548" s="1" t="str">
        <f t="shared" si="54"/>
        <v>Normal</v>
      </c>
      <c r="M548" s="2">
        <f t="shared" si="55"/>
        <v>8.9783281733746119</v>
      </c>
      <c r="N548" s="1" t="str">
        <f t="shared" si="56"/>
        <v>Kering</v>
      </c>
      <c r="O548" t="str">
        <f t="shared" si="57"/>
        <v>Fuzzy</v>
      </c>
      <c r="P548" t="str">
        <f t="shared" si="58"/>
        <v>Fuzzy</v>
      </c>
    </row>
    <row r="549" spans="1:16" x14ac:dyDescent="0.35">
      <c r="A549" t="s">
        <v>552</v>
      </c>
      <c r="B549">
        <v>4762</v>
      </c>
      <c r="C549">
        <v>28</v>
      </c>
      <c r="D549">
        <v>66</v>
      </c>
      <c r="E549">
        <v>752</v>
      </c>
      <c r="F549">
        <v>4</v>
      </c>
      <c r="K549" s="1">
        <f t="shared" si="59"/>
        <v>752</v>
      </c>
      <c r="L549" s="1" t="str">
        <f t="shared" si="54"/>
        <v>Normal</v>
      </c>
      <c r="M549" s="2">
        <f t="shared" si="55"/>
        <v>16.099071207430342</v>
      </c>
      <c r="N549" s="1" t="str">
        <f t="shared" si="56"/>
        <v>Kering</v>
      </c>
      <c r="O549" t="str">
        <f t="shared" si="57"/>
        <v>Fuzzy</v>
      </c>
      <c r="P549" t="str">
        <f t="shared" si="58"/>
        <v>Fuzzy</v>
      </c>
    </row>
    <row r="550" spans="1:16" x14ac:dyDescent="0.35">
      <c r="A550" t="s">
        <v>553</v>
      </c>
      <c r="B550">
        <v>4763</v>
      </c>
      <c r="C550">
        <v>28</v>
      </c>
      <c r="D550">
        <v>65</v>
      </c>
      <c r="E550">
        <v>692</v>
      </c>
      <c r="F550">
        <v>4</v>
      </c>
      <c r="K550" s="1">
        <f t="shared" si="59"/>
        <v>692</v>
      </c>
      <c r="L550" s="1" t="str">
        <f t="shared" si="54"/>
        <v>Normal</v>
      </c>
      <c r="M550" s="2">
        <f t="shared" si="55"/>
        <v>98</v>
      </c>
      <c r="N550" s="1" t="str">
        <f t="shared" si="56"/>
        <v>Basah</v>
      </c>
      <c r="O550" t="str">
        <f t="shared" si="57"/>
        <v>Fuzzy</v>
      </c>
      <c r="P550" t="str">
        <f t="shared" si="58"/>
        <v>Fuzzy</v>
      </c>
    </row>
    <row r="551" spans="1:16" x14ac:dyDescent="0.35">
      <c r="A551" t="s">
        <v>554</v>
      </c>
      <c r="B551">
        <v>4764</v>
      </c>
      <c r="C551">
        <v>28</v>
      </c>
      <c r="D551">
        <v>64</v>
      </c>
      <c r="E551">
        <v>664</v>
      </c>
      <c r="F551">
        <v>4</v>
      </c>
      <c r="K551" s="1">
        <f t="shared" si="59"/>
        <v>664</v>
      </c>
      <c r="L551" s="1" t="str">
        <f t="shared" si="54"/>
        <v>Normal</v>
      </c>
      <c r="M551" s="2">
        <f t="shared" si="55"/>
        <v>91</v>
      </c>
      <c r="N551" s="1" t="str">
        <f t="shared" si="56"/>
        <v>Basah</v>
      </c>
      <c r="O551" t="str">
        <f t="shared" si="57"/>
        <v>Fuzzy</v>
      </c>
      <c r="P551" t="str">
        <f t="shared" si="58"/>
        <v>Fuzzy</v>
      </c>
    </row>
    <row r="552" spans="1:16" x14ac:dyDescent="0.35">
      <c r="A552" t="s">
        <v>555</v>
      </c>
      <c r="B552">
        <v>4765</v>
      </c>
      <c r="C552">
        <v>28</v>
      </c>
      <c r="D552">
        <v>64</v>
      </c>
      <c r="E552">
        <v>737</v>
      </c>
      <c r="F552">
        <v>4</v>
      </c>
      <c r="K552" s="1">
        <f t="shared" si="59"/>
        <v>737</v>
      </c>
      <c r="L552" s="1" t="str">
        <f t="shared" si="54"/>
        <v>Normal</v>
      </c>
      <c r="M552" s="2">
        <f t="shared" si="55"/>
        <v>11.455108359133128</v>
      </c>
      <c r="N552" s="1" t="str">
        <f t="shared" si="56"/>
        <v>Kering</v>
      </c>
      <c r="O552" t="str">
        <f t="shared" si="57"/>
        <v>Fuzzy</v>
      </c>
      <c r="P552" t="str">
        <f t="shared" si="58"/>
        <v>Fuzzy</v>
      </c>
    </row>
    <row r="553" spans="1:16" x14ac:dyDescent="0.35">
      <c r="A553" t="s">
        <v>556</v>
      </c>
      <c r="B553">
        <v>4766</v>
      </c>
      <c r="C553">
        <v>28</v>
      </c>
      <c r="D553">
        <v>65</v>
      </c>
      <c r="E553">
        <v>540</v>
      </c>
      <c r="F553">
        <v>3</v>
      </c>
      <c r="K553" s="1">
        <f t="shared" si="59"/>
        <v>540</v>
      </c>
      <c r="L553" s="1" t="str">
        <f t="shared" si="54"/>
        <v>Normal</v>
      </c>
      <c r="M553" s="2">
        <f t="shared" si="55"/>
        <v>60</v>
      </c>
      <c r="N553" s="1" t="str">
        <f t="shared" si="56"/>
        <v>Lembab</v>
      </c>
      <c r="O553" t="str">
        <f t="shared" si="57"/>
        <v>Fuzzy</v>
      </c>
      <c r="P553" t="str">
        <f t="shared" si="58"/>
        <v>Fuzzy</v>
      </c>
    </row>
    <row r="554" spans="1:16" x14ac:dyDescent="0.35">
      <c r="A554" t="s">
        <v>557</v>
      </c>
      <c r="B554">
        <v>4767</v>
      </c>
      <c r="C554">
        <v>28</v>
      </c>
      <c r="D554">
        <v>66</v>
      </c>
      <c r="E554">
        <v>910</v>
      </c>
      <c r="F554">
        <v>4</v>
      </c>
      <c r="K554" s="1">
        <f t="shared" si="59"/>
        <v>910</v>
      </c>
      <c r="L554" s="1" t="str">
        <f t="shared" si="54"/>
        <v>Normal</v>
      </c>
      <c r="M554" s="2">
        <f t="shared" si="55"/>
        <v>65.015479876160981</v>
      </c>
      <c r="N554" s="1" t="str">
        <f t="shared" si="56"/>
        <v>Lembab</v>
      </c>
      <c r="O554" t="str">
        <f t="shared" si="57"/>
        <v>Fuzzy</v>
      </c>
      <c r="P554" t="str">
        <f t="shared" si="58"/>
        <v>Fuzzy</v>
      </c>
    </row>
    <row r="555" spans="1:16" x14ac:dyDescent="0.35">
      <c r="A555" t="s">
        <v>558</v>
      </c>
      <c r="B555">
        <v>4768</v>
      </c>
      <c r="C555">
        <v>28</v>
      </c>
      <c r="D555">
        <v>68</v>
      </c>
      <c r="E555">
        <v>751</v>
      </c>
      <c r="F555">
        <v>4</v>
      </c>
      <c r="K555" s="1">
        <f t="shared" si="59"/>
        <v>751</v>
      </c>
      <c r="L555" s="1" t="str">
        <f t="shared" si="54"/>
        <v>Normal</v>
      </c>
      <c r="M555" s="2">
        <f t="shared" si="55"/>
        <v>15.789473684210526</v>
      </c>
      <c r="N555" s="1" t="str">
        <f t="shared" si="56"/>
        <v>Kering</v>
      </c>
      <c r="O555" t="str">
        <f t="shared" si="57"/>
        <v>Fuzzy</v>
      </c>
      <c r="P555" t="str">
        <f t="shared" si="58"/>
        <v>Fuzzy</v>
      </c>
    </row>
    <row r="556" spans="1:16" x14ac:dyDescent="0.35">
      <c r="A556" t="s">
        <v>559</v>
      </c>
      <c r="B556">
        <v>4769</v>
      </c>
      <c r="C556">
        <v>28</v>
      </c>
      <c r="D556">
        <v>69</v>
      </c>
      <c r="E556">
        <v>754</v>
      </c>
      <c r="F556">
        <v>4</v>
      </c>
      <c r="K556" s="1">
        <f t="shared" si="59"/>
        <v>754</v>
      </c>
      <c r="L556" s="1" t="str">
        <f t="shared" si="54"/>
        <v>Normal</v>
      </c>
      <c r="M556" s="2">
        <f t="shared" si="55"/>
        <v>16.718266253869967</v>
      </c>
      <c r="N556" s="1" t="str">
        <f t="shared" si="56"/>
        <v>Kering</v>
      </c>
      <c r="O556" t="str">
        <f t="shared" si="57"/>
        <v>Fuzzy</v>
      </c>
      <c r="P556" t="str">
        <f t="shared" si="58"/>
        <v>Fuzzy</v>
      </c>
    </row>
    <row r="557" spans="1:16" x14ac:dyDescent="0.35">
      <c r="A557" t="s">
        <v>560</v>
      </c>
      <c r="B557">
        <v>4770</v>
      </c>
      <c r="C557">
        <v>28</v>
      </c>
      <c r="D557">
        <v>69</v>
      </c>
      <c r="E557">
        <v>761</v>
      </c>
      <c r="F557">
        <v>4</v>
      </c>
      <c r="K557" s="1">
        <f t="shared" si="59"/>
        <v>761</v>
      </c>
      <c r="L557" s="1" t="str">
        <f t="shared" si="54"/>
        <v>Normal</v>
      </c>
      <c r="M557" s="2">
        <f t="shared" si="55"/>
        <v>18.885448916408667</v>
      </c>
      <c r="N557" s="1" t="str">
        <f t="shared" si="56"/>
        <v>Kering</v>
      </c>
      <c r="O557" t="str">
        <f t="shared" si="57"/>
        <v>Fuzzy</v>
      </c>
      <c r="P557" t="str">
        <f t="shared" si="58"/>
        <v>Fuzzy</v>
      </c>
    </row>
    <row r="558" spans="1:16" x14ac:dyDescent="0.35">
      <c r="A558" t="s">
        <v>561</v>
      </c>
      <c r="B558">
        <v>4771</v>
      </c>
      <c r="C558">
        <v>27</v>
      </c>
      <c r="D558">
        <v>69</v>
      </c>
      <c r="E558">
        <v>666</v>
      </c>
      <c r="F558">
        <v>4</v>
      </c>
      <c r="K558" s="1">
        <f t="shared" si="59"/>
        <v>666</v>
      </c>
      <c r="L558" s="1" t="str">
        <f t="shared" si="54"/>
        <v>Normal</v>
      </c>
      <c r="M558" s="2">
        <f t="shared" si="55"/>
        <v>91.5</v>
      </c>
      <c r="N558" s="1" t="str">
        <f t="shared" si="56"/>
        <v>Basah</v>
      </c>
      <c r="O558" t="str">
        <f t="shared" si="57"/>
        <v>Fuzzy</v>
      </c>
      <c r="P558" t="str">
        <f t="shared" si="58"/>
        <v>Fuzzy</v>
      </c>
    </row>
    <row r="559" spans="1:16" x14ac:dyDescent="0.35">
      <c r="A559" t="s">
        <v>562</v>
      </c>
      <c r="B559">
        <v>4772</v>
      </c>
      <c r="C559">
        <v>28</v>
      </c>
      <c r="D559">
        <v>70</v>
      </c>
      <c r="E559">
        <v>736</v>
      </c>
      <c r="F559">
        <v>3</v>
      </c>
      <c r="K559" s="1">
        <f t="shared" si="59"/>
        <v>736</v>
      </c>
      <c r="L559" s="1" t="str">
        <f t="shared" si="54"/>
        <v>Normal</v>
      </c>
      <c r="M559" s="2">
        <f t="shared" si="55"/>
        <v>11.145510835913312</v>
      </c>
      <c r="N559" s="1" t="str">
        <f t="shared" si="56"/>
        <v>Kering</v>
      </c>
      <c r="O559" t="str">
        <f t="shared" si="57"/>
        <v>Fuzzy</v>
      </c>
      <c r="P559" t="str">
        <f t="shared" si="58"/>
        <v>Fuzzy</v>
      </c>
    </row>
    <row r="560" spans="1:16" x14ac:dyDescent="0.35">
      <c r="A560" t="s">
        <v>563</v>
      </c>
      <c r="B560">
        <v>4773</v>
      </c>
      <c r="C560">
        <v>28</v>
      </c>
      <c r="D560">
        <v>70</v>
      </c>
      <c r="E560">
        <v>658</v>
      </c>
      <c r="F560">
        <v>3</v>
      </c>
      <c r="K560" s="1">
        <f t="shared" si="59"/>
        <v>658</v>
      </c>
      <c r="L560" s="1" t="str">
        <f t="shared" si="54"/>
        <v>Normal</v>
      </c>
      <c r="M560" s="2">
        <f t="shared" si="55"/>
        <v>89.5</v>
      </c>
      <c r="N560" s="1" t="str">
        <f t="shared" si="56"/>
        <v>Basah</v>
      </c>
      <c r="O560" t="str">
        <f t="shared" si="57"/>
        <v>Fuzzy</v>
      </c>
      <c r="P560" t="str">
        <f t="shared" si="58"/>
        <v>Fuzzy</v>
      </c>
    </row>
    <row r="561" spans="1:16" x14ac:dyDescent="0.35">
      <c r="A561" t="s">
        <v>564</v>
      </c>
      <c r="B561">
        <v>4774</v>
      </c>
      <c r="C561">
        <v>28</v>
      </c>
      <c r="D561">
        <v>70</v>
      </c>
      <c r="E561">
        <v>747</v>
      </c>
      <c r="F561">
        <v>4</v>
      </c>
      <c r="K561" s="1">
        <f t="shared" si="59"/>
        <v>747</v>
      </c>
      <c r="L561" s="1" t="str">
        <f t="shared" si="54"/>
        <v>Normal</v>
      </c>
      <c r="M561" s="2">
        <f t="shared" si="55"/>
        <v>14.551083591331269</v>
      </c>
      <c r="N561" s="1" t="str">
        <f t="shared" si="56"/>
        <v>Kering</v>
      </c>
      <c r="O561" t="str">
        <f t="shared" si="57"/>
        <v>Fuzzy</v>
      </c>
      <c r="P561" t="str">
        <f t="shared" si="58"/>
        <v>Fuzzy</v>
      </c>
    </row>
    <row r="562" spans="1:16" x14ac:dyDescent="0.35">
      <c r="A562" t="s">
        <v>565</v>
      </c>
      <c r="B562">
        <v>4775</v>
      </c>
      <c r="C562">
        <v>28</v>
      </c>
      <c r="D562">
        <v>70</v>
      </c>
      <c r="E562">
        <v>771</v>
      </c>
      <c r="F562">
        <v>4</v>
      </c>
      <c r="K562" s="1">
        <f t="shared" si="59"/>
        <v>771</v>
      </c>
      <c r="L562" s="1" t="str">
        <f t="shared" si="54"/>
        <v>Normal</v>
      </c>
      <c r="M562" s="2">
        <f t="shared" si="55"/>
        <v>21.981424148606813</v>
      </c>
      <c r="N562" s="1" t="str">
        <f t="shared" si="56"/>
        <v>Kering</v>
      </c>
      <c r="O562" t="str">
        <f t="shared" si="57"/>
        <v>Fuzzy</v>
      </c>
      <c r="P562" t="str">
        <f t="shared" si="58"/>
        <v>Fuzzy</v>
      </c>
    </row>
    <row r="563" spans="1:16" x14ac:dyDescent="0.35">
      <c r="A563" t="s">
        <v>566</v>
      </c>
      <c r="B563">
        <v>4776</v>
      </c>
      <c r="C563">
        <v>28</v>
      </c>
      <c r="D563">
        <v>71</v>
      </c>
      <c r="E563">
        <v>758</v>
      </c>
      <c r="F563">
        <v>4</v>
      </c>
      <c r="K563" s="1">
        <f t="shared" si="59"/>
        <v>758</v>
      </c>
      <c r="L563" s="1" t="str">
        <f t="shared" si="54"/>
        <v>Normal</v>
      </c>
      <c r="M563" s="2">
        <f t="shared" si="55"/>
        <v>17.956656346749224</v>
      </c>
      <c r="N563" s="1" t="str">
        <f t="shared" si="56"/>
        <v>Kering</v>
      </c>
      <c r="O563" t="str">
        <f t="shared" si="57"/>
        <v>Fuzzy</v>
      </c>
      <c r="P563" t="str">
        <f t="shared" si="58"/>
        <v>Fuzzy</v>
      </c>
    </row>
    <row r="564" spans="1:16" x14ac:dyDescent="0.35">
      <c r="A564" t="s">
        <v>567</v>
      </c>
      <c r="B564">
        <v>4777</v>
      </c>
      <c r="C564">
        <v>28</v>
      </c>
      <c r="D564">
        <v>71</v>
      </c>
      <c r="E564">
        <v>710</v>
      </c>
      <c r="F564">
        <v>4</v>
      </c>
      <c r="K564" s="1">
        <f t="shared" si="59"/>
        <v>710</v>
      </c>
      <c r="L564" s="1" t="str">
        <f t="shared" si="54"/>
        <v>Normal</v>
      </c>
      <c r="M564" s="2">
        <f t="shared" si="55"/>
        <v>3.0959752321981426</v>
      </c>
      <c r="N564" s="1" t="str">
        <f t="shared" si="56"/>
        <v>Kering</v>
      </c>
      <c r="O564" t="str">
        <f t="shared" si="57"/>
        <v>Fuzzy</v>
      </c>
      <c r="P564" t="str">
        <f t="shared" si="58"/>
        <v>Fuzzy</v>
      </c>
    </row>
    <row r="565" spans="1:16" x14ac:dyDescent="0.35">
      <c r="A565" t="s">
        <v>568</v>
      </c>
      <c r="B565">
        <v>4778</v>
      </c>
      <c r="C565">
        <v>28</v>
      </c>
      <c r="D565">
        <v>71</v>
      </c>
      <c r="E565">
        <v>544</v>
      </c>
      <c r="F565">
        <v>4</v>
      </c>
      <c r="K565" s="1">
        <f t="shared" si="59"/>
        <v>544</v>
      </c>
      <c r="L565" s="1" t="str">
        <f t="shared" si="54"/>
        <v>Normal</v>
      </c>
      <c r="M565" s="2">
        <f t="shared" si="55"/>
        <v>61</v>
      </c>
      <c r="N565" s="1" t="str">
        <f t="shared" si="56"/>
        <v>Lembab</v>
      </c>
      <c r="O565" t="str">
        <f t="shared" si="57"/>
        <v>Fuzzy</v>
      </c>
      <c r="P565" t="str">
        <f t="shared" si="58"/>
        <v>Fuzzy</v>
      </c>
    </row>
    <row r="566" spans="1:16" x14ac:dyDescent="0.35">
      <c r="A566" t="s">
        <v>569</v>
      </c>
      <c r="B566">
        <v>4779</v>
      </c>
      <c r="C566">
        <v>28</v>
      </c>
      <c r="D566">
        <v>71</v>
      </c>
      <c r="E566">
        <v>783</v>
      </c>
      <c r="F566">
        <v>4</v>
      </c>
      <c r="K566" s="1">
        <f t="shared" si="59"/>
        <v>783</v>
      </c>
      <c r="L566" s="1" t="str">
        <f t="shared" si="54"/>
        <v>Normal</v>
      </c>
      <c r="M566" s="2">
        <f t="shared" si="55"/>
        <v>25.696594427244584</v>
      </c>
      <c r="N566" s="1" t="str">
        <f t="shared" si="56"/>
        <v>Kering</v>
      </c>
      <c r="O566" t="str">
        <f t="shared" si="57"/>
        <v>Fuzzy</v>
      </c>
      <c r="P566" t="str">
        <f t="shared" si="58"/>
        <v>Fuzzy</v>
      </c>
    </row>
    <row r="567" spans="1:16" x14ac:dyDescent="0.35">
      <c r="A567" t="s">
        <v>570</v>
      </c>
      <c r="B567">
        <v>4780</v>
      </c>
      <c r="C567">
        <v>28</v>
      </c>
      <c r="D567">
        <v>71</v>
      </c>
      <c r="E567">
        <v>726</v>
      </c>
      <c r="F567">
        <v>4</v>
      </c>
      <c r="K567" s="1">
        <f t="shared" si="59"/>
        <v>726</v>
      </c>
      <c r="L567" s="1" t="str">
        <f t="shared" si="54"/>
        <v>Normal</v>
      </c>
      <c r="M567" s="2">
        <f t="shared" si="55"/>
        <v>8.0495356037151709</v>
      </c>
      <c r="N567" s="1" t="str">
        <f t="shared" si="56"/>
        <v>Kering</v>
      </c>
      <c r="O567" t="str">
        <f t="shared" si="57"/>
        <v>Fuzzy</v>
      </c>
      <c r="P567" t="str">
        <f t="shared" si="58"/>
        <v>Fuzzy</v>
      </c>
    </row>
    <row r="568" spans="1:16" x14ac:dyDescent="0.35">
      <c r="A568" t="s">
        <v>571</v>
      </c>
      <c r="B568">
        <v>4781</v>
      </c>
      <c r="C568">
        <v>28</v>
      </c>
      <c r="D568">
        <v>72</v>
      </c>
      <c r="E568">
        <v>687</v>
      </c>
      <c r="F568">
        <v>4</v>
      </c>
      <c r="K568" s="1">
        <f t="shared" si="59"/>
        <v>687</v>
      </c>
      <c r="L568" s="1" t="str">
        <f t="shared" si="54"/>
        <v>Normal</v>
      </c>
      <c r="M568" s="2">
        <f t="shared" si="55"/>
        <v>96.75</v>
      </c>
      <c r="N568" s="1" t="str">
        <f t="shared" si="56"/>
        <v>Basah</v>
      </c>
      <c r="O568" t="str">
        <f t="shared" si="57"/>
        <v>Fuzzy</v>
      </c>
      <c r="P568" t="str">
        <f t="shared" si="58"/>
        <v>Fuzzy</v>
      </c>
    </row>
    <row r="569" spans="1:16" x14ac:dyDescent="0.35">
      <c r="A569" t="s">
        <v>572</v>
      </c>
      <c r="B569">
        <v>4782</v>
      </c>
      <c r="C569">
        <v>28</v>
      </c>
      <c r="D569">
        <v>71</v>
      </c>
      <c r="E569">
        <v>551</v>
      </c>
      <c r="F569">
        <v>5</v>
      </c>
      <c r="K569" s="1">
        <f t="shared" si="59"/>
        <v>551</v>
      </c>
      <c r="L569" s="1" t="str">
        <f t="shared" si="54"/>
        <v>Normal</v>
      </c>
      <c r="M569" s="2">
        <f t="shared" si="55"/>
        <v>62.749999999999993</v>
      </c>
      <c r="N569" s="1" t="str">
        <f t="shared" si="56"/>
        <v>Lembab</v>
      </c>
      <c r="O569" t="str">
        <f t="shared" si="57"/>
        <v>Fuzzy</v>
      </c>
      <c r="P569" t="str">
        <f t="shared" si="58"/>
        <v>Fuzzy</v>
      </c>
    </row>
    <row r="570" spans="1:16" x14ac:dyDescent="0.35">
      <c r="A570" t="s">
        <v>573</v>
      </c>
      <c r="B570">
        <v>4783</v>
      </c>
      <c r="C570">
        <v>28</v>
      </c>
      <c r="D570">
        <v>72</v>
      </c>
      <c r="E570">
        <v>753</v>
      </c>
      <c r="F570">
        <v>3</v>
      </c>
      <c r="K570" s="1">
        <f t="shared" si="59"/>
        <v>753</v>
      </c>
      <c r="L570" s="1" t="str">
        <f t="shared" si="54"/>
        <v>Normal</v>
      </c>
      <c r="M570" s="2">
        <f t="shared" si="55"/>
        <v>16.408668730650156</v>
      </c>
      <c r="N570" s="1" t="str">
        <f t="shared" si="56"/>
        <v>Kering</v>
      </c>
      <c r="O570" t="str">
        <f t="shared" si="57"/>
        <v>Fuzzy</v>
      </c>
      <c r="P570" t="str">
        <f t="shared" si="58"/>
        <v>Fuzzy</v>
      </c>
    </row>
    <row r="571" spans="1:16" x14ac:dyDescent="0.35">
      <c r="A571" t="s">
        <v>574</v>
      </c>
      <c r="B571">
        <v>4784</v>
      </c>
      <c r="C571">
        <v>28</v>
      </c>
      <c r="D571">
        <v>72</v>
      </c>
      <c r="E571">
        <v>897</v>
      </c>
      <c r="F571">
        <v>4</v>
      </c>
      <c r="K571" s="1">
        <f t="shared" si="59"/>
        <v>897</v>
      </c>
      <c r="L571" s="1" t="str">
        <f t="shared" si="54"/>
        <v>Normal</v>
      </c>
      <c r="M571" s="2">
        <f t="shared" si="55"/>
        <v>60.99071207430341</v>
      </c>
      <c r="N571" s="1" t="str">
        <f t="shared" si="56"/>
        <v>Lembab</v>
      </c>
      <c r="O571" t="str">
        <f t="shared" si="57"/>
        <v>Fuzzy</v>
      </c>
      <c r="P571" t="str">
        <f t="shared" si="58"/>
        <v>Fuzzy</v>
      </c>
    </row>
    <row r="572" spans="1:16" x14ac:dyDescent="0.35">
      <c r="A572" t="s">
        <v>575</v>
      </c>
      <c r="B572">
        <v>4785</v>
      </c>
      <c r="C572">
        <v>28</v>
      </c>
      <c r="D572">
        <v>73</v>
      </c>
      <c r="E572">
        <v>551</v>
      </c>
      <c r="F572">
        <v>4</v>
      </c>
      <c r="K572" s="1">
        <f t="shared" si="59"/>
        <v>551</v>
      </c>
      <c r="L572" s="1" t="str">
        <f t="shared" si="54"/>
        <v>Normal</v>
      </c>
      <c r="M572" s="2">
        <f t="shared" si="55"/>
        <v>62.749999999999993</v>
      </c>
      <c r="N572" s="1" t="str">
        <f t="shared" si="56"/>
        <v>Lembab</v>
      </c>
      <c r="O572" t="str">
        <f t="shared" si="57"/>
        <v>Fuzzy</v>
      </c>
      <c r="P572" t="str">
        <f t="shared" si="58"/>
        <v>Fuzzy</v>
      </c>
    </row>
    <row r="573" spans="1:16" x14ac:dyDescent="0.35">
      <c r="A573" t="s">
        <v>576</v>
      </c>
      <c r="B573">
        <v>4786</v>
      </c>
      <c r="C573">
        <v>28</v>
      </c>
      <c r="D573">
        <v>74</v>
      </c>
      <c r="E573">
        <v>708</v>
      </c>
      <c r="F573">
        <v>4</v>
      </c>
      <c r="K573" s="1">
        <f t="shared" si="59"/>
        <v>708</v>
      </c>
      <c r="L573" s="1" t="str">
        <f t="shared" si="54"/>
        <v>Normal</v>
      </c>
      <c r="M573" s="2">
        <f t="shared" si="55"/>
        <v>2.4767801857585141</v>
      </c>
      <c r="N573" s="1" t="str">
        <f t="shared" si="56"/>
        <v>Kering</v>
      </c>
      <c r="O573" t="str">
        <f t="shared" si="57"/>
        <v>Fuzzy</v>
      </c>
      <c r="P573" t="str">
        <f t="shared" si="58"/>
        <v>Fuzzy</v>
      </c>
    </row>
    <row r="574" spans="1:16" x14ac:dyDescent="0.35">
      <c r="A574" t="s">
        <v>577</v>
      </c>
      <c r="B574">
        <v>4787</v>
      </c>
      <c r="C574">
        <v>28</v>
      </c>
      <c r="D574">
        <v>72</v>
      </c>
      <c r="E574">
        <v>805</v>
      </c>
      <c r="F574">
        <v>4</v>
      </c>
      <c r="K574" s="1">
        <f t="shared" si="59"/>
        <v>805</v>
      </c>
      <c r="L574" s="1" t="str">
        <f t="shared" si="54"/>
        <v>Normal</v>
      </c>
      <c r="M574" s="2">
        <f t="shared" si="55"/>
        <v>32.507739938080491</v>
      </c>
      <c r="N574" s="1" t="str">
        <f t="shared" si="56"/>
        <v>Lembab</v>
      </c>
      <c r="O574" t="str">
        <f t="shared" si="57"/>
        <v>Fuzzy</v>
      </c>
      <c r="P574" t="str">
        <f t="shared" si="58"/>
        <v>Fuzzy</v>
      </c>
    </row>
    <row r="575" spans="1:16" x14ac:dyDescent="0.35">
      <c r="A575" t="s">
        <v>578</v>
      </c>
      <c r="B575">
        <v>4788</v>
      </c>
      <c r="C575">
        <v>28</v>
      </c>
      <c r="D575">
        <v>70</v>
      </c>
      <c r="E575">
        <v>755</v>
      </c>
      <c r="F575">
        <v>4</v>
      </c>
      <c r="K575" s="1">
        <f t="shared" si="59"/>
        <v>755</v>
      </c>
      <c r="L575" s="1" t="str">
        <f t="shared" si="54"/>
        <v>Normal</v>
      </c>
      <c r="M575" s="2">
        <f t="shared" si="55"/>
        <v>17.027863777089784</v>
      </c>
      <c r="N575" s="1" t="str">
        <f t="shared" si="56"/>
        <v>Kering</v>
      </c>
      <c r="O575" t="str">
        <f t="shared" si="57"/>
        <v>Fuzzy</v>
      </c>
      <c r="P575" t="str">
        <f t="shared" si="58"/>
        <v>Fuzzy</v>
      </c>
    </row>
    <row r="576" spans="1:16" x14ac:dyDescent="0.35">
      <c r="A576" t="s">
        <v>579</v>
      </c>
      <c r="B576">
        <v>4789</v>
      </c>
      <c r="C576">
        <v>28</v>
      </c>
      <c r="D576">
        <v>69</v>
      </c>
      <c r="E576">
        <v>754</v>
      </c>
      <c r="F576">
        <v>5</v>
      </c>
      <c r="K576" s="1">
        <f t="shared" si="59"/>
        <v>754</v>
      </c>
      <c r="L576" s="1" t="str">
        <f t="shared" si="54"/>
        <v>Normal</v>
      </c>
      <c r="M576" s="2">
        <f t="shared" si="55"/>
        <v>16.718266253869967</v>
      </c>
      <c r="N576" s="1" t="str">
        <f t="shared" si="56"/>
        <v>Kering</v>
      </c>
      <c r="O576" t="str">
        <f t="shared" si="57"/>
        <v>Fuzzy</v>
      </c>
      <c r="P576" t="str">
        <f t="shared" si="58"/>
        <v>Fuzzy</v>
      </c>
    </row>
    <row r="577" spans="1:16" x14ac:dyDescent="0.35">
      <c r="A577" t="s">
        <v>580</v>
      </c>
      <c r="B577">
        <v>4790</v>
      </c>
      <c r="C577">
        <v>28</v>
      </c>
      <c r="D577">
        <v>67</v>
      </c>
      <c r="E577">
        <v>733</v>
      </c>
      <c r="F577">
        <v>4</v>
      </c>
      <c r="K577" s="1">
        <f t="shared" si="59"/>
        <v>733</v>
      </c>
      <c r="L577" s="1" t="str">
        <f t="shared" si="54"/>
        <v>Normal</v>
      </c>
      <c r="M577" s="2">
        <f t="shared" si="55"/>
        <v>10.216718266253871</v>
      </c>
      <c r="N577" s="1" t="str">
        <f t="shared" si="56"/>
        <v>Kering</v>
      </c>
      <c r="O577" t="str">
        <f t="shared" si="57"/>
        <v>Fuzzy</v>
      </c>
      <c r="P577" t="str">
        <f t="shared" si="58"/>
        <v>Fuzzy</v>
      </c>
    </row>
    <row r="578" spans="1:16" x14ac:dyDescent="0.35">
      <c r="A578" t="s">
        <v>581</v>
      </c>
      <c r="B578">
        <v>4791</v>
      </c>
      <c r="C578">
        <v>28</v>
      </c>
      <c r="D578">
        <v>66</v>
      </c>
      <c r="E578">
        <v>713</v>
      </c>
      <c r="F578">
        <v>4</v>
      </c>
      <c r="K578" s="1">
        <f t="shared" si="59"/>
        <v>713</v>
      </c>
      <c r="L578" s="1" t="str">
        <f t="shared" si="54"/>
        <v>Normal</v>
      </c>
      <c r="M578" s="2">
        <f t="shared" si="55"/>
        <v>4.0247678018575854</v>
      </c>
      <c r="N578" s="1" t="str">
        <f t="shared" si="56"/>
        <v>Kering</v>
      </c>
      <c r="O578" t="str">
        <f t="shared" si="57"/>
        <v>Fuzzy</v>
      </c>
      <c r="P578" t="str">
        <f t="shared" si="58"/>
        <v>Fuzzy</v>
      </c>
    </row>
    <row r="579" spans="1:16" x14ac:dyDescent="0.35">
      <c r="A579" t="s">
        <v>582</v>
      </c>
      <c r="B579">
        <v>4792</v>
      </c>
      <c r="C579">
        <v>28</v>
      </c>
      <c r="D579">
        <v>66</v>
      </c>
      <c r="E579">
        <v>774</v>
      </c>
      <c r="F579">
        <v>4</v>
      </c>
      <c r="K579" s="1">
        <f t="shared" si="59"/>
        <v>774</v>
      </c>
      <c r="L579" s="1" t="str">
        <f t="shared" ref="L579:L642" si="60">IF(A578 &lt;= 10, "Dingin", IF(OR(A578 &gt;= 10, A578 &lt; 35), "Normal", "Panas"))</f>
        <v>Normal</v>
      </c>
      <c r="M579" s="2">
        <f t="shared" ref="M579:M642" si="61">IF(K579&lt;=300, K579/1023*100, IF(K579&lt;=700, (K579-300)/(700-301+1)*100, (K579-700)/(1023-701+1)*100))</f>
        <v>22.910216718266255</v>
      </c>
      <c r="N579" s="1" t="str">
        <f t="shared" ref="N579:N642" si="62">IF(M579&lt;=29.32, "Kering", IF(M579&lt;=68.53, "Lembab", "Basah"))</f>
        <v>Kering</v>
      </c>
      <c r="O579" t="str">
        <f t="shared" ref="O579:O642" si="63">IF(OR(AND(C579 &gt; 10, C579 &lt; 22.5), AND(C579 &gt;= 22.5, C579 &lt; 35)), "Fuzzy", "")</f>
        <v>Fuzzy</v>
      </c>
      <c r="P579" t="str">
        <f t="shared" ref="P579:P642" si="64">IF(OR(AND(M579 &gt;= 0, M579 &lt; 50), AND(M579 &gt;= 50, M579 &lt; 100)), "Fuzzy", "")</f>
        <v>Fuzzy</v>
      </c>
    </row>
    <row r="580" spans="1:16" x14ac:dyDescent="0.35">
      <c r="A580" t="s">
        <v>583</v>
      </c>
      <c r="B580">
        <v>4793</v>
      </c>
      <c r="C580">
        <v>28</v>
      </c>
      <c r="D580">
        <v>65</v>
      </c>
      <c r="E580">
        <v>714</v>
      </c>
      <c r="F580">
        <v>4</v>
      </c>
      <c r="K580" s="1">
        <f t="shared" si="59"/>
        <v>714</v>
      </c>
      <c r="L580" s="1" t="str">
        <f t="shared" si="60"/>
        <v>Normal</v>
      </c>
      <c r="M580" s="2">
        <f t="shared" si="61"/>
        <v>4.3343653250773997</v>
      </c>
      <c r="N580" s="1" t="str">
        <f t="shared" si="62"/>
        <v>Kering</v>
      </c>
      <c r="O580" t="str">
        <f t="shared" si="63"/>
        <v>Fuzzy</v>
      </c>
      <c r="P580" t="str">
        <f t="shared" si="64"/>
        <v>Fuzzy</v>
      </c>
    </row>
    <row r="581" spans="1:16" x14ac:dyDescent="0.35">
      <c r="A581" t="s">
        <v>584</v>
      </c>
      <c r="B581">
        <v>4794</v>
      </c>
      <c r="C581">
        <v>28</v>
      </c>
      <c r="D581">
        <v>65</v>
      </c>
      <c r="E581">
        <v>777</v>
      </c>
      <c r="F581">
        <v>4</v>
      </c>
      <c r="K581" s="1">
        <f t="shared" si="59"/>
        <v>777</v>
      </c>
      <c r="L581" s="1" t="str">
        <f t="shared" si="60"/>
        <v>Normal</v>
      </c>
      <c r="M581" s="2">
        <f t="shared" si="61"/>
        <v>23.839009287925698</v>
      </c>
      <c r="N581" s="1" t="str">
        <f t="shared" si="62"/>
        <v>Kering</v>
      </c>
      <c r="O581" t="str">
        <f t="shared" si="63"/>
        <v>Fuzzy</v>
      </c>
      <c r="P581" t="str">
        <f t="shared" si="64"/>
        <v>Fuzzy</v>
      </c>
    </row>
    <row r="582" spans="1:16" x14ac:dyDescent="0.35">
      <c r="A582" t="s">
        <v>585</v>
      </c>
      <c r="B582">
        <v>4795</v>
      </c>
      <c r="C582">
        <v>28</v>
      </c>
      <c r="D582">
        <v>64</v>
      </c>
      <c r="E582">
        <v>751</v>
      </c>
      <c r="F582">
        <v>4</v>
      </c>
      <c r="K582" s="1">
        <f t="shared" si="59"/>
        <v>751</v>
      </c>
      <c r="L582" s="1" t="str">
        <f t="shared" si="60"/>
        <v>Normal</v>
      </c>
      <c r="M582" s="2">
        <f t="shared" si="61"/>
        <v>15.789473684210526</v>
      </c>
      <c r="N582" s="1" t="str">
        <f t="shared" si="62"/>
        <v>Kering</v>
      </c>
      <c r="O582" t="str">
        <f t="shared" si="63"/>
        <v>Fuzzy</v>
      </c>
      <c r="P582" t="str">
        <f t="shared" si="64"/>
        <v>Fuzzy</v>
      </c>
    </row>
    <row r="583" spans="1:16" x14ac:dyDescent="0.35">
      <c r="A583" t="s">
        <v>586</v>
      </c>
      <c r="B583">
        <v>4796</v>
      </c>
      <c r="C583">
        <v>28</v>
      </c>
      <c r="D583">
        <v>63</v>
      </c>
      <c r="E583">
        <v>708</v>
      </c>
      <c r="F583">
        <v>4</v>
      </c>
      <c r="K583" s="1">
        <f t="shared" si="59"/>
        <v>708</v>
      </c>
      <c r="L583" s="1" t="str">
        <f t="shared" si="60"/>
        <v>Normal</v>
      </c>
      <c r="M583" s="2">
        <f t="shared" si="61"/>
        <v>2.4767801857585141</v>
      </c>
      <c r="N583" s="1" t="str">
        <f t="shared" si="62"/>
        <v>Kering</v>
      </c>
      <c r="O583" t="str">
        <f t="shared" si="63"/>
        <v>Fuzzy</v>
      </c>
      <c r="P583" t="str">
        <f t="shared" si="64"/>
        <v>Fuzzy</v>
      </c>
    </row>
    <row r="584" spans="1:16" x14ac:dyDescent="0.35">
      <c r="A584" t="s">
        <v>587</v>
      </c>
      <c r="B584">
        <v>4797</v>
      </c>
      <c r="C584">
        <v>28</v>
      </c>
      <c r="D584">
        <v>63</v>
      </c>
      <c r="E584">
        <v>517</v>
      </c>
      <c r="F584">
        <v>4</v>
      </c>
      <c r="K584" s="1">
        <f t="shared" si="59"/>
        <v>517</v>
      </c>
      <c r="L584" s="1" t="str">
        <f t="shared" si="60"/>
        <v>Normal</v>
      </c>
      <c r="M584" s="2">
        <f t="shared" si="61"/>
        <v>54.25</v>
      </c>
      <c r="N584" s="1" t="str">
        <f t="shared" si="62"/>
        <v>Lembab</v>
      </c>
      <c r="O584" t="str">
        <f t="shared" si="63"/>
        <v>Fuzzy</v>
      </c>
      <c r="P584" t="str">
        <f t="shared" si="64"/>
        <v>Fuzzy</v>
      </c>
    </row>
    <row r="585" spans="1:16" x14ac:dyDescent="0.35">
      <c r="A585" t="s">
        <v>588</v>
      </c>
      <c r="B585">
        <v>4798</v>
      </c>
      <c r="C585">
        <v>28</v>
      </c>
      <c r="D585">
        <v>63</v>
      </c>
      <c r="E585">
        <v>731</v>
      </c>
      <c r="F585">
        <v>4</v>
      </c>
      <c r="K585" s="1">
        <f t="shared" si="59"/>
        <v>731</v>
      </c>
      <c r="L585" s="1" t="str">
        <f t="shared" si="60"/>
        <v>Normal</v>
      </c>
      <c r="M585" s="2">
        <f t="shared" si="61"/>
        <v>9.5975232198142422</v>
      </c>
      <c r="N585" s="1" t="str">
        <f t="shared" si="62"/>
        <v>Kering</v>
      </c>
      <c r="O585" t="str">
        <f t="shared" si="63"/>
        <v>Fuzzy</v>
      </c>
      <c r="P585" t="str">
        <f t="shared" si="64"/>
        <v>Fuzzy</v>
      </c>
    </row>
    <row r="586" spans="1:16" x14ac:dyDescent="0.35">
      <c r="A586" t="s">
        <v>589</v>
      </c>
      <c r="B586">
        <v>4799</v>
      </c>
      <c r="C586">
        <v>28</v>
      </c>
      <c r="D586">
        <v>62</v>
      </c>
      <c r="E586">
        <v>708</v>
      </c>
      <c r="F586">
        <v>4</v>
      </c>
      <c r="K586" s="1">
        <f t="shared" si="59"/>
        <v>708</v>
      </c>
      <c r="L586" s="1" t="str">
        <f t="shared" si="60"/>
        <v>Normal</v>
      </c>
      <c r="M586" s="2">
        <f t="shared" si="61"/>
        <v>2.4767801857585141</v>
      </c>
      <c r="N586" s="1" t="str">
        <f t="shared" si="62"/>
        <v>Kering</v>
      </c>
      <c r="O586" t="str">
        <f t="shared" si="63"/>
        <v>Fuzzy</v>
      </c>
      <c r="P586" t="str">
        <f t="shared" si="64"/>
        <v>Fuzzy</v>
      </c>
    </row>
    <row r="587" spans="1:16" x14ac:dyDescent="0.35">
      <c r="A587" t="s">
        <v>590</v>
      </c>
      <c r="B587">
        <v>4800</v>
      </c>
      <c r="C587">
        <v>28</v>
      </c>
      <c r="D587">
        <v>62</v>
      </c>
      <c r="E587">
        <v>746</v>
      </c>
      <c r="F587">
        <v>4</v>
      </c>
      <c r="K587" s="1">
        <f t="shared" si="59"/>
        <v>746</v>
      </c>
      <c r="L587" s="1" t="str">
        <f t="shared" si="60"/>
        <v>Normal</v>
      </c>
      <c r="M587" s="2">
        <f t="shared" si="61"/>
        <v>14.241486068111456</v>
      </c>
      <c r="N587" s="1" t="str">
        <f t="shared" si="62"/>
        <v>Kering</v>
      </c>
      <c r="O587" t="str">
        <f t="shared" si="63"/>
        <v>Fuzzy</v>
      </c>
      <c r="P587" t="str">
        <f t="shared" si="64"/>
        <v>Fuzzy</v>
      </c>
    </row>
    <row r="588" spans="1:16" x14ac:dyDescent="0.35">
      <c r="A588" t="s">
        <v>591</v>
      </c>
      <c r="B588">
        <v>4801</v>
      </c>
      <c r="C588">
        <v>27</v>
      </c>
      <c r="D588">
        <v>60</v>
      </c>
      <c r="E588">
        <v>619</v>
      </c>
      <c r="F588">
        <v>4</v>
      </c>
      <c r="K588" s="1">
        <f t="shared" si="59"/>
        <v>619</v>
      </c>
      <c r="L588" s="1" t="str">
        <f t="shared" si="60"/>
        <v>Normal</v>
      </c>
      <c r="M588" s="2">
        <f t="shared" si="61"/>
        <v>79.75</v>
      </c>
      <c r="N588" s="1" t="str">
        <f t="shared" si="62"/>
        <v>Basah</v>
      </c>
      <c r="O588" t="str">
        <f t="shared" si="63"/>
        <v>Fuzzy</v>
      </c>
      <c r="P588" t="str">
        <f t="shared" si="64"/>
        <v>Fuzzy</v>
      </c>
    </row>
    <row r="589" spans="1:16" x14ac:dyDescent="0.35">
      <c r="A589" t="s">
        <v>592</v>
      </c>
      <c r="B589">
        <v>4802</v>
      </c>
      <c r="C589">
        <v>27</v>
      </c>
      <c r="D589">
        <v>60</v>
      </c>
      <c r="E589">
        <v>710</v>
      </c>
      <c r="F589">
        <v>4</v>
      </c>
      <c r="K589" s="1">
        <f t="shared" ref="K589:K652" si="65">IF(E589&lt;=1023, E589, "")</f>
        <v>710</v>
      </c>
      <c r="L589" s="1" t="str">
        <f t="shared" si="60"/>
        <v>Normal</v>
      </c>
      <c r="M589" s="2">
        <f t="shared" si="61"/>
        <v>3.0959752321981426</v>
      </c>
      <c r="N589" s="1" t="str">
        <f t="shared" si="62"/>
        <v>Kering</v>
      </c>
      <c r="O589" t="str">
        <f t="shared" si="63"/>
        <v>Fuzzy</v>
      </c>
      <c r="P589" t="str">
        <f t="shared" si="64"/>
        <v>Fuzzy</v>
      </c>
    </row>
    <row r="590" spans="1:16" x14ac:dyDescent="0.35">
      <c r="A590" t="s">
        <v>593</v>
      </c>
      <c r="B590">
        <v>4803</v>
      </c>
      <c r="C590">
        <v>27</v>
      </c>
      <c r="D590">
        <v>60</v>
      </c>
      <c r="E590">
        <v>723</v>
      </c>
      <c r="F590">
        <v>3</v>
      </c>
      <c r="K590" s="1">
        <f t="shared" si="65"/>
        <v>723</v>
      </c>
      <c r="L590" s="1" t="str">
        <f t="shared" si="60"/>
        <v>Normal</v>
      </c>
      <c r="M590" s="2">
        <f t="shared" si="61"/>
        <v>7.1207430340557281</v>
      </c>
      <c r="N590" s="1" t="str">
        <f t="shared" si="62"/>
        <v>Kering</v>
      </c>
      <c r="O590" t="str">
        <f t="shared" si="63"/>
        <v>Fuzzy</v>
      </c>
      <c r="P590" t="str">
        <f t="shared" si="64"/>
        <v>Fuzzy</v>
      </c>
    </row>
    <row r="591" spans="1:16" x14ac:dyDescent="0.35">
      <c r="A591" t="s">
        <v>594</v>
      </c>
      <c r="B591">
        <v>4804</v>
      </c>
      <c r="C591">
        <v>27</v>
      </c>
      <c r="D591">
        <v>60</v>
      </c>
      <c r="E591">
        <v>719</v>
      </c>
      <c r="F591">
        <v>4</v>
      </c>
      <c r="K591" s="1">
        <f t="shared" si="65"/>
        <v>719</v>
      </c>
      <c r="L591" s="1" t="str">
        <f t="shared" si="60"/>
        <v>Normal</v>
      </c>
      <c r="M591" s="2">
        <f t="shared" si="61"/>
        <v>5.8823529411764701</v>
      </c>
      <c r="N591" s="1" t="str">
        <f t="shared" si="62"/>
        <v>Kering</v>
      </c>
      <c r="O591" t="str">
        <f t="shared" si="63"/>
        <v>Fuzzy</v>
      </c>
      <c r="P591" t="str">
        <f t="shared" si="64"/>
        <v>Fuzzy</v>
      </c>
    </row>
    <row r="592" spans="1:16" x14ac:dyDescent="0.35">
      <c r="A592" t="s">
        <v>595</v>
      </c>
      <c r="B592">
        <v>4805</v>
      </c>
      <c r="C592">
        <v>27</v>
      </c>
      <c r="D592">
        <v>61</v>
      </c>
      <c r="E592">
        <v>924</v>
      </c>
      <c r="F592">
        <v>4</v>
      </c>
      <c r="K592" s="1">
        <f t="shared" si="65"/>
        <v>924</v>
      </c>
      <c r="L592" s="1" t="str">
        <f t="shared" si="60"/>
        <v>Normal</v>
      </c>
      <c r="M592" s="2">
        <f t="shared" si="61"/>
        <v>69.349845201238395</v>
      </c>
      <c r="N592" s="1" t="str">
        <f t="shared" si="62"/>
        <v>Basah</v>
      </c>
      <c r="O592" t="str">
        <f t="shared" si="63"/>
        <v>Fuzzy</v>
      </c>
      <c r="P592" t="str">
        <f t="shared" si="64"/>
        <v>Fuzzy</v>
      </c>
    </row>
    <row r="593" spans="1:16" x14ac:dyDescent="0.35">
      <c r="A593" t="s">
        <v>596</v>
      </c>
      <c r="B593">
        <v>4806</v>
      </c>
      <c r="C593">
        <v>27</v>
      </c>
      <c r="D593">
        <v>62</v>
      </c>
      <c r="E593">
        <v>569</v>
      </c>
      <c r="F593">
        <v>4</v>
      </c>
      <c r="K593" s="1">
        <f t="shared" si="65"/>
        <v>569</v>
      </c>
      <c r="L593" s="1" t="str">
        <f t="shared" si="60"/>
        <v>Normal</v>
      </c>
      <c r="M593" s="2">
        <f t="shared" si="61"/>
        <v>67.25</v>
      </c>
      <c r="N593" s="1" t="str">
        <f t="shared" si="62"/>
        <v>Lembab</v>
      </c>
      <c r="O593" t="str">
        <f t="shared" si="63"/>
        <v>Fuzzy</v>
      </c>
      <c r="P593" t="str">
        <f t="shared" si="64"/>
        <v>Fuzzy</v>
      </c>
    </row>
    <row r="594" spans="1:16" x14ac:dyDescent="0.35">
      <c r="A594" t="s">
        <v>597</v>
      </c>
      <c r="B594">
        <v>4807</v>
      </c>
      <c r="C594">
        <v>27</v>
      </c>
      <c r="D594">
        <v>63</v>
      </c>
      <c r="E594">
        <v>679</v>
      </c>
      <c r="F594">
        <v>4</v>
      </c>
      <c r="K594" s="1">
        <f t="shared" si="65"/>
        <v>679</v>
      </c>
      <c r="L594" s="1" t="str">
        <f t="shared" si="60"/>
        <v>Normal</v>
      </c>
      <c r="M594" s="2">
        <f t="shared" si="61"/>
        <v>94.75</v>
      </c>
      <c r="N594" s="1" t="str">
        <f t="shared" si="62"/>
        <v>Basah</v>
      </c>
      <c r="O594" t="str">
        <f t="shared" si="63"/>
        <v>Fuzzy</v>
      </c>
      <c r="P594" t="str">
        <f t="shared" si="64"/>
        <v>Fuzzy</v>
      </c>
    </row>
    <row r="595" spans="1:16" x14ac:dyDescent="0.35">
      <c r="A595" t="s">
        <v>598</v>
      </c>
      <c r="B595">
        <v>4808</v>
      </c>
      <c r="C595">
        <v>27</v>
      </c>
      <c r="D595">
        <v>65</v>
      </c>
      <c r="E595">
        <v>708</v>
      </c>
      <c r="F595">
        <v>4</v>
      </c>
      <c r="K595" s="1">
        <f t="shared" si="65"/>
        <v>708</v>
      </c>
      <c r="L595" s="1" t="str">
        <f t="shared" si="60"/>
        <v>Normal</v>
      </c>
      <c r="M595" s="2">
        <f t="shared" si="61"/>
        <v>2.4767801857585141</v>
      </c>
      <c r="N595" s="1" t="str">
        <f t="shared" si="62"/>
        <v>Kering</v>
      </c>
      <c r="O595" t="str">
        <f t="shared" si="63"/>
        <v>Fuzzy</v>
      </c>
      <c r="P595" t="str">
        <f t="shared" si="64"/>
        <v>Fuzzy</v>
      </c>
    </row>
    <row r="596" spans="1:16" x14ac:dyDescent="0.35">
      <c r="A596" t="s">
        <v>599</v>
      </c>
      <c r="B596">
        <v>4809</v>
      </c>
      <c r="C596">
        <v>27</v>
      </c>
      <c r="D596">
        <v>65</v>
      </c>
      <c r="E596">
        <v>642</v>
      </c>
      <c r="F596">
        <v>4</v>
      </c>
      <c r="K596" s="1">
        <f t="shared" si="65"/>
        <v>642</v>
      </c>
      <c r="L596" s="1" t="str">
        <f t="shared" si="60"/>
        <v>Normal</v>
      </c>
      <c r="M596" s="2">
        <f t="shared" si="61"/>
        <v>85.5</v>
      </c>
      <c r="N596" s="1" t="str">
        <f t="shared" si="62"/>
        <v>Basah</v>
      </c>
      <c r="O596" t="str">
        <f t="shared" si="63"/>
        <v>Fuzzy</v>
      </c>
      <c r="P596" t="str">
        <f t="shared" si="64"/>
        <v>Fuzzy</v>
      </c>
    </row>
    <row r="597" spans="1:16" x14ac:dyDescent="0.35">
      <c r="A597" t="s">
        <v>600</v>
      </c>
      <c r="B597">
        <v>4810</v>
      </c>
      <c r="C597">
        <v>27</v>
      </c>
      <c r="D597">
        <v>66</v>
      </c>
      <c r="E597">
        <v>713</v>
      </c>
      <c r="F597">
        <v>3</v>
      </c>
      <c r="K597" s="1">
        <f t="shared" si="65"/>
        <v>713</v>
      </c>
      <c r="L597" s="1" t="str">
        <f t="shared" si="60"/>
        <v>Normal</v>
      </c>
      <c r="M597" s="2">
        <f t="shared" si="61"/>
        <v>4.0247678018575854</v>
      </c>
      <c r="N597" s="1" t="str">
        <f t="shared" si="62"/>
        <v>Kering</v>
      </c>
      <c r="O597" t="str">
        <f t="shared" si="63"/>
        <v>Fuzzy</v>
      </c>
      <c r="P597" t="str">
        <f t="shared" si="64"/>
        <v>Fuzzy</v>
      </c>
    </row>
    <row r="598" spans="1:16" x14ac:dyDescent="0.35">
      <c r="A598" t="s">
        <v>601</v>
      </c>
      <c r="B598">
        <v>4811</v>
      </c>
      <c r="C598">
        <v>27</v>
      </c>
      <c r="D598">
        <v>67</v>
      </c>
      <c r="E598">
        <v>601</v>
      </c>
      <c r="F598">
        <v>5</v>
      </c>
      <c r="K598" s="1">
        <f t="shared" si="65"/>
        <v>601</v>
      </c>
      <c r="L598" s="1" t="str">
        <f t="shared" si="60"/>
        <v>Normal</v>
      </c>
      <c r="M598" s="2">
        <f t="shared" si="61"/>
        <v>75.25</v>
      </c>
      <c r="N598" s="1" t="str">
        <f t="shared" si="62"/>
        <v>Basah</v>
      </c>
      <c r="O598" t="str">
        <f t="shared" si="63"/>
        <v>Fuzzy</v>
      </c>
      <c r="P598" t="str">
        <f t="shared" si="64"/>
        <v>Fuzzy</v>
      </c>
    </row>
    <row r="599" spans="1:16" x14ac:dyDescent="0.35">
      <c r="A599" t="s">
        <v>602</v>
      </c>
      <c r="B599">
        <v>4812</v>
      </c>
      <c r="C599">
        <v>27</v>
      </c>
      <c r="D599">
        <v>67</v>
      </c>
      <c r="E599">
        <v>700</v>
      </c>
      <c r="F599">
        <v>4</v>
      </c>
      <c r="K599" s="1">
        <f t="shared" si="65"/>
        <v>700</v>
      </c>
      <c r="L599" s="1" t="str">
        <f t="shared" si="60"/>
        <v>Normal</v>
      </c>
      <c r="M599" s="2">
        <f t="shared" si="61"/>
        <v>100</v>
      </c>
      <c r="N599" s="1" t="str">
        <f t="shared" si="62"/>
        <v>Basah</v>
      </c>
      <c r="O599" t="str">
        <f t="shared" si="63"/>
        <v>Fuzzy</v>
      </c>
      <c r="P599" t="str">
        <f t="shared" si="64"/>
        <v/>
      </c>
    </row>
    <row r="600" spans="1:16" x14ac:dyDescent="0.35">
      <c r="A600" t="s">
        <v>603</v>
      </c>
      <c r="B600">
        <v>4813</v>
      </c>
      <c r="C600">
        <v>27</v>
      </c>
      <c r="D600">
        <v>68</v>
      </c>
      <c r="E600">
        <v>662</v>
      </c>
      <c r="F600">
        <v>4</v>
      </c>
      <c r="K600" s="1">
        <f t="shared" si="65"/>
        <v>662</v>
      </c>
      <c r="L600" s="1" t="str">
        <f t="shared" si="60"/>
        <v>Normal</v>
      </c>
      <c r="M600" s="2">
        <f t="shared" si="61"/>
        <v>90.5</v>
      </c>
      <c r="N600" s="1" t="str">
        <f t="shared" si="62"/>
        <v>Basah</v>
      </c>
      <c r="O600" t="str">
        <f t="shared" si="63"/>
        <v>Fuzzy</v>
      </c>
      <c r="P600" t="str">
        <f t="shared" si="64"/>
        <v>Fuzzy</v>
      </c>
    </row>
    <row r="601" spans="1:16" x14ac:dyDescent="0.35">
      <c r="A601" t="s">
        <v>604</v>
      </c>
      <c r="B601">
        <v>4814</v>
      </c>
      <c r="C601">
        <v>27</v>
      </c>
      <c r="D601">
        <v>68</v>
      </c>
      <c r="E601">
        <v>684</v>
      </c>
      <c r="F601">
        <v>4</v>
      </c>
      <c r="K601" s="1">
        <f t="shared" si="65"/>
        <v>684</v>
      </c>
      <c r="L601" s="1" t="str">
        <f t="shared" si="60"/>
        <v>Normal</v>
      </c>
      <c r="M601" s="2">
        <f t="shared" si="61"/>
        <v>96</v>
      </c>
      <c r="N601" s="1" t="str">
        <f t="shared" si="62"/>
        <v>Basah</v>
      </c>
      <c r="O601" t="str">
        <f t="shared" si="63"/>
        <v>Fuzzy</v>
      </c>
      <c r="P601" t="str">
        <f t="shared" si="64"/>
        <v>Fuzzy</v>
      </c>
    </row>
    <row r="602" spans="1:16" x14ac:dyDescent="0.35">
      <c r="A602" t="s">
        <v>605</v>
      </c>
      <c r="B602">
        <v>4815</v>
      </c>
      <c r="C602">
        <v>27</v>
      </c>
      <c r="D602">
        <v>68</v>
      </c>
      <c r="E602">
        <v>755</v>
      </c>
      <c r="F602">
        <v>4</v>
      </c>
      <c r="K602" s="1">
        <f t="shared" si="65"/>
        <v>755</v>
      </c>
      <c r="L602" s="1" t="str">
        <f t="shared" si="60"/>
        <v>Normal</v>
      </c>
      <c r="M602" s="2">
        <f t="shared" si="61"/>
        <v>17.027863777089784</v>
      </c>
      <c r="N602" s="1" t="str">
        <f t="shared" si="62"/>
        <v>Kering</v>
      </c>
      <c r="O602" t="str">
        <f t="shared" si="63"/>
        <v>Fuzzy</v>
      </c>
      <c r="P602" t="str">
        <f t="shared" si="64"/>
        <v>Fuzzy</v>
      </c>
    </row>
    <row r="603" spans="1:16" x14ac:dyDescent="0.35">
      <c r="A603" t="s">
        <v>606</v>
      </c>
      <c r="B603">
        <v>4816</v>
      </c>
      <c r="C603">
        <v>27</v>
      </c>
      <c r="D603">
        <v>69</v>
      </c>
      <c r="E603">
        <v>696</v>
      </c>
      <c r="F603">
        <v>4</v>
      </c>
      <c r="K603" s="1">
        <f t="shared" si="65"/>
        <v>696</v>
      </c>
      <c r="L603" s="1" t="str">
        <f t="shared" si="60"/>
        <v>Normal</v>
      </c>
      <c r="M603" s="2">
        <f t="shared" si="61"/>
        <v>99</v>
      </c>
      <c r="N603" s="1" t="str">
        <f t="shared" si="62"/>
        <v>Basah</v>
      </c>
      <c r="O603" t="str">
        <f t="shared" si="63"/>
        <v>Fuzzy</v>
      </c>
      <c r="P603" t="str">
        <f t="shared" si="64"/>
        <v>Fuzzy</v>
      </c>
    </row>
    <row r="604" spans="1:16" x14ac:dyDescent="0.35">
      <c r="A604" t="s">
        <v>607</v>
      </c>
      <c r="B604">
        <v>4817</v>
      </c>
      <c r="C604">
        <v>27</v>
      </c>
      <c r="D604">
        <v>69</v>
      </c>
      <c r="E604">
        <v>708</v>
      </c>
      <c r="F604">
        <v>4</v>
      </c>
      <c r="K604" s="1">
        <f t="shared" si="65"/>
        <v>708</v>
      </c>
      <c r="L604" s="1" t="str">
        <f t="shared" si="60"/>
        <v>Normal</v>
      </c>
      <c r="M604" s="2">
        <f t="shared" si="61"/>
        <v>2.4767801857585141</v>
      </c>
      <c r="N604" s="1" t="str">
        <f t="shared" si="62"/>
        <v>Kering</v>
      </c>
      <c r="O604" t="str">
        <f t="shared" si="63"/>
        <v>Fuzzy</v>
      </c>
      <c r="P604" t="str">
        <f t="shared" si="64"/>
        <v>Fuzzy</v>
      </c>
    </row>
    <row r="605" spans="1:16" x14ac:dyDescent="0.35">
      <c r="A605" t="s">
        <v>608</v>
      </c>
      <c r="B605">
        <v>4818</v>
      </c>
      <c r="C605">
        <v>27</v>
      </c>
      <c r="D605">
        <v>70</v>
      </c>
      <c r="E605">
        <v>684</v>
      </c>
      <c r="F605">
        <v>4</v>
      </c>
      <c r="K605" s="1">
        <f t="shared" si="65"/>
        <v>684</v>
      </c>
      <c r="L605" s="1" t="str">
        <f t="shared" si="60"/>
        <v>Normal</v>
      </c>
      <c r="M605" s="2">
        <f t="shared" si="61"/>
        <v>96</v>
      </c>
      <c r="N605" s="1" t="str">
        <f t="shared" si="62"/>
        <v>Basah</v>
      </c>
      <c r="O605" t="str">
        <f t="shared" si="63"/>
        <v>Fuzzy</v>
      </c>
      <c r="P605" t="str">
        <f t="shared" si="64"/>
        <v>Fuzzy</v>
      </c>
    </row>
    <row r="606" spans="1:16" x14ac:dyDescent="0.35">
      <c r="A606" t="s">
        <v>609</v>
      </c>
      <c r="B606">
        <v>4819</v>
      </c>
      <c r="C606">
        <v>27</v>
      </c>
      <c r="D606">
        <v>71</v>
      </c>
      <c r="E606">
        <v>719</v>
      </c>
      <c r="F606">
        <v>4</v>
      </c>
      <c r="K606" s="1">
        <f t="shared" si="65"/>
        <v>719</v>
      </c>
      <c r="L606" s="1" t="str">
        <f t="shared" si="60"/>
        <v>Normal</v>
      </c>
      <c r="M606" s="2">
        <f t="shared" si="61"/>
        <v>5.8823529411764701</v>
      </c>
      <c r="N606" s="1" t="str">
        <f t="shared" si="62"/>
        <v>Kering</v>
      </c>
      <c r="O606" t="str">
        <f t="shared" si="63"/>
        <v>Fuzzy</v>
      </c>
      <c r="P606" t="str">
        <f t="shared" si="64"/>
        <v>Fuzzy</v>
      </c>
    </row>
    <row r="607" spans="1:16" x14ac:dyDescent="0.35">
      <c r="A607" t="s">
        <v>610</v>
      </c>
      <c r="B607">
        <v>4820</v>
      </c>
      <c r="C607">
        <v>27</v>
      </c>
      <c r="D607">
        <v>71</v>
      </c>
      <c r="E607">
        <v>717</v>
      </c>
      <c r="F607">
        <v>4</v>
      </c>
      <c r="K607" s="1">
        <f t="shared" si="65"/>
        <v>717</v>
      </c>
      <c r="L607" s="1" t="str">
        <f t="shared" si="60"/>
        <v>Normal</v>
      </c>
      <c r="M607" s="2">
        <f t="shared" si="61"/>
        <v>5.2631578947368416</v>
      </c>
      <c r="N607" s="1" t="str">
        <f t="shared" si="62"/>
        <v>Kering</v>
      </c>
      <c r="O607" t="str">
        <f t="shared" si="63"/>
        <v>Fuzzy</v>
      </c>
      <c r="P607" t="str">
        <f t="shared" si="64"/>
        <v>Fuzzy</v>
      </c>
    </row>
    <row r="608" spans="1:16" x14ac:dyDescent="0.35">
      <c r="A608" t="s">
        <v>611</v>
      </c>
      <c r="B608">
        <v>4821</v>
      </c>
      <c r="C608">
        <v>27</v>
      </c>
      <c r="D608">
        <v>71</v>
      </c>
      <c r="E608">
        <v>707</v>
      </c>
      <c r="F608">
        <v>4</v>
      </c>
      <c r="K608" s="1">
        <f t="shared" si="65"/>
        <v>707</v>
      </c>
      <c r="L608" s="1" t="str">
        <f t="shared" si="60"/>
        <v>Normal</v>
      </c>
      <c r="M608" s="2">
        <f t="shared" si="61"/>
        <v>2.1671826625386998</v>
      </c>
      <c r="N608" s="1" t="str">
        <f t="shared" si="62"/>
        <v>Kering</v>
      </c>
      <c r="O608" t="str">
        <f t="shared" si="63"/>
        <v>Fuzzy</v>
      </c>
      <c r="P608" t="str">
        <f t="shared" si="64"/>
        <v>Fuzzy</v>
      </c>
    </row>
    <row r="609" spans="1:16" x14ac:dyDescent="0.35">
      <c r="A609" t="s">
        <v>612</v>
      </c>
      <c r="B609">
        <v>4822</v>
      </c>
      <c r="C609">
        <v>27</v>
      </c>
      <c r="D609">
        <v>71</v>
      </c>
      <c r="E609">
        <v>722</v>
      </c>
      <c r="F609">
        <v>3</v>
      </c>
      <c r="K609" s="1">
        <f t="shared" si="65"/>
        <v>722</v>
      </c>
      <c r="L609" s="1" t="str">
        <f t="shared" si="60"/>
        <v>Normal</v>
      </c>
      <c r="M609" s="2">
        <f t="shared" si="61"/>
        <v>6.8111455108359129</v>
      </c>
      <c r="N609" s="1" t="str">
        <f t="shared" si="62"/>
        <v>Kering</v>
      </c>
      <c r="O609" t="str">
        <f t="shared" si="63"/>
        <v>Fuzzy</v>
      </c>
      <c r="P609" t="str">
        <f t="shared" si="64"/>
        <v>Fuzzy</v>
      </c>
    </row>
    <row r="610" spans="1:16" x14ac:dyDescent="0.35">
      <c r="A610" t="s">
        <v>613</v>
      </c>
      <c r="B610">
        <v>4823</v>
      </c>
      <c r="C610">
        <v>27</v>
      </c>
      <c r="D610">
        <v>71</v>
      </c>
      <c r="E610">
        <v>758</v>
      </c>
      <c r="F610">
        <v>3</v>
      </c>
      <c r="K610" s="1">
        <f t="shared" si="65"/>
        <v>758</v>
      </c>
      <c r="L610" s="1" t="str">
        <f t="shared" si="60"/>
        <v>Normal</v>
      </c>
      <c r="M610" s="2">
        <f t="shared" si="61"/>
        <v>17.956656346749224</v>
      </c>
      <c r="N610" s="1" t="str">
        <f t="shared" si="62"/>
        <v>Kering</v>
      </c>
      <c r="O610" t="str">
        <f t="shared" si="63"/>
        <v>Fuzzy</v>
      </c>
      <c r="P610" t="str">
        <f t="shared" si="64"/>
        <v>Fuzzy</v>
      </c>
    </row>
    <row r="611" spans="1:16" x14ac:dyDescent="0.35">
      <c r="A611" t="s">
        <v>614</v>
      </c>
      <c r="B611">
        <v>4824</v>
      </c>
      <c r="C611">
        <v>27</v>
      </c>
      <c r="D611">
        <v>72</v>
      </c>
      <c r="E611">
        <v>800</v>
      </c>
      <c r="F611">
        <v>3</v>
      </c>
      <c r="K611" s="1">
        <f t="shared" si="65"/>
        <v>800</v>
      </c>
      <c r="L611" s="1" t="str">
        <f t="shared" si="60"/>
        <v>Normal</v>
      </c>
      <c r="M611" s="2">
        <f t="shared" si="61"/>
        <v>30.959752321981426</v>
      </c>
      <c r="N611" s="1" t="str">
        <f t="shared" si="62"/>
        <v>Lembab</v>
      </c>
      <c r="O611" t="str">
        <f t="shared" si="63"/>
        <v>Fuzzy</v>
      </c>
      <c r="P611" t="str">
        <f t="shared" si="64"/>
        <v>Fuzzy</v>
      </c>
    </row>
    <row r="612" spans="1:16" x14ac:dyDescent="0.35">
      <c r="A612" t="s">
        <v>615</v>
      </c>
      <c r="B612">
        <v>4825</v>
      </c>
      <c r="C612">
        <v>27</v>
      </c>
      <c r="D612">
        <v>74</v>
      </c>
      <c r="E612">
        <v>751</v>
      </c>
      <c r="F612">
        <v>3</v>
      </c>
      <c r="K612" s="1">
        <f t="shared" si="65"/>
        <v>751</v>
      </c>
      <c r="L612" s="1" t="str">
        <f t="shared" si="60"/>
        <v>Normal</v>
      </c>
      <c r="M612" s="2">
        <f t="shared" si="61"/>
        <v>15.789473684210526</v>
      </c>
      <c r="N612" s="1" t="str">
        <f t="shared" si="62"/>
        <v>Kering</v>
      </c>
      <c r="O612" t="str">
        <f t="shared" si="63"/>
        <v>Fuzzy</v>
      </c>
      <c r="P612" t="str">
        <f t="shared" si="64"/>
        <v>Fuzzy</v>
      </c>
    </row>
    <row r="613" spans="1:16" x14ac:dyDescent="0.35">
      <c r="A613" t="s">
        <v>616</v>
      </c>
      <c r="B613">
        <v>4826</v>
      </c>
      <c r="C613">
        <v>27</v>
      </c>
      <c r="D613">
        <v>72</v>
      </c>
      <c r="E613">
        <v>532</v>
      </c>
      <c r="F613">
        <v>6</v>
      </c>
      <c r="K613" s="1">
        <f t="shared" si="65"/>
        <v>532</v>
      </c>
      <c r="L613" s="1" t="str">
        <f t="shared" si="60"/>
        <v>Normal</v>
      </c>
      <c r="M613" s="2">
        <f t="shared" si="61"/>
        <v>57.999999999999993</v>
      </c>
      <c r="N613" s="1" t="str">
        <f t="shared" si="62"/>
        <v>Lembab</v>
      </c>
      <c r="O613" t="str">
        <f t="shared" si="63"/>
        <v>Fuzzy</v>
      </c>
      <c r="P613" t="str">
        <f t="shared" si="64"/>
        <v>Fuzzy</v>
      </c>
    </row>
    <row r="614" spans="1:16" x14ac:dyDescent="0.35">
      <c r="A614" t="s">
        <v>617</v>
      </c>
      <c r="B614">
        <v>4827</v>
      </c>
      <c r="C614">
        <v>27</v>
      </c>
      <c r="D614">
        <v>72</v>
      </c>
      <c r="E614">
        <v>702</v>
      </c>
      <c r="F614">
        <v>4</v>
      </c>
      <c r="K614" s="1">
        <f t="shared" si="65"/>
        <v>702</v>
      </c>
      <c r="L614" s="1" t="str">
        <f t="shared" si="60"/>
        <v>Normal</v>
      </c>
      <c r="M614" s="2">
        <f t="shared" si="61"/>
        <v>0.61919504643962853</v>
      </c>
      <c r="N614" s="1" t="str">
        <f t="shared" si="62"/>
        <v>Kering</v>
      </c>
      <c r="O614" t="str">
        <f t="shared" si="63"/>
        <v>Fuzzy</v>
      </c>
      <c r="P614" t="str">
        <f t="shared" si="64"/>
        <v>Fuzzy</v>
      </c>
    </row>
    <row r="615" spans="1:16" x14ac:dyDescent="0.35">
      <c r="A615" t="s">
        <v>618</v>
      </c>
      <c r="B615">
        <v>4828</v>
      </c>
      <c r="C615">
        <v>27</v>
      </c>
      <c r="D615">
        <v>69</v>
      </c>
      <c r="E615">
        <v>744</v>
      </c>
      <c r="F615">
        <v>4</v>
      </c>
      <c r="K615" s="1">
        <f t="shared" si="65"/>
        <v>744</v>
      </c>
      <c r="L615" s="1" t="str">
        <f t="shared" si="60"/>
        <v>Normal</v>
      </c>
      <c r="M615" s="2">
        <f t="shared" si="61"/>
        <v>13.622291021671826</v>
      </c>
      <c r="N615" s="1" t="str">
        <f t="shared" si="62"/>
        <v>Kering</v>
      </c>
      <c r="O615" t="str">
        <f t="shared" si="63"/>
        <v>Fuzzy</v>
      </c>
      <c r="P615" t="str">
        <f t="shared" si="64"/>
        <v>Fuzzy</v>
      </c>
    </row>
    <row r="616" spans="1:16" x14ac:dyDescent="0.35">
      <c r="A616" t="s">
        <v>619</v>
      </c>
      <c r="B616">
        <v>4829</v>
      </c>
      <c r="C616">
        <v>27</v>
      </c>
      <c r="D616">
        <v>68</v>
      </c>
      <c r="E616">
        <v>679</v>
      </c>
      <c r="F616">
        <v>4</v>
      </c>
      <c r="K616" s="1">
        <f t="shared" si="65"/>
        <v>679</v>
      </c>
      <c r="L616" s="1" t="str">
        <f t="shared" si="60"/>
        <v>Normal</v>
      </c>
      <c r="M616" s="2">
        <f t="shared" si="61"/>
        <v>94.75</v>
      </c>
      <c r="N616" s="1" t="str">
        <f t="shared" si="62"/>
        <v>Basah</v>
      </c>
      <c r="O616" t="str">
        <f t="shared" si="63"/>
        <v>Fuzzy</v>
      </c>
      <c r="P616" t="str">
        <f t="shared" si="64"/>
        <v>Fuzzy</v>
      </c>
    </row>
    <row r="617" spans="1:16" x14ac:dyDescent="0.35">
      <c r="A617" t="s">
        <v>620</v>
      </c>
      <c r="B617">
        <v>4830</v>
      </c>
      <c r="C617">
        <v>27</v>
      </c>
      <c r="D617">
        <v>66</v>
      </c>
      <c r="E617">
        <v>760</v>
      </c>
      <c r="F617">
        <v>4</v>
      </c>
      <c r="K617" s="1">
        <f t="shared" si="65"/>
        <v>760</v>
      </c>
      <c r="L617" s="1" t="str">
        <f t="shared" si="60"/>
        <v>Normal</v>
      </c>
      <c r="M617" s="2">
        <f t="shared" si="61"/>
        <v>18.575851393188856</v>
      </c>
      <c r="N617" s="1" t="str">
        <f t="shared" si="62"/>
        <v>Kering</v>
      </c>
      <c r="O617" t="str">
        <f t="shared" si="63"/>
        <v>Fuzzy</v>
      </c>
      <c r="P617" t="str">
        <f t="shared" si="64"/>
        <v>Fuzzy</v>
      </c>
    </row>
    <row r="618" spans="1:16" x14ac:dyDescent="0.35">
      <c r="A618" t="s">
        <v>621</v>
      </c>
      <c r="B618">
        <v>4831</v>
      </c>
      <c r="C618">
        <v>28</v>
      </c>
      <c r="D618">
        <v>66</v>
      </c>
      <c r="E618">
        <v>745</v>
      </c>
      <c r="F618">
        <v>4</v>
      </c>
      <c r="K618" s="1">
        <f t="shared" si="65"/>
        <v>745</v>
      </c>
      <c r="L618" s="1" t="str">
        <f t="shared" si="60"/>
        <v>Normal</v>
      </c>
      <c r="M618" s="2">
        <f t="shared" si="61"/>
        <v>13.93188854489164</v>
      </c>
      <c r="N618" s="1" t="str">
        <f t="shared" si="62"/>
        <v>Kering</v>
      </c>
      <c r="O618" t="str">
        <f t="shared" si="63"/>
        <v>Fuzzy</v>
      </c>
      <c r="P618" t="str">
        <f t="shared" si="64"/>
        <v>Fuzzy</v>
      </c>
    </row>
    <row r="619" spans="1:16" x14ac:dyDescent="0.35">
      <c r="A619" t="s">
        <v>622</v>
      </c>
      <c r="B619">
        <v>4832</v>
      </c>
      <c r="C619">
        <v>28</v>
      </c>
      <c r="D619">
        <v>65</v>
      </c>
      <c r="E619">
        <v>732</v>
      </c>
      <c r="F619">
        <v>4</v>
      </c>
      <c r="K619" s="1">
        <f t="shared" si="65"/>
        <v>732</v>
      </c>
      <c r="L619" s="1" t="str">
        <f t="shared" si="60"/>
        <v>Normal</v>
      </c>
      <c r="M619" s="2">
        <f t="shared" si="61"/>
        <v>9.9071207430340564</v>
      </c>
      <c r="N619" s="1" t="str">
        <f t="shared" si="62"/>
        <v>Kering</v>
      </c>
      <c r="O619" t="str">
        <f t="shared" si="63"/>
        <v>Fuzzy</v>
      </c>
      <c r="P619" t="str">
        <f t="shared" si="64"/>
        <v>Fuzzy</v>
      </c>
    </row>
    <row r="620" spans="1:16" x14ac:dyDescent="0.35">
      <c r="A620" t="s">
        <v>623</v>
      </c>
      <c r="B620">
        <v>4833</v>
      </c>
      <c r="C620">
        <v>28</v>
      </c>
      <c r="D620">
        <v>64</v>
      </c>
      <c r="E620">
        <v>757</v>
      </c>
      <c r="F620">
        <v>4</v>
      </c>
      <c r="K620" s="1">
        <f t="shared" si="65"/>
        <v>757</v>
      </c>
      <c r="L620" s="1" t="str">
        <f t="shared" si="60"/>
        <v>Normal</v>
      </c>
      <c r="M620" s="2">
        <f t="shared" si="61"/>
        <v>17.647058823529413</v>
      </c>
      <c r="N620" s="1" t="str">
        <f t="shared" si="62"/>
        <v>Kering</v>
      </c>
      <c r="O620" t="str">
        <f t="shared" si="63"/>
        <v>Fuzzy</v>
      </c>
      <c r="P620" t="str">
        <f t="shared" si="64"/>
        <v>Fuzzy</v>
      </c>
    </row>
    <row r="621" spans="1:16" x14ac:dyDescent="0.35">
      <c r="A621" t="s">
        <v>624</v>
      </c>
      <c r="B621">
        <v>4834</v>
      </c>
      <c r="C621">
        <v>27</v>
      </c>
      <c r="D621">
        <v>63</v>
      </c>
      <c r="E621">
        <v>791</v>
      </c>
      <c r="F621">
        <v>4</v>
      </c>
      <c r="K621" s="1">
        <f t="shared" si="65"/>
        <v>791</v>
      </c>
      <c r="L621" s="1" t="str">
        <f t="shared" si="60"/>
        <v>Normal</v>
      </c>
      <c r="M621" s="2">
        <f t="shared" si="61"/>
        <v>28.173374613003094</v>
      </c>
      <c r="N621" s="1" t="str">
        <f t="shared" si="62"/>
        <v>Kering</v>
      </c>
      <c r="O621" t="str">
        <f t="shared" si="63"/>
        <v>Fuzzy</v>
      </c>
      <c r="P621" t="str">
        <f t="shared" si="64"/>
        <v>Fuzzy</v>
      </c>
    </row>
    <row r="622" spans="1:16" x14ac:dyDescent="0.35">
      <c r="A622" t="s">
        <v>625</v>
      </c>
      <c r="B622">
        <v>4835</v>
      </c>
      <c r="C622">
        <v>27</v>
      </c>
      <c r="D622">
        <v>62</v>
      </c>
      <c r="E622">
        <v>701</v>
      </c>
      <c r="F622">
        <v>4</v>
      </c>
      <c r="K622" s="1">
        <f t="shared" si="65"/>
        <v>701</v>
      </c>
      <c r="L622" s="1" t="str">
        <f t="shared" si="60"/>
        <v>Normal</v>
      </c>
      <c r="M622" s="2">
        <f t="shared" si="61"/>
        <v>0.30959752321981426</v>
      </c>
      <c r="N622" s="1" t="str">
        <f t="shared" si="62"/>
        <v>Kering</v>
      </c>
      <c r="O622" t="str">
        <f t="shared" si="63"/>
        <v>Fuzzy</v>
      </c>
      <c r="P622" t="str">
        <f t="shared" si="64"/>
        <v>Fuzzy</v>
      </c>
    </row>
    <row r="623" spans="1:16" x14ac:dyDescent="0.35">
      <c r="A623" t="s">
        <v>626</v>
      </c>
      <c r="B623">
        <v>4836</v>
      </c>
      <c r="C623">
        <v>27</v>
      </c>
      <c r="D623">
        <v>62</v>
      </c>
      <c r="E623">
        <v>688</v>
      </c>
      <c r="F623">
        <v>4</v>
      </c>
      <c r="K623" s="1">
        <f t="shared" si="65"/>
        <v>688</v>
      </c>
      <c r="L623" s="1" t="str">
        <f t="shared" si="60"/>
        <v>Normal</v>
      </c>
      <c r="M623" s="2">
        <f t="shared" si="61"/>
        <v>97</v>
      </c>
      <c r="N623" s="1" t="str">
        <f t="shared" si="62"/>
        <v>Basah</v>
      </c>
      <c r="O623" t="str">
        <f t="shared" si="63"/>
        <v>Fuzzy</v>
      </c>
      <c r="P623" t="str">
        <f t="shared" si="64"/>
        <v>Fuzzy</v>
      </c>
    </row>
    <row r="624" spans="1:16" x14ac:dyDescent="0.35">
      <c r="A624" t="s">
        <v>627</v>
      </c>
      <c r="B624">
        <v>4837</v>
      </c>
      <c r="C624">
        <v>27</v>
      </c>
      <c r="D624">
        <v>62</v>
      </c>
      <c r="E624">
        <v>566</v>
      </c>
      <c r="F624">
        <v>4</v>
      </c>
      <c r="K624" s="1">
        <f t="shared" si="65"/>
        <v>566</v>
      </c>
      <c r="L624" s="1" t="str">
        <f t="shared" si="60"/>
        <v>Normal</v>
      </c>
      <c r="M624" s="2">
        <f t="shared" si="61"/>
        <v>66.5</v>
      </c>
      <c r="N624" s="1" t="str">
        <f t="shared" si="62"/>
        <v>Lembab</v>
      </c>
      <c r="O624" t="str">
        <f t="shared" si="63"/>
        <v>Fuzzy</v>
      </c>
      <c r="P624" t="str">
        <f t="shared" si="64"/>
        <v>Fuzzy</v>
      </c>
    </row>
    <row r="625" spans="1:16" x14ac:dyDescent="0.35">
      <c r="A625" t="s">
        <v>628</v>
      </c>
      <c r="B625">
        <v>4838</v>
      </c>
      <c r="C625">
        <v>27</v>
      </c>
      <c r="D625">
        <v>63</v>
      </c>
      <c r="E625">
        <v>737</v>
      </c>
      <c r="F625">
        <v>4</v>
      </c>
      <c r="K625" s="1">
        <f t="shared" si="65"/>
        <v>737</v>
      </c>
      <c r="L625" s="1" t="str">
        <f t="shared" si="60"/>
        <v>Normal</v>
      </c>
      <c r="M625" s="2">
        <f t="shared" si="61"/>
        <v>11.455108359133128</v>
      </c>
      <c r="N625" s="1" t="str">
        <f t="shared" si="62"/>
        <v>Kering</v>
      </c>
      <c r="O625" t="str">
        <f t="shared" si="63"/>
        <v>Fuzzy</v>
      </c>
      <c r="P625" t="str">
        <f t="shared" si="64"/>
        <v>Fuzzy</v>
      </c>
    </row>
    <row r="626" spans="1:16" x14ac:dyDescent="0.35">
      <c r="A626" t="s">
        <v>629</v>
      </c>
      <c r="B626">
        <v>4839</v>
      </c>
      <c r="C626">
        <v>27</v>
      </c>
      <c r="D626">
        <v>65</v>
      </c>
      <c r="E626">
        <v>749</v>
      </c>
      <c r="F626">
        <v>4</v>
      </c>
      <c r="K626" s="1">
        <f t="shared" si="65"/>
        <v>749</v>
      </c>
      <c r="L626" s="1" t="str">
        <f t="shared" si="60"/>
        <v>Normal</v>
      </c>
      <c r="M626" s="2">
        <f t="shared" si="61"/>
        <v>15.170278637770899</v>
      </c>
      <c r="N626" s="1" t="str">
        <f t="shared" si="62"/>
        <v>Kering</v>
      </c>
      <c r="O626" t="str">
        <f t="shared" si="63"/>
        <v>Fuzzy</v>
      </c>
      <c r="P626" t="str">
        <f t="shared" si="64"/>
        <v>Fuzzy</v>
      </c>
    </row>
    <row r="627" spans="1:16" x14ac:dyDescent="0.35">
      <c r="A627" t="s">
        <v>630</v>
      </c>
      <c r="B627">
        <v>4840</v>
      </c>
      <c r="C627">
        <v>27</v>
      </c>
      <c r="D627">
        <v>66</v>
      </c>
      <c r="E627">
        <v>660</v>
      </c>
      <c r="F627">
        <v>4</v>
      </c>
      <c r="K627" s="1">
        <f t="shared" si="65"/>
        <v>660</v>
      </c>
      <c r="L627" s="1" t="str">
        <f t="shared" si="60"/>
        <v>Normal</v>
      </c>
      <c r="M627" s="2">
        <f t="shared" si="61"/>
        <v>90</v>
      </c>
      <c r="N627" s="1" t="str">
        <f t="shared" si="62"/>
        <v>Basah</v>
      </c>
      <c r="O627" t="str">
        <f t="shared" si="63"/>
        <v>Fuzzy</v>
      </c>
      <c r="P627" t="str">
        <f t="shared" si="64"/>
        <v>Fuzzy</v>
      </c>
    </row>
    <row r="628" spans="1:16" x14ac:dyDescent="0.35">
      <c r="A628" t="s">
        <v>631</v>
      </c>
      <c r="B628">
        <v>4841</v>
      </c>
      <c r="C628">
        <v>27</v>
      </c>
      <c r="D628">
        <v>66</v>
      </c>
      <c r="E628">
        <v>748</v>
      </c>
      <c r="F628">
        <v>3</v>
      </c>
      <c r="K628" s="1">
        <f t="shared" si="65"/>
        <v>748</v>
      </c>
      <c r="L628" s="1" t="str">
        <f t="shared" si="60"/>
        <v>Normal</v>
      </c>
      <c r="M628" s="2">
        <f t="shared" si="61"/>
        <v>14.860681114551083</v>
      </c>
      <c r="N628" s="1" t="str">
        <f t="shared" si="62"/>
        <v>Kering</v>
      </c>
      <c r="O628" t="str">
        <f t="shared" si="63"/>
        <v>Fuzzy</v>
      </c>
      <c r="P628" t="str">
        <f t="shared" si="64"/>
        <v>Fuzzy</v>
      </c>
    </row>
    <row r="629" spans="1:16" x14ac:dyDescent="0.35">
      <c r="A629" t="s">
        <v>632</v>
      </c>
      <c r="B629">
        <v>4842</v>
      </c>
      <c r="C629">
        <v>27</v>
      </c>
      <c r="D629">
        <v>67</v>
      </c>
      <c r="E629">
        <v>638</v>
      </c>
      <c r="F629">
        <v>4</v>
      </c>
      <c r="K629" s="1">
        <f t="shared" si="65"/>
        <v>638</v>
      </c>
      <c r="L629" s="1" t="str">
        <f t="shared" si="60"/>
        <v>Normal</v>
      </c>
      <c r="M629" s="2">
        <f t="shared" si="61"/>
        <v>84.5</v>
      </c>
      <c r="N629" s="1" t="str">
        <f t="shared" si="62"/>
        <v>Basah</v>
      </c>
      <c r="O629" t="str">
        <f t="shared" si="63"/>
        <v>Fuzzy</v>
      </c>
      <c r="P629" t="str">
        <f t="shared" si="64"/>
        <v>Fuzzy</v>
      </c>
    </row>
    <row r="630" spans="1:16" x14ac:dyDescent="0.35">
      <c r="A630" t="s">
        <v>633</v>
      </c>
      <c r="B630">
        <v>4843</v>
      </c>
      <c r="C630">
        <v>27</v>
      </c>
      <c r="D630">
        <v>68</v>
      </c>
      <c r="E630">
        <v>617</v>
      </c>
      <c r="F630">
        <v>3</v>
      </c>
      <c r="K630" s="1">
        <f t="shared" si="65"/>
        <v>617</v>
      </c>
      <c r="L630" s="1" t="str">
        <f t="shared" si="60"/>
        <v>Normal</v>
      </c>
      <c r="M630" s="2">
        <f t="shared" si="61"/>
        <v>79.25</v>
      </c>
      <c r="N630" s="1" t="str">
        <f t="shared" si="62"/>
        <v>Basah</v>
      </c>
      <c r="O630" t="str">
        <f t="shared" si="63"/>
        <v>Fuzzy</v>
      </c>
      <c r="P630" t="str">
        <f t="shared" si="64"/>
        <v>Fuzzy</v>
      </c>
    </row>
    <row r="631" spans="1:16" x14ac:dyDescent="0.35">
      <c r="A631" t="s">
        <v>634</v>
      </c>
      <c r="B631">
        <v>4844</v>
      </c>
      <c r="C631">
        <v>27</v>
      </c>
      <c r="D631">
        <v>68</v>
      </c>
      <c r="E631">
        <v>702</v>
      </c>
      <c r="F631">
        <v>4</v>
      </c>
      <c r="K631" s="1">
        <f t="shared" si="65"/>
        <v>702</v>
      </c>
      <c r="L631" s="1" t="str">
        <f t="shared" si="60"/>
        <v>Normal</v>
      </c>
      <c r="M631" s="2">
        <f t="shared" si="61"/>
        <v>0.61919504643962853</v>
      </c>
      <c r="N631" s="1" t="str">
        <f t="shared" si="62"/>
        <v>Kering</v>
      </c>
      <c r="O631" t="str">
        <f t="shared" si="63"/>
        <v>Fuzzy</v>
      </c>
      <c r="P631" t="str">
        <f t="shared" si="64"/>
        <v>Fuzzy</v>
      </c>
    </row>
    <row r="632" spans="1:16" x14ac:dyDescent="0.35">
      <c r="A632" t="s">
        <v>635</v>
      </c>
      <c r="B632">
        <v>4845</v>
      </c>
      <c r="C632">
        <v>27</v>
      </c>
      <c r="D632">
        <v>68</v>
      </c>
      <c r="E632">
        <v>764</v>
      </c>
      <c r="F632">
        <v>4</v>
      </c>
      <c r="K632" s="1">
        <f t="shared" si="65"/>
        <v>764</v>
      </c>
      <c r="L632" s="1" t="str">
        <f t="shared" si="60"/>
        <v>Normal</v>
      </c>
      <c r="M632" s="2">
        <f t="shared" si="61"/>
        <v>19.814241486068113</v>
      </c>
      <c r="N632" s="1" t="str">
        <f t="shared" si="62"/>
        <v>Kering</v>
      </c>
      <c r="O632" t="str">
        <f t="shared" si="63"/>
        <v>Fuzzy</v>
      </c>
      <c r="P632" t="str">
        <f t="shared" si="64"/>
        <v>Fuzzy</v>
      </c>
    </row>
    <row r="633" spans="1:16" x14ac:dyDescent="0.35">
      <c r="A633" t="s">
        <v>636</v>
      </c>
      <c r="B633">
        <v>4846</v>
      </c>
      <c r="C633">
        <v>27</v>
      </c>
      <c r="D633">
        <v>69</v>
      </c>
      <c r="E633">
        <v>767</v>
      </c>
      <c r="F633">
        <v>4</v>
      </c>
      <c r="K633" s="1">
        <f t="shared" si="65"/>
        <v>767</v>
      </c>
      <c r="L633" s="1" t="str">
        <f t="shared" si="60"/>
        <v>Normal</v>
      </c>
      <c r="M633" s="2">
        <f t="shared" si="61"/>
        <v>20.743034055727556</v>
      </c>
      <c r="N633" s="1" t="str">
        <f t="shared" si="62"/>
        <v>Kering</v>
      </c>
      <c r="O633" t="str">
        <f t="shared" si="63"/>
        <v>Fuzzy</v>
      </c>
      <c r="P633" t="str">
        <f t="shared" si="64"/>
        <v>Fuzzy</v>
      </c>
    </row>
    <row r="634" spans="1:16" x14ac:dyDescent="0.35">
      <c r="A634" t="s">
        <v>637</v>
      </c>
      <c r="B634">
        <v>4847</v>
      </c>
      <c r="C634">
        <v>27</v>
      </c>
      <c r="D634">
        <v>69</v>
      </c>
      <c r="E634">
        <v>652</v>
      </c>
      <c r="F634">
        <v>4</v>
      </c>
      <c r="K634" s="1">
        <f t="shared" si="65"/>
        <v>652</v>
      </c>
      <c r="L634" s="1" t="str">
        <f t="shared" si="60"/>
        <v>Normal</v>
      </c>
      <c r="M634" s="2">
        <f t="shared" si="61"/>
        <v>88</v>
      </c>
      <c r="N634" s="1" t="str">
        <f t="shared" si="62"/>
        <v>Basah</v>
      </c>
      <c r="O634" t="str">
        <f t="shared" si="63"/>
        <v>Fuzzy</v>
      </c>
      <c r="P634" t="str">
        <f t="shared" si="64"/>
        <v>Fuzzy</v>
      </c>
    </row>
    <row r="635" spans="1:16" x14ac:dyDescent="0.35">
      <c r="A635" t="s">
        <v>638</v>
      </c>
      <c r="B635">
        <v>4848</v>
      </c>
      <c r="C635">
        <v>27</v>
      </c>
      <c r="D635">
        <v>69</v>
      </c>
      <c r="E635">
        <v>714</v>
      </c>
      <c r="F635">
        <v>3</v>
      </c>
      <c r="K635" s="1">
        <f t="shared" si="65"/>
        <v>714</v>
      </c>
      <c r="L635" s="1" t="str">
        <f t="shared" si="60"/>
        <v>Normal</v>
      </c>
      <c r="M635" s="2">
        <f t="shared" si="61"/>
        <v>4.3343653250773997</v>
      </c>
      <c r="N635" s="1" t="str">
        <f t="shared" si="62"/>
        <v>Kering</v>
      </c>
      <c r="O635" t="str">
        <f t="shared" si="63"/>
        <v>Fuzzy</v>
      </c>
      <c r="P635" t="str">
        <f t="shared" si="64"/>
        <v>Fuzzy</v>
      </c>
    </row>
    <row r="636" spans="1:16" x14ac:dyDescent="0.35">
      <c r="A636" t="s">
        <v>639</v>
      </c>
      <c r="B636">
        <v>4849</v>
      </c>
      <c r="C636">
        <v>27</v>
      </c>
      <c r="D636">
        <v>71</v>
      </c>
      <c r="E636">
        <v>781</v>
      </c>
      <c r="F636">
        <v>4</v>
      </c>
      <c r="K636" s="1">
        <f t="shared" si="65"/>
        <v>781</v>
      </c>
      <c r="L636" s="1" t="str">
        <f t="shared" si="60"/>
        <v>Normal</v>
      </c>
      <c r="M636" s="2">
        <f t="shared" si="61"/>
        <v>25.077399380804955</v>
      </c>
      <c r="N636" s="1" t="str">
        <f t="shared" si="62"/>
        <v>Kering</v>
      </c>
      <c r="O636" t="str">
        <f t="shared" si="63"/>
        <v>Fuzzy</v>
      </c>
      <c r="P636" t="str">
        <f t="shared" si="64"/>
        <v>Fuzzy</v>
      </c>
    </row>
    <row r="637" spans="1:16" x14ac:dyDescent="0.35">
      <c r="A637" t="s">
        <v>640</v>
      </c>
      <c r="B637">
        <v>4850</v>
      </c>
      <c r="C637">
        <v>27</v>
      </c>
      <c r="D637">
        <v>71</v>
      </c>
      <c r="E637">
        <v>738</v>
      </c>
      <c r="F637">
        <v>4</v>
      </c>
      <c r="K637" s="1">
        <f t="shared" si="65"/>
        <v>738</v>
      </c>
      <c r="L637" s="1" t="str">
        <f t="shared" si="60"/>
        <v>Normal</v>
      </c>
      <c r="M637" s="2">
        <f t="shared" si="61"/>
        <v>11.76470588235294</v>
      </c>
      <c r="N637" s="1" t="str">
        <f t="shared" si="62"/>
        <v>Kering</v>
      </c>
      <c r="O637" t="str">
        <f t="shared" si="63"/>
        <v>Fuzzy</v>
      </c>
      <c r="P637" t="str">
        <f t="shared" si="64"/>
        <v>Fuzzy</v>
      </c>
    </row>
    <row r="638" spans="1:16" x14ac:dyDescent="0.35">
      <c r="A638" t="s">
        <v>641</v>
      </c>
      <c r="B638">
        <v>4851</v>
      </c>
      <c r="C638">
        <v>27</v>
      </c>
      <c r="D638">
        <v>73</v>
      </c>
      <c r="E638">
        <v>716</v>
      </c>
      <c r="F638">
        <v>4</v>
      </c>
      <c r="K638" s="1">
        <f t="shared" si="65"/>
        <v>716</v>
      </c>
      <c r="L638" s="1" t="str">
        <f t="shared" si="60"/>
        <v>Normal</v>
      </c>
      <c r="M638" s="2">
        <f t="shared" si="61"/>
        <v>4.9535603715170282</v>
      </c>
      <c r="N638" s="1" t="str">
        <f t="shared" si="62"/>
        <v>Kering</v>
      </c>
      <c r="O638" t="str">
        <f t="shared" si="63"/>
        <v>Fuzzy</v>
      </c>
      <c r="P638" t="str">
        <f t="shared" si="64"/>
        <v>Fuzzy</v>
      </c>
    </row>
    <row r="639" spans="1:16" x14ac:dyDescent="0.35">
      <c r="A639" t="s">
        <v>642</v>
      </c>
      <c r="B639">
        <v>4852</v>
      </c>
      <c r="C639">
        <v>27</v>
      </c>
      <c r="D639">
        <v>73</v>
      </c>
      <c r="E639">
        <v>784</v>
      </c>
      <c r="F639">
        <v>4</v>
      </c>
      <c r="K639" s="1">
        <f t="shared" si="65"/>
        <v>784</v>
      </c>
      <c r="L639" s="1" t="str">
        <f t="shared" si="60"/>
        <v>Normal</v>
      </c>
      <c r="M639" s="2">
        <f t="shared" si="61"/>
        <v>26.006191950464398</v>
      </c>
      <c r="N639" s="1" t="str">
        <f t="shared" si="62"/>
        <v>Kering</v>
      </c>
      <c r="O639" t="str">
        <f t="shared" si="63"/>
        <v>Fuzzy</v>
      </c>
      <c r="P639" t="str">
        <f t="shared" si="64"/>
        <v>Fuzzy</v>
      </c>
    </row>
    <row r="640" spans="1:16" x14ac:dyDescent="0.35">
      <c r="A640" t="s">
        <v>643</v>
      </c>
      <c r="B640">
        <v>4853</v>
      </c>
      <c r="C640">
        <v>27</v>
      </c>
      <c r="D640">
        <v>72</v>
      </c>
      <c r="E640">
        <v>748</v>
      </c>
      <c r="F640">
        <v>4</v>
      </c>
      <c r="K640" s="1">
        <f t="shared" si="65"/>
        <v>748</v>
      </c>
      <c r="L640" s="1" t="str">
        <f t="shared" si="60"/>
        <v>Normal</v>
      </c>
      <c r="M640" s="2">
        <f t="shared" si="61"/>
        <v>14.860681114551083</v>
      </c>
      <c r="N640" s="1" t="str">
        <f t="shared" si="62"/>
        <v>Kering</v>
      </c>
      <c r="O640" t="str">
        <f t="shared" si="63"/>
        <v>Fuzzy</v>
      </c>
      <c r="P640" t="str">
        <f t="shared" si="64"/>
        <v>Fuzzy</v>
      </c>
    </row>
    <row r="641" spans="1:16" x14ac:dyDescent="0.35">
      <c r="A641" t="s">
        <v>644</v>
      </c>
      <c r="B641">
        <v>4854</v>
      </c>
      <c r="C641">
        <v>27</v>
      </c>
      <c r="D641">
        <v>73</v>
      </c>
      <c r="E641">
        <v>736</v>
      </c>
      <c r="F641">
        <v>4</v>
      </c>
      <c r="K641" s="1">
        <f t="shared" si="65"/>
        <v>736</v>
      </c>
      <c r="L641" s="1" t="str">
        <f t="shared" si="60"/>
        <v>Normal</v>
      </c>
      <c r="M641" s="2">
        <f t="shared" si="61"/>
        <v>11.145510835913312</v>
      </c>
      <c r="N641" s="1" t="str">
        <f t="shared" si="62"/>
        <v>Kering</v>
      </c>
      <c r="O641" t="str">
        <f t="shared" si="63"/>
        <v>Fuzzy</v>
      </c>
      <c r="P641" t="str">
        <f t="shared" si="64"/>
        <v>Fuzzy</v>
      </c>
    </row>
    <row r="642" spans="1:16" x14ac:dyDescent="0.35">
      <c r="A642" t="s">
        <v>645</v>
      </c>
      <c r="B642">
        <v>4855</v>
      </c>
      <c r="C642">
        <v>27</v>
      </c>
      <c r="D642">
        <v>75</v>
      </c>
      <c r="E642">
        <v>757</v>
      </c>
      <c r="F642">
        <v>4</v>
      </c>
      <c r="K642" s="1">
        <f t="shared" si="65"/>
        <v>757</v>
      </c>
      <c r="L642" s="1" t="str">
        <f t="shared" si="60"/>
        <v>Normal</v>
      </c>
      <c r="M642" s="2">
        <f t="shared" si="61"/>
        <v>17.647058823529413</v>
      </c>
      <c r="N642" s="1" t="str">
        <f t="shared" si="62"/>
        <v>Kering</v>
      </c>
      <c r="O642" t="str">
        <f t="shared" si="63"/>
        <v>Fuzzy</v>
      </c>
      <c r="P642" t="str">
        <f t="shared" si="64"/>
        <v>Fuzzy</v>
      </c>
    </row>
    <row r="643" spans="1:16" x14ac:dyDescent="0.35">
      <c r="A643" t="s">
        <v>646</v>
      </c>
      <c r="B643">
        <v>4856</v>
      </c>
      <c r="C643">
        <v>27</v>
      </c>
      <c r="D643">
        <v>74</v>
      </c>
      <c r="E643">
        <v>733</v>
      </c>
      <c r="F643">
        <v>4</v>
      </c>
      <c r="K643" s="1">
        <f t="shared" si="65"/>
        <v>733</v>
      </c>
      <c r="L643" s="1" t="str">
        <f t="shared" ref="L643:L706" si="66">IF(A642 &lt;= 10, "Dingin", IF(OR(A642 &gt;= 10, A642 &lt; 35), "Normal", "Panas"))</f>
        <v>Normal</v>
      </c>
      <c r="M643" s="2">
        <f t="shared" ref="M643:M706" si="67">IF(K643&lt;=300, K643/1023*100, IF(K643&lt;=700, (K643-300)/(700-301+1)*100, (K643-700)/(1023-701+1)*100))</f>
        <v>10.216718266253871</v>
      </c>
      <c r="N643" s="1" t="str">
        <f t="shared" ref="N643:N706" si="68">IF(M643&lt;=29.32, "Kering", IF(M643&lt;=68.53, "Lembab", "Basah"))</f>
        <v>Kering</v>
      </c>
      <c r="O643" t="str">
        <f t="shared" ref="O643:O706" si="69">IF(OR(AND(C643 &gt; 10, C643 &lt; 22.5), AND(C643 &gt;= 22.5, C643 &lt; 35)), "Fuzzy", "")</f>
        <v>Fuzzy</v>
      </c>
      <c r="P643" t="str">
        <f t="shared" ref="P643:P706" si="70">IF(OR(AND(M643 &gt;= 0, M643 &lt; 50), AND(M643 &gt;= 50, M643 &lt; 100)), "Fuzzy", "")</f>
        <v>Fuzzy</v>
      </c>
    </row>
    <row r="644" spans="1:16" x14ac:dyDescent="0.35">
      <c r="A644" t="s">
        <v>647</v>
      </c>
      <c r="B644">
        <v>4857</v>
      </c>
      <c r="C644">
        <v>27</v>
      </c>
      <c r="D644">
        <v>74</v>
      </c>
      <c r="E644">
        <v>803</v>
      </c>
      <c r="F644">
        <v>4</v>
      </c>
      <c r="K644" s="1">
        <f t="shared" si="65"/>
        <v>803</v>
      </c>
      <c r="L644" s="1" t="str">
        <f t="shared" si="66"/>
        <v>Normal</v>
      </c>
      <c r="M644" s="2">
        <f t="shared" si="67"/>
        <v>31.888544891640869</v>
      </c>
      <c r="N644" s="1" t="str">
        <f t="shared" si="68"/>
        <v>Lembab</v>
      </c>
      <c r="O644" t="str">
        <f t="shared" si="69"/>
        <v>Fuzzy</v>
      </c>
      <c r="P644" t="str">
        <f t="shared" si="70"/>
        <v>Fuzzy</v>
      </c>
    </row>
    <row r="645" spans="1:16" x14ac:dyDescent="0.35">
      <c r="A645" t="s">
        <v>648</v>
      </c>
      <c r="B645">
        <v>4858</v>
      </c>
      <c r="C645">
        <v>27</v>
      </c>
      <c r="D645">
        <v>73</v>
      </c>
      <c r="E645">
        <v>727</v>
      </c>
      <c r="F645">
        <v>4</v>
      </c>
      <c r="K645" s="1">
        <f t="shared" si="65"/>
        <v>727</v>
      </c>
      <c r="L645" s="1" t="str">
        <f t="shared" si="66"/>
        <v>Normal</v>
      </c>
      <c r="M645" s="2">
        <f t="shared" si="67"/>
        <v>8.3591331269349833</v>
      </c>
      <c r="N645" s="1" t="str">
        <f t="shared" si="68"/>
        <v>Kering</v>
      </c>
      <c r="O645" t="str">
        <f t="shared" si="69"/>
        <v>Fuzzy</v>
      </c>
      <c r="P645" t="str">
        <f t="shared" si="70"/>
        <v>Fuzzy</v>
      </c>
    </row>
    <row r="646" spans="1:16" x14ac:dyDescent="0.35">
      <c r="A646" t="s">
        <v>649</v>
      </c>
      <c r="B646">
        <v>4859</v>
      </c>
      <c r="C646">
        <v>27</v>
      </c>
      <c r="D646">
        <v>72</v>
      </c>
      <c r="E646">
        <v>733</v>
      </c>
      <c r="F646">
        <v>4</v>
      </c>
      <c r="K646" s="1">
        <f t="shared" si="65"/>
        <v>733</v>
      </c>
      <c r="L646" s="1" t="str">
        <f t="shared" si="66"/>
        <v>Normal</v>
      </c>
      <c r="M646" s="2">
        <f t="shared" si="67"/>
        <v>10.216718266253871</v>
      </c>
      <c r="N646" s="1" t="str">
        <f t="shared" si="68"/>
        <v>Kering</v>
      </c>
      <c r="O646" t="str">
        <f t="shared" si="69"/>
        <v>Fuzzy</v>
      </c>
      <c r="P646" t="str">
        <f t="shared" si="70"/>
        <v>Fuzzy</v>
      </c>
    </row>
    <row r="647" spans="1:16" x14ac:dyDescent="0.35">
      <c r="A647" t="s">
        <v>650</v>
      </c>
      <c r="B647">
        <v>4860</v>
      </c>
      <c r="C647">
        <v>27</v>
      </c>
      <c r="D647">
        <v>73</v>
      </c>
      <c r="E647">
        <v>675</v>
      </c>
      <c r="F647">
        <v>4</v>
      </c>
      <c r="K647" s="1">
        <f t="shared" si="65"/>
        <v>675</v>
      </c>
      <c r="L647" s="1" t="str">
        <f t="shared" si="66"/>
        <v>Normal</v>
      </c>
      <c r="M647" s="2">
        <f t="shared" si="67"/>
        <v>93.75</v>
      </c>
      <c r="N647" s="1" t="str">
        <f t="shared" si="68"/>
        <v>Basah</v>
      </c>
      <c r="O647" t="str">
        <f t="shared" si="69"/>
        <v>Fuzzy</v>
      </c>
      <c r="P647" t="str">
        <f t="shared" si="70"/>
        <v>Fuzzy</v>
      </c>
    </row>
    <row r="648" spans="1:16" x14ac:dyDescent="0.35">
      <c r="A648" t="s">
        <v>651</v>
      </c>
      <c r="B648">
        <v>4861</v>
      </c>
      <c r="C648">
        <v>27</v>
      </c>
      <c r="D648">
        <v>70</v>
      </c>
      <c r="E648">
        <v>734</v>
      </c>
      <c r="F648">
        <v>4</v>
      </c>
      <c r="K648" s="1">
        <f t="shared" si="65"/>
        <v>734</v>
      </c>
      <c r="L648" s="1" t="str">
        <f t="shared" si="66"/>
        <v>Normal</v>
      </c>
      <c r="M648" s="2">
        <f t="shared" si="67"/>
        <v>10.526315789473683</v>
      </c>
      <c r="N648" s="1" t="str">
        <f t="shared" si="68"/>
        <v>Kering</v>
      </c>
      <c r="O648" t="str">
        <f t="shared" si="69"/>
        <v>Fuzzy</v>
      </c>
      <c r="P648" t="str">
        <f t="shared" si="70"/>
        <v>Fuzzy</v>
      </c>
    </row>
    <row r="649" spans="1:16" x14ac:dyDescent="0.35">
      <c r="A649" t="s">
        <v>652</v>
      </c>
      <c r="B649">
        <v>4862</v>
      </c>
      <c r="C649">
        <v>27</v>
      </c>
      <c r="D649">
        <v>68</v>
      </c>
      <c r="E649">
        <v>837</v>
      </c>
      <c r="F649">
        <v>4</v>
      </c>
      <c r="K649" s="1">
        <f t="shared" si="65"/>
        <v>837</v>
      </c>
      <c r="L649" s="1" t="str">
        <f t="shared" si="66"/>
        <v>Normal</v>
      </c>
      <c r="M649" s="2">
        <f t="shared" si="67"/>
        <v>42.414860681114554</v>
      </c>
      <c r="N649" s="1" t="str">
        <f t="shared" si="68"/>
        <v>Lembab</v>
      </c>
      <c r="O649" t="str">
        <f t="shared" si="69"/>
        <v>Fuzzy</v>
      </c>
      <c r="P649" t="str">
        <f t="shared" si="70"/>
        <v>Fuzzy</v>
      </c>
    </row>
    <row r="650" spans="1:16" x14ac:dyDescent="0.35">
      <c r="A650" t="s">
        <v>653</v>
      </c>
      <c r="B650">
        <v>4863</v>
      </c>
      <c r="C650">
        <v>27</v>
      </c>
      <c r="D650">
        <v>66</v>
      </c>
      <c r="E650">
        <v>719</v>
      </c>
      <c r="F650">
        <v>4</v>
      </c>
      <c r="K650" s="1">
        <f t="shared" si="65"/>
        <v>719</v>
      </c>
      <c r="L650" s="1" t="str">
        <f t="shared" si="66"/>
        <v>Normal</v>
      </c>
      <c r="M650" s="2">
        <f t="shared" si="67"/>
        <v>5.8823529411764701</v>
      </c>
      <c r="N650" s="1" t="str">
        <f t="shared" si="68"/>
        <v>Kering</v>
      </c>
      <c r="O650" t="str">
        <f t="shared" si="69"/>
        <v>Fuzzy</v>
      </c>
      <c r="P650" t="str">
        <f t="shared" si="70"/>
        <v>Fuzzy</v>
      </c>
    </row>
    <row r="651" spans="1:16" x14ac:dyDescent="0.35">
      <c r="A651" t="s">
        <v>654</v>
      </c>
      <c r="B651">
        <v>4864</v>
      </c>
      <c r="C651">
        <v>27</v>
      </c>
      <c r="D651">
        <v>66</v>
      </c>
      <c r="E651">
        <v>729</v>
      </c>
      <c r="F651">
        <v>4</v>
      </c>
      <c r="K651" s="1">
        <f t="shared" si="65"/>
        <v>729</v>
      </c>
      <c r="L651" s="1" t="str">
        <f t="shared" si="66"/>
        <v>Normal</v>
      </c>
      <c r="M651" s="2">
        <f t="shared" si="67"/>
        <v>8.9783281733746119</v>
      </c>
      <c r="N651" s="1" t="str">
        <f t="shared" si="68"/>
        <v>Kering</v>
      </c>
      <c r="O651" t="str">
        <f t="shared" si="69"/>
        <v>Fuzzy</v>
      </c>
      <c r="P651" t="str">
        <f t="shared" si="70"/>
        <v>Fuzzy</v>
      </c>
    </row>
    <row r="652" spans="1:16" x14ac:dyDescent="0.35">
      <c r="A652" t="s">
        <v>655</v>
      </c>
      <c r="B652">
        <v>4865</v>
      </c>
      <c r="C652">
        <v>27</v>
      </c>
      <c r="D652">
        <v>65</v>
      </c>
      <c r="E652">
        <v>726</v>
      </c>
      <c r="F652">
        <v>4</v>
      </c>
      <c r="K652" s="1">
        <f t="shared" si="65"/>
        <v>726</v>
      </c>
      <c r="L652" s="1" t="str">
        <f t="shared" si="66"/>
        <v>Normal</v>
      </c>
      <c r="M652" s="2">
        <f t="shared" si="67"/>
        <v>8.0495356037151709</v>
      </c>
      <c r="N652" s="1" t="str">
        <f t="shared" si="68"/>
        <v>Kering</v>
      </c>
      <c r="O652" t="str">
        <f t="shared" si="69"/>
        <v>Fuzzy</v>
      </c>
      <c r="P652" t="str">
        <f t="shared" si="70"/>
        <v>Fuzzy</v>
      </c>
    </row>
    <row r="653" spans="1:16" x14ac:dyDescent="0.35">
      <c r="A653" t="s">
        <v>656</v>
      </c>
      <c r="B653">
        <v>4866</v>
      </c>
      <c r="C653">
        <v>27</v>
      </c>
      <c r="D653">
        <v>64</v>
      </c>
      <c r="E653">
        <v>817</v>
      </c>
      <c r="F653">
        <v>4</v>
      </c>
      <c r="K653" s="1">
        <f t="shared" ref="K653:K716" si="71">IF(E653&lt;=1023, E653, "")</f>
        <v>817</v>
      </c>
      <c r="L653" s="1" t="str">
        <f t="shared" si="66"/>
        <v>Normal</v>
      </c>
      <c r="M653" s="2">
        <f t="shared" si="67"/>
        <v>36.222910216718269</v>
      </c>
      <c r="N653" s="1" t="str">
        <f t="shared" si="68"/>
        <v>Lembab</v>
      </c>
      <c r="O653" t="str">
        <f t="shared" si="69"/>
        <v>Fuzzy</v>
      </c>
      <c r="P653" t="str">
        <f t="shared" si="70"/>
        <v>Fuzzy</v>
      </c>
    </row>
    <row r="654" spans="1:16" x14ac:dyDescent="0.35">
      <c r="A654" t="s">
        <v>657</v>
      </c>
      <c r="B654">
        <v>4867</v>
      </c>
      <c r="C654">
        <v>27</v>
      </c>
      <c r="D654">
        <v>64</v>
      </c>
      <c r="E654">
        <v>1003</v>
      </c>
      <c r="F654">
        <v>3</v>
      </c>
      <c r="K654" s="1">
        <f t="shared" si="71"/>
        <v>1003</v>
      </c>
      <c r="L654" s="1" t="str">
        <f t="shared" si="66"/>
        <v>Normal</v>
      </c>
      <c r="M654" s="2">
        <f t="shared" si="67"/>
        <v>93.808049535603715</v>
      </c>
      <c r="N654" s="1" t="str">
        <f t="shared" si="68"/>
        <v>Basah</v>
      </c>
      <c r="O654" t="str">
        <f t="shared" si="69"/>
        <v>Fuzzy</v>
      </c>
      <c r="P654" t="str">
        <f t="shared" si="70"/>
        <v>Fuzzy</v>
      </c>
    </row>
    <row r="655" spans="1:16" x14ac:dyDescent="0.35">
      <c r="A655" t="s">
        <v>658</v>
      </c>
      <c r="B655">
        <v>4868</v>
      </c>
      <c r="C655">
        <v>27</v>
      </c>
      <c r="D655">
        <v>64</v>
      </c>
      <c r="E655">
        <v>763</v>
      </c>
      <c r="F655">
        <v>4</v>
      </c>
      <c r="K655" s="1">
        <f t="shared" si="71"/>
        <v>763</v>
      </c>
      <c r="L655" s="1" t="str">
        <f t="shared" si="66"/>
        <v>Normal</v>
      </c>
      <c r="M655" s="2">
        <f t="shared" si="67"/>
        <v>19.504643962848299</v>
      </c>
      <c r="N655" s="1" t="str">
        <f t="shared" si="68"/>
        <v>Kering</v>
      </c>
      <c r="O655" t="str">
        <f t="shared" si="69"/>
        <v>Fuzzy</v>
      </c>
      <c r="P655" t="str">
        <f t="shared" si="70"/>
        <v>Fuzzy</v>
      </c>
    </row>
    <row r="656" spans="1:16" x14ac:dyDescent="0.35">
      <c r="A656" t="s">
        <v>659</v>
      </c>
      <c r="B656">
        <v>4869</v>
      </c>
      <c r="C656">
        <v>27</v>
      </c>
      <c r="D656">
        <v>65</v>
      </c>
      <c r="E656">
        <v>622</v>
      </c>
      <c r="F656">
        <v>3</v>
      </c>
      <c r="K656" s="1">
        <f t="shared" si="71"/>
        <v>622</v>
      </c>
      <c r="L656" s="1" t="str">
        <f t="shared" si="66"/>
        <v>Normal</v>
      </c>
      <c r="M656" s="2">
        <f t="shared" si="67"/>
        <v>80.5</v>
      </c>
      <c r="N656" s="1" t="str">
        <f t="shared" si="68"/>
        <v>Basah</v>
      </c>
      <c r="O656" t="str">
        <f t="shared" si="69"/>
        <v>Fuzzy</v>
      </c>
      <c r="P656" t="str">
        <f t="shared" si="70"/>
        <v>Fuzzy</v>
      </c>
    </row>
    <row r="657" spans="1:16" x14ac:dyDescent="0.35">
      <c r="A657" t="s">
        <v>660</v>
      </c>
      <c r="B657">
        <v>4870</v>
      </c>
      <c r="C657">
        <v>27</v>
      </c>
      <c r="D657">
        <v>66</v>
      </c>
      <c r="E657">
        <v>673</v>
      </c>
      <c r="F657">
        <v>4</v>
      </c>
      <c r="K657" s="1">
        <f t="shared" si="71"/>
        <v>673</v>
      </c>
      <c r="L657" s="1" t="str">
        <f t="shared" si="66"/>
        <v>Normal</v>
      </c>
      <c r="M657" s="2">
        <f t="shared" si="67"/>
        <v>93.25</v>
      </c>
      <c r="N657" s="1" t="str">
        <f t="shared" si="68"/>
        <v>Basah</v>
      </c>
      <c r="O657" t="str">
        <f t="shared" si="69"/>
        <v>Fuzzy</v>
      </c>
      <c r="P657" t="str">
        <f t="shared" si="70"/>
        <v>Fuzzy</v>
      </c>
    </row>
    <row r="658" spans="1:16" x14ac:dyDescent="0.35">
      <c r="A658" t="s">
        <v>661</v>
      </c>
      <c r="B658">
        <v>4871</v>
      </c>
      <c r="C658">
        <v>27</v>
      </c>
      <c r="D658">
        <v>67</v>
      </c>
      <c r="E658">
        <v>571</v>
      </c>
      <c r="F658">
        <v>4</v>
      </c>
      <c r="K658" s="1">
        <f t="shared" si="71"/>
        <v>571</v>
      </c>
      <c r="L658" s="1" t="str">
        <f t="shared" si="66"/>
        <v>Normal</v>
      </c>
      <c r="M658" s="2">
        <f t="shared" si="67"/>
        <v>67.75</v>
      </c>
      <c r="N658" s="1" t="str">
        <f t="shared" si="68"/>
        <v>Lembab</v>
      </c>
      <c r="O658" t="str">
        <f t="shared" si="69"/>
        <v>Fuzzy</v>
      </c>
      <c r="P658" t="str">
        <f t="shared" si="70"/>
        <v>Fuzzy</v>
      </c>
    </row>
    <row r="659" spans="1:16" x14ac:dyDescent="0.35">
      <c r="A659" t="s">
        <v>662</v>
      </c>
      <c r="B659">
        <v>4872</v>
      </c>
      <c r="C659">
        <v>27</v>
      </c>
      <c r="D659">
        <v>68</v>
      </c>
      <c r="E659">
        <v>557</v>
      </c>
      <c r="F659">
        <v>4</v>
      </c>
      <c r="K659" s="1">
        <f t="shared" si="71"/>
        <v>557</v>
      </c>
      <c r="L659" s="1" t="str">
        <f t="shared" si="66"/>
        <v>Normal</v>
      </c>
      <c r="M659" s="2">
        <f t="shared" si="67"/>
        <v>64.25</v>
      </c>
      <c r="N659" s="1" t="str">
        <f t="shared" si="68"/>
        <v>Lembab</v>
      </c>
      <c r="O659" t="str">
        <f t="shared" si="69"/>
        <v>Fuzzy</v>
      </c>
      <c r="P659" t="str">
        <f t="shared" si="70"/>
        <v>Fuzzy</v>
      </c>
    </row>
    <row r="660" spans="1:16" x14ac:dyDescent="0.35">
      <c r="A660" t="s">
        <v>663</v>
      </c>
      <c r="B660">
        <v>4873</v>
      </c>
      <c r="C660">
        <v>27</v>
      </c>
      <c r="D660">
        <v>68</v>
      </c>
      <c r="E660">
        <v>674</v>
      </c>
      <c r="F660">
        <v>3</v>
      </c>
      <c r="K660" s="1">
        <f t="shared" si="71"/>
        <v>674</v>
      </c>
      <c r="L660" s="1" t="str">
        <f t="shared" si="66"/>
        <v>Normal</v>
      </c>
      <c r="M660" s="2">
        <f t="shared" si="67"/>
        <v>93.5</v>
      </c>
      <c r="N660" s="1" t="str">
        <f t="shared" si="68"/>
        <v>Basah</v>
      </c>
      <c r="O660" t="str">
        <f t="shared" si="69"/>
        <v>Fuzzy</v>
      </c>
      <c r="P660" t="str">
        <f t="shared" si="70"/>
        <v>Fuzzy</v>
      </c>
    </row>
    <row r="661" spans="1:16" x14ac:dyDescent="0.35">
      <c r="A661" t="s">
        <v>664</v>
      </c>
      <c r="B661">
        <v>4874</v>
      </c>
      <c r="C661">
        <v>27</v>
      </c>
      <c r="D661">
        <v>69</v>
      </c>
      <c r="E661">
        <v>721</v>
      </c>
      <c r="F661">
        <v>4</v>
      </c>
      <c r="K661" s="1">
        <f t="shared" si="71"/>
        <v>721</v>
      </c>
      <c r="L661" s="1" t="str">
        <f t="shared" si="66"/>
        <v>Normal</v>
      </c>
      <c r="M661" s="2">
        <f t="shared" si="67"/>
        <v>6.5015479876160995</v>
      </c>
      <c r="N661" s="1" t="str">
        <f t="shared" si="68"/>
        <v>Kering</v>
      </c>
      <c r="O661" t="str">
        <f t="shared" si="69"/>
        <v>Fuzzy</v>
      </c>
      <c r="P661" t="str">
        <f t="shared" si="70"/>
        <v>Fuzzy</v>
      </c>
    </row>
    <row r="662" spans="1:16" x14ac:dyDescent="0.35">
      <c r="A662" t="s">
        <v>665</v>
      </c>
      <c r="B662">
        <v>4875</v>
      </c>
      <c r="C662">
        <v>27</v>
      </c>
      <c r="D662">
        <v>69</v>
      </c>
      <c r="E662">
        <v>727</v>
      </c>
      <c r="F662">
        <v>3</v>
      </c>
      <c r="K662" s="1">
        <f t="shared" si="71"/>
        <v>727</v>
      </c>
      <c r="L662" s="1" t="str">
        <f t="shared" si="66"/>
        <v>Normal</v>
      </c>
      <c r="M662" s="2">
        <f t="shared" si="67"/>
        <v>8.3591331269349833</v>
      </c>
      <c r="N662" s="1" t="str">
        <f t="shared" si="68"/>
        <v>Kering</v>
      </c>
      <c r="O662" t="str">
        <f t="shared" si="69"/>
        <v>Fuzzy</v>
      </c>
      <c r="P662" t="str">
        <f t="shared" si="70"/>
        <v>Fuzzy</v>
      </c>
    </row>
    <row r="663" spans="1:16" x14ac:dyDescent="0.35">
      <c r="A663" t="s">
        <v>666</v>
      </c>
      <c r="B663">
        <v>4876</v>
      </c>
      <c r="C663">
        <v>27</v>
      </c>
      <c r="D663">
        <v>69</v>
      </c>
      <c r="E663">
        <v>694</v>
      </c>
      <c r="F663">
        <v>4</v>
      </c>
      <c r="K663" s="1">
        <f t="shared" si="71"/>
        <v>694</v>
      </c>
      <c r="L663" s="1" t="str">
        <f t="shared" si="66"/>
        <v>Normal</v>
      </c>
      <c r="M663" s="2">
        <f t="shared" si="67"/>
        <v>98.5</v>
      </c>
      <c r="N663" s="1" t="str">
        <f t="shared" si="68"/>
        <v>Basah</v>
      </c>
      <c r="O663" t="str">
        <f t="shared" si="69"/>
        <v>Fuzzy</v>
      </c>
      <c r="P663" t="str">
        <f t="shared" si="70"/>
        <v>Fuzzy</v>
      </c>
    </row>
    <row r="664" spans="1:16" x14ac:dyDescent="0.35">
      <c r="A664" t="s">
        <v>667</v>
      </c>
      <c r="B664">
        <v>4877</v>
      </c>
      <c r="C664">
        <v>27</v>
      </c>
      <c r="D664">
        <v>70</v>
      </c>
      <c r="E664">
        <v>710</v>
      </c>
      <c r="F664">
        <v>4</v>
      </c>
      <c r="K664" s="1">
        <f t="shared" si="71"/>
        <v>710</v>
      </c>
      <c r="L664" s="1" t="str">
        <f t="shared" si="66"/>
        <v>Normal</v>
      </c>
      <c r="M664" s="2">
        <f t="shared" si="67"/>
        <v>3.0959752321981426</v>
      </c>
      <c r="N664" s="1" t="str">
        <f t="shared" si="68"/>
        <v>Kering</v>
      </c>
      <c r="O664" t="str">
        <f t="shared" si="69"/>
        <v>Fuzzy</v>
      </c>
      <c r="P664" t="str">
        <f t="shared" si="70"/>
        <v>Fuzzy</v>
      </c>
    </row>
    <row r="665" spans="1:16" x14ac:dyDescent="0.35">
      <c r="A665" t="s">
        <v>668</v>
      </c>
      <c r="B665">
        <v>4878</v>
      </c>
      <c r="C665">
        <v>27</v>
      </c>
      <c r="D665">
        <v>70</v>
      </c>
      <c r="E665">
        <v>811</v>
      </c>
      <c r="F665">
        <v>3</v>
      </c>
      <c r="K665" s="1">
        <f t="shared" si="71"/>
        <v>811</v>
      </c>
      <c r="L665" s="1" t="str">
        <f t="shared" si="66"/>
        <v>Normal</v>
      </c>
      <c r="M665" s="2">
        <f t="shared" si="67"/>
        <v>34.365325077399383</v>
      </c>
      <c r="N665" s="1" t="str">
        <f t="shared" si="68"/>
        <v>Lembab</v>
      </c>
      <c r="O665" t="str">
        <f t="shared" si="69"/>
        <v>Fuzzy</v>
      </c>
      <c r="P665" t="str">
        <f t="shared" si="70"/>
        <v>Fuzzy</v>
      </c>
    </row>
    <row r="666" spans="1:16" x14ac:dyDescent="0.35">
      <c r="A666" t="s">
        <v>669</v>
      </c>
      <c r="B666">
        <v>4879</v>
      </c>
      <c r="C666">
        <v>27</v>
      </c>
      <c r="D666">
        <v>71</v>
      </c>
      <c r="E666">
        <v>729</v>
      </c>
      <c r="F666">
        <v>4</v>
      </c>
      <c r="K666" s="1">
        <f t="shared" si="71"/>
        <v>729</v>
      </c>
      <c r="L666" s="1" t="str">
        <f t="shared" si="66"/>
        <v>Normal</v>
      </c>
      <c r="M666" s="2">
        <f t="shared" si="67"/>
        <v>8.9783281733746119</v>
      </c>
      <c r="N666" s="1" t="str">
        <f t="shared" si="68"/>
        <v>Kering</v>
      </c>
      <c r="O666" t="str">
        <f t="shared" si="69"/>
        <v>Fuzzy</v>
      </c>
      <c r="P666" t="str">
        <f t="shared" si="70"/>
        <v>Fuzzy</v>
      </c>
    </row>
    <row r="667" spans="1:16" x14ac:dyDescent="0.35">
      <c r="A667" t="s">
        <v>670</v>
      </c>
      <c r="B667">
        <v>4880</v>
      </c>
      <c r="C667">
        <v>27</v>
      </c>
      <c r="D667">
        <v>73</v>
      </c>
      <c r="E667">
        <v>659</v>
      </c>
      <c r="F667">
        <v>3</v>
      </c>
      <c r="K667" s="1">
        <f t="shared" si="71"/>
        <v>659</v>
      </c>
      <c r="L667" s="1" t="str">
        <f t="shared" si="66"/>
        <v>Normal</v>
      </c>
      <c r="M667" s="2">
        <f t="shared" si="67"/>
        <v>89.75</v>
      </c>
      <c r="N667" s="1" t="str">
        <f t="shared" si="68"/>
        <v>Basah</v>
      </c>
      <c r="O667" t="str">
        <f t="shared" si="69"/>
        <v>Fuzzy</v>
      </c>
      <c r="P667" t="str">
        <f t="shared" si="70"/>
        <v>Fuzzy</v>
      </c>
    </row>
    <row r="668" spans="1:16" x14ac:dyDescent="0.35">
      <c r="A668" t="s">
        <v>671</v>
      </c>
      <c r="B668">
        <v>4881</v>
      </c>
      <c r="C668">
        <v>27</v>
      </c>
      <c r="D668">
        <v>74</v>
      </c>
      <c r="E668">
        <v>787</v>
      </c>
      <c r="F668">
        <v>4</v>
      </c>
      <c r="K668" s="1">
        <f t="shared" si="71"/>
        <v>787</v>
      </c>
      <c r="L668" s="1" t="str">
        <f t="shared" si="66"/>
        <v>Normal</v>
      </c>
      <c r="M668" s="2">
        <f t="shared" si="67"/>
        <v>26.934984520123841</v>
      </c>
      <c r="N668" s="1" t="str">
        <f t="shared" si="68"/>
        <v>Kering</v>
      </c>
      <c r="O668" t="str">
        <f t="shared" si="69"/>
        <v>Fuzzy</v>
      </c>
      <c r="P668" t="str">
        <f t="shared" si="70"/>
        <v>Fuzzy</v>
      </c>
    </row>
    <row r="669" spans="1:16" x14ac:dyDescent="0.35">
      <c r="A669" t="s">
        <v>672</v>
      </c>
      <c r="B669">
        <v>4882</v>
      </c>
      <c r="C669">
        <v>27</v>
      </c>
      <c r="D669">
        <v>73</v>
      </c>
      <c r="E669">
        <v>696</v>
      </c>
      <c r="F669">
        <v>4</v>
      </c>
      <c r="K669" s="1">
        <f t="shared" si="71"/>
        <v>696</v>
      </c>
      <c r="L669" s="1" t="str">
        <f t="shared" si="66"/>
        <v>Normal</v>
      </c>
      <c r="M669" s="2">
        <f t="shared" si="67"/>
        <v>99</v>
      </c>
      <c r="N669" s="1" t="str">
        <f t="shared" si="68"/>
        <v>Basah</v>
      </c>
      <c r="O669" t="str">
        <f t="shared" si="69"/>
        <v>Fuzzy</v>
      </c>
      <c r="P669" t="str">
        <f t="shared" si="70"/>
        <v>Fuzzy</v>
      </c>
    </row>
    <row r="670" spans="1:16" x14ac:dyDescent="0.35">
      <c r="A670" t="s">
        <v>673</v>
      </c>
      <c r="B670">
        <v>4883</v>
      </c>
      <c r="C670">
        <v>27</v>
      </c>
      <c r="D670">
        <v>74</v>
      </c>
      <c r="E670">
        <v>699</v>
      </c>
      <c r="F670">
        <v>5</v>
      </c>
      <c r="K670" s="1">
        <f t="shared" si="71"/>
        <v>699</v>
      </c>
      <c r="L670" s="1" t="str">
        <f t="shared" si="66"/>
        <v>Normal</v>
      </c>
      <c r="M670" s="2">
        <f t="shared" si="67"/>
        <v>99.75</v>
      </c>
      <c r="N670" s="1" t="str">
        <f t="shared" si="68"/>
        <v>Basah</v>
      </c>
      <c r="O670" t="str">
        <f t="shared" si="69"/>
        <v>Fuzzy</v>
      </c>
      <c r="P670" t="str">
        <f t="shared" si="70"/>
        <v>Fuzzy</v>
      </c>
    </row>
    <row r="671" spans="1:16" x14ac:dyDescent="0.35">
      <c r="A671" t="s">
        <v>674</v>
      </c>
      <c r="B671">
        <v>4884</v>
      </c>
      <c r="C671">
        <v>27</v>
      </c>
      <c r="D671">
        <v>74</v>
      </c>
      <c r="E671">
        <v>696</v>
      </c>
      <c r="F671">
        <v>4</v>
      </c>
      <c r="K671" s="1">
        <f t="shared" si="71"/>
        <v>696</v>
      </c>
      <c r="L671" s="1" t="str">
        <f t="shared" si="66"/>
        <v>Normal</v>
      </c>
      <c r="M671" s="2">
        <f t="shared" si="67"/>
        <v>99</v>
      </c>
      <c r="N671" s="1" t="str">
        <f t="shared" si="68"/>
        <v>Basah</v>
      </c>
      <c r="O671" t="str">
        <f t="shared" si="69"/>
        <v>Fuzzy</v>
      </c>
      <c r="P671" t="str">
        <f t="shared" si="70"/>
        <v>Fuzzy</v>
      </c>
    </row>
    <row r="672" spans="1:16" x14ac:dyDescent="0.35">
      <c r="A672" t="s">
        <v>675</v>
      </c>
      <c r="B672">
        <v>4885</v>
      </c>
      <c r="C672">
        <v>27</v>
      </c>
      <c r="D672">
        <v>75</v>
      </c>
      <c r="E672">
        <v>706</v>
      </c>
      <c r="F672">
        <v>4</v>
      </c>
      <c r="K672" s="1">
        <f t="shared" si="71"/>
        <v>706</v>
      </c>
      <c r="L672" s="1" t="str">
        <f t="shared" si="66"/>
        <v>Normal</v>
      </c>
      <c r="M672" s="2">
        <f t="shared" si="67"/>
        <v>1.8575851393188854</v>
      </c>
      <c r="N672" s="1" t="str">
        <f t="shared" si="68"/>
        <v>Kering</v>
      </c>
      <c r="O672" t="str">
        <f t="shared" si="69"/>
        <v>Fuzzy</v>
      </c>
      <c r="P672" t="str">
        <f t="shared" si="70"/>
        <v>Fuzzy</v>
      </c>
    </row>
    <row r="673" spans="1:16" x14ac:dyDescent="0.35">
      <c r="A673" t="s">
        <v>676</v>
      </c>
      <c r="B673">
        <v>4886</v>
      </c>
      <c r="C673">
        <v>27</v>
      </c>
      <c r="D673">
        <v>75</v>
      </c>
      <c r="E673">
        <v>762</v>
      </c>
      <c r="F673">
        <v>3</v>
      </c>
      <c r="K673" s="1">
        <f t="shared" si="71"/>
        <v>762</v>
      </c>
      <c r="L673" s="1" t="str">
        <f t="shared" si="66"/>
        <v>Normal</v>
      </c>
      <c r="M673" s="2">
        <f t="shared" si="67"/>
        <v>19.195046439628484</v>
      </c>
      <c r="N673" s="1" t="str">
        <f t="shared" si="68"/>
        <v>Kering</v>
      </c>
      <c r="O673" t="str">
        <f t="shared" si="69"/>
        <v>Fuzzy</v>
      </c>
      <c r="P673" t="str">
        <f t="shared" si="70"/>
        <v>Fuzzy</v>
      </c>
    </row>
    <row r="674" spans="1:16" x14ac:dyDescent="0.35">
      <c r="A674" t="s">
        <v>677</v>
      </c>
      <c r="B674">
        <v>4887</v>
      </c>
      <c r="C674">
        <v>27</v>
      </c>
      <c r="D674">
        <v>76</v>
      </c>
      <c r="E674">
        <v>716</v>
      </c>
      <c r="F674">
        <v>4</v>
      </c>
      <c r="K674" s="1">
        <f t="shared" si="71"/>
        <v>716</v>
      </c>
      <c r="L674" s="1" t="str">
        <f t="shared" si="66"/>
        <v>Normal</v>
      </c>
      <c r="M674" s="2">
        <f t="shared" si="67"/>
        <v>4.9535603715170282</v>
      </c>
      <c r="N674" s="1" t="str">
        <f t="shared" si="68"/>
        <v>Kering</v>
      </c>
      <c r="O674" t="str">
        <f t="shared" si="69"/>
        <v>Fuzzy</v>
      </c>
      <c r="P674" t="str">
        <f t="shared" si="70"/>
        <v>Fuzzy</v>
      </c>
    </row>
    <row r="675" spans="1:16" x14ac:dyDescent="0.35">
      <c r="A675" t="s">
        <v>678</v>
      </c>
      <c r="B675">
        <v>4888</v>
      </c>
      <c r="C675">
        <v>27</v>
      </c>
      <c r="D675">
        <v>77</v>
      </c>
      <c r="E675">
        <v>741</v>
      </c>
      <c r="F675">
        <v>3</v>
      </c>
      <c r="K675" s="1">
        <f t="shared" si="71"/>
        <v>741</v>
      </c>
      <c r="L675" s="1" t="str">
        <f t="shared" si="66"/>
        <v>Normal</v>
      </c>
      <c r="M675" s="2">
        <f t="shared" si="67"/>
        <v>12.693498452012383</v>
      </c>
      <c r="N675" s="1" t="str">
        <f t="shared" si="68"/>
        <v>Kering</v>
      </c>
      <c r="O675" t="str">
        <f t="shared" si="69"/>
        <v>Fuzzy</v>
      </c>
      <c r="P675" t="str">
        <f t="shared" si="70"/>
        <v>Fuzzy</v>
      </c>
    </row>
    <row r="676" spans="1:16" x14ac:dyDescent="0.35">
      <c r="A676" t="s">
        <v>679</v>
      </c>
      <c r="B676">
        <v>4889</v>
      </c>
      <c r="C676">
        <v>27</v>
      </c>
      <c r="D676">
        <v>75</v>
      </c>
      <c r="E676">
        <v>667</v>
      </c>
      <c r="F676">
        <v>5</v>
      </c>
      <c r="K676" s="1">
        <f t="shared" si="71"/>
        <v>667</v>
      </c>
      <c r="L676" s="1" t="str">
        <f t="shared" si="66"/>
        <v>Normal</v>
      </c>
      <c r="M676" s="2">
        <f t="shared" si="67"/>
        <v>91.75</v>
      </c>
      <c r="N676" s="1" t="str">
        <f t="shared" si="68"/>
        <v>Basah</v>
      </c>
      <c r="O676" t="str">
        <f t="shared" si="69"/>
        <v>Fuzzy</v>
      </c>
      <c r="P676" t="str">
        <f t="shared" si="70"/>
        <v>Fuzzy</v>
      </c>
    </row>
    <row r="677" spans="1:16" x14ac:dyDescent="0.35">
      <c r="A677" t="s">
        <v>680</v>
      </c>
      <c r="B677">
        <v>4890</v>
      </c>
      <c r="C677">
        <v>27</v>
      </c>
      <c r="D677">
        <v>74</v>
      </c>
      <c r="E677">
        <v>708</v>
      </c>
      <c r="F677">
        <v>4</v>
      </c>
      <c r="K677" s="1">
        <f t="shared" si="71"/>
        <v>708</v>
      </c>
      <c r="L677" s="1" t="str">
        <f t="shared" si="66"/>
        <v>Normal</v>
      </c>
      <c r="M677" s="2">
        <f t="shared" si="67"/>
        <v>2.4767801857585141</v>
      </c>
      <c r="N677" s="1" t="str">
        <f t="shared" si="68"/>
        <v>Kering</v>
      </c>
      <c r="O677" t="str">
        <f t="shared" si="69"/>
        <v>Fuzzy</v>
      </c>
      <c r="P677" t="str">
        <f t="shared" si="70"/>
        <v>Fuzzy</v>
      </c>
    </row>
    <row r="678" spans="1:16" x14ac:dyDescent="0.35">
      <c r="A678" t="s">
        <v>681</v>
      </c>
      <c r="B678">
        <v>4891</v>
      </c>
      <c r="C678">
        <v>27</v>
      </c>
      <c r="D678">
        <v>73</v>
      </c>
      <c r="E678">
        <v>707</v>
      </c>
      <c r="F678">
        <v>4</v>
      </c>
      <c r="K678" s="1">
        <f t="shared" si="71"/>
        <v>707</v>
      </c>
      <c r="L678" s="1" t="str">
        <f t="shared" si="66"/>
        <v>Normal</v>
      </c>
      <c r="M678" s="2">
        <f t="shared" si="67"/>
        <v>2.1671826625386998</v>
      </c>
      <c r="N678" s="1" t="str">
        <f t="shared" si="68"/>
        <v>Kering</v>
      </c>
      <c r="O678" t="str">
        <f t="shared" si="69"/>
        <v>Fuzzy</v>
      </c>
      <c r="P678" t="str">
        <f t="shared" si="70"/>
        <v>Fuzzy</v>
      </c>
    </row>
    <row r="679" spans="1:16" x14ac:dyDescent="0.35">
      <c r="A679" t="s">
        <v>682</v>
      </c>
      <c r="B679">
        <v>4892</v>
      </c>
      <c r="C679">
        <v>27</v>
      </c>
      <c r="D679">
        <v>70</v>
      </c>
      <c r="E679">
        <v>705</v>
      </c>
      <c r="F679">
        <v>4</v>
      </c>
      <c r="K679" s="1">
        <f t="shared" si="71"/>
        <v>705</v>
      </c>
      <c r="L679" s="1" t="str">
        <f t="shared" si="66"/>
        <v>Normal</v>
      </c>
      <c r="M679" s="2">
        <f t="shared" si="67"/>
        <v>1.5479876160990713</v>
      </c>
      <c r="N679" s="1" t="str">
        <f t="shared" si="68"/>
        <v>Kering</v>
      </c>
      <c r="O679" t="str">
        <f t="shared" si="69"/>
        <v>Fuzzy</v>
      </c>
      <c r="P679" t="str">
        <f t="shared" si="70"/>
        <v>Fuzzy</v>
      </c>
    </row>
    <row r="680" spans="1:16" x14ac:dyDescent="0.35">
      <c r="A680" t="s">
        <v>683</v>
      </c>
      <c r="B680">
        <v>4893</v>
      </c>
      <c r="C680">
        <v>27</v>
      </c>
      <c r="D680">
        <v>68</v>
      </c>
      <c r="E680">
        <v>580</v>
      </c>
      <c r="F680">
        <v>4</v>
      </c>
      <c r="K680" s="1">
        <f t="shared" si="71"/>
        <v>580</v>
      </c>
      <c r="L680" s="1" t="str">
        <f t="shared" si="66"/>
        <v>Normal</v>
      </c>
      <c r="M680" s="2">
        <f t="shared" si="67"/>
        <v>70</v>
      </c>
      <c r="N680" s="1" t="str">
        <f t="shared" si="68"/>
        <v>Basah</v>
      </c>
      <c r="O680" t="str">
        <f t="shared" si="69"/>
        <v>Fuzzy</v>
      </c>
      <c r="P680" t="str">
        <f t="shared" si="70"/>
        <v>Fuzzy</v>
      </c>
    </row>
    <row r="681" spans="1:16" x14ac:dyDescent="0.35">
      <c r="A681" t="s">
        <v>684</v>
      </c>
      <c r="B681">
        <v>4894</v>
      </c>
      <c r="C681">
        <v>27</v>
      </c>
      <c r="D681">
        <v>67</v>
      </c>
      <c r="E681">
        <v>731</v>
      </c>
      <c r="F681">
        <v>4</v>
      </c>
      <c r="K681" s="1">
        <f t="shared" si="71"/>
        <v>731</v>
      </c>
      <c r="L681" s="1" t="str">
        <f t="shared" si="66"/>
        <v>Normal</v>
      </c>
      <c r="M681" s="2">
        <f t="shared" si="67"/>
        <v>9.5975232198142422</v>
      </c>
      <c r="N681" s="1" t="str">
        <f t="shared" si="68"/>
        <v>Kering</v>
      </c>
      <c r="O681" t="str">
        <f t="shared" si="69"/>
        <v>Fuzzy</v>
      </c>
      <c r="P681" t="str">
        <f t="shared" si="70"/>
        <v>Fuzzy</v>
      </c>
    </row>
    <row r="682" spans="1:16" x14ac:dyDescent="0.35">
      <c r="A682" t="s">
        <v>685</v>
      </c>
      <c r="B682">
        <v>4895</v>
      </c>
      <c r="C682">
        <v>27</v>
      </c>
      <c r="D682">
        <v>66</v>
      </c>
      <c r="E682">
        <v>736</v>
      </c>
      <c r="F682">
        <v>4</v>
      </c>
      <c r="K682" s="1">
        <f t="shared" si="71"/>
        <v>736</v>
      </c>
      <c r="L682" s="1" t="str">
        <f t="shared" si="66"/>
        <v>Normal</v>
      </c>
      <c r="M682" s="2">
        <f t="shared" si="67"/>
        <v>11.145510835913312</v>
      </c>
      <c r="N682" s="1" t="str">
        <f t="shared" si="68"/>
        <v>Kering</v>
      </c>
      <c r="O682" t="str">
        <f t="shared" si="69"/>
        <v>Fuzzy</v>
      </c>
      <c r="P682" t="str">
        <f t="shared" si="70"/>
        <v>Fuzzy</v>
      </c>
    </row>
    <row r="683" spans="1:16" x14ac:dyDescent="0.35">
      <c r="A683" t="s">
        <v>686</v>
      </c>
      <c r="B683">
        <v>4896</v>
      </c>
      <c r="C683">
        <v>28</v>
      </c>
      <c r="D683">
        <v>65</v>
      </c>
      <c r="E683">
        <v>695</v>
      </c>
      <c r="F683">
        <v>4</v>
      </c>
      <c r="K683" s="1">
        <f t="shared" si="71"/>
        <v>695</v>
      </c>
      <c r="L683" s="1" t="str">
        <f t="shared" si="66"/>
        <v>Normal</v>
      </c>
      <c r="M683" s="2">
        <f t="shared" si="67"/>
        <v>98.75</v>
      </c>
      <c r="N683" s="1" t="str">
        <f t="shared" si="68"/>
        <v>Basah</v>
      </c>
      <c r="O683" t="str">
        <f t="shared" si="69"/>
        <v>Fuzzy</v>
      </c>
      <c r="P683" t="str">
        <f t="shared" si="70"/>
        <v>Fuzzy</v>
      </c>
    </row>
    <row r="684" spans="1:16" x14ac:dyDescent="0.35">
      <c r="A684" t="s">
        <v>687</v>
      </c>
      <c r="B684">
        <v>4897</v>
      </c>
      <c r="C684">
        <v>28</v>
      </c>
      <c r="D684">
        <v>65</v>
      </c>
      <c r="E684">
        <v>725</v>
      </c>
      <c r="F684">
        <v>4</v>
      </c>
      <c r="K684" s="1">
        <f t="shared" si="71"/>
        <v>725</v>
      </c>
      <c r="L684" s="1" t="str">
        <f t="shared" si="66"/>
        <v>Normal</v>
      </c>
      <c r="M684" s="2">
        <f t="shared" si="67"/>
        <v>7.7399380804953566</v>
      </c>
      <c r="N684" s="1" t="str">
        <f t="shared" si="68"/>
        <v>Kering</v>
      </c>
      <c r="O684" t="str">
        <f t="shared" si="69"/>
        <v>Fuzzy</v>
      </c>
      <c r="P684" t="str">
        <f t="shared" si="70"/>
        <v>Fuzzy</v>
      </c>
    </row>
    <row r="685" spans="1:16" x14ac:dyDescent="0.35">
      <c r="A685" t="s">
        <v>688</v>
      </c>
      <c r="B685">
        <v>4898</v>
      </c>
      <c r="C685">
        <v>28</v>
      </c>
      <c r="D685">
        <v>64</v>
      </c>
      <c r="E685">
        <v>676</v>
      </c>
      <c r="F685">
        <v>5</v>
      </c>
      <c r="K685" s="1">
        <f t="shared" si="71"/>
        <v>676</v>
      </c>
      <c r="L685" s="1" t="str">
        <f t="shared" si="66"/>
        <v>Normal</v>
      </c>
      <c r="M685" s="2">
        <f t="shared" si="67"/>
        <v>94</v>
      </c>
      <c r="N685" s="1" t="str">
        <f t="shared" si="68"/>
        <v>Basah</v>
      </c>
      <c r="O685" t="str">
        <f t="shared" si="69"/>
        <v>Fuzzy</v>
      </c>
      <c r="P685" t="str">
        <f t="shared" si="70"/>
        <v>Fuzzy</v>
      </c>
    </row>
    <row r="686" spans="1:16" x14ac:dyDescent="0.35">
      <c r="A686" t="s">
        <v>689</v>
      </c>
      <c r="B686">
        <v>4899</v>
      </c>
      <c r="C686">
        <v>28</v>
      </c>
      <c r="D686">
        <v>64</v>
      </c>
      <c r="E686">
        <v>690</v>
      </c>
      <c r="F686">
        <v>4</v>
      </c>
      <c r="K686" s="1">
        <f t="shared" si="71"/>
        <v>690</v>
      </c>
      <c r="L686" s="1" t="str">
        <f t="shared" si="66"/>
        <v>Normal</v>
      </c>
      <c r="M686" s="2">
        <f t="shared" si="67"/>
        <v>97.5</v>
      </c>
      <c r="N686" s="1" t="str">
        <f t="shared" si="68"/>
        <v>Basah</v>
      </c>
      <c r="O686" t="str">
        <f t="shared" si="69"/>
        <v>Fuzzy</v>
      </c>
      <c r="P686" t="str">
        <f t="shared" si="70"/>
        <v>Fuzzy</v>
      </c>
    </row>
    <row r="687" spans="1:16" x14ac:dyDescent="0.35">
      <c r="A687" t="s">
        <v>690</v>
      </c>
      <c r="B687">
        <v>4900</v>
      </c>
      <c r="C687">
        <v>28</v>
      </c>
      <c r="D687">
        <v>63</v>
      </c>
      <c r="E687">
        <v>667</v>
      </c>
      <c r="F687">
        <v>3</v>
      </c>
      <c r="K687" s="1">
        <f t="shared" si="71"/>
        <v>667</v>
      </c>
      <c r="L687" s="1" t="str">
        <f t="shared" si="66"/>
        <v>Normal</v>
      </c>
      <c r="M687" s="2">
        <f t="shared" si="67"/>
        <v>91.75</v>
      </c>
      <c r="N687" s="1" t="str">
        <f t="shared" si="68"/>
        <v>Basah</v>
      </c>
      <c r="O687" t="str">
        <f t="shared" si="69"/>
        <v>Fuzzy</v>
      </c>
      <c r="P687" t="str">
        <f t="shared" si="70"/>
        <v>Fuzzy</v>
      </c>
    </row>
    <row r="688" spans="1:16" x14ac:dyDescent="0.35">
      <c r="A688" t="s">
        <v>691</v>
      </c>
      <c r="B688">
        <v>4901</v>
      </c>
      <c r="C688">
        <v>28</v>
      </c>
      <c r="D688">
        <v>63</v>
      </c>
      <c r="E688">
        <v>717</v>
      </c>
      <c r="F688">
        <v>4</v>
      </c>
      <c r="K688" s="1">
        <f t="shared" si="71"/>
        <v>717</v>
      </c>
      <c r="L688" s="1" t="str">
        <f t="shared" si="66"/>
        <v>Normal</v>
      </c>
      <c r="M688" s="2">
        <f t="shared" si="67"/>
        <v>5.2631578947368416</v>
      </c>
      <c r="N688" s="1" t="str">
        <f t="shared" si="68"/>
        <v>Kering</v>
      </c>
      <c r="O688" t="str">
        <f t="shared" si="69"/>
        <v>Fuzzy</v>
      </c>
      <c r="P688" t="str">
        <f t="shared" si="70"/>
        <v>Fuzzy</v>
      </c>
    </row>
    <row r="689" spans="1:16" x14ac:dyDescent="0.35">
      <c r="A689" t="s">
        <v>692</v>
      </c>
      <c r="B689">
        <v>4902</v>
      </c>
      <c r="C689">
        <v>27</v>
      </c>
      <c r="D689">
        <v>62</v>
      </c>
      <c r="E689">
        <v>750</v>
      </c>
      <c r="F689">
        <v>4</v>
      </c>
      <c r="K689" s="1">
        <f t="shared" si="71"/>
        <v>750</v>
      </c>
      <c r="L689" s="1" t="str">
        <f t="shared" si="66"/>
        <v>Normal</v>
      </c>
      <c r="M689" s="2">
        <f t="shared" si="67"/>
        <v>15.479876160990713</v>
      </c>
      <c r="N689" s="1" t="str">
        <f t="shared" si="68"/>
        <v>Kering</v>
      </c>
      <c r="O689" t="str">
        <f t="shared" si="69"/>
        <v>Fuzzy</v>
      </c>
      <c r="P689" t="str">
        <f t="shared" si="70"/>
        <v>Fuzzy</v>
      </c>
    </row>
    <row r="690" spans="1:16" x14ac:dyDescent="0.35">
      <c r="A690" t="s">
        <v>693</v>
      </c>
      <c r="B690">
        <v>4903</v>
      </c>
      <c r="C690">
        <v>27</v>
      </c>
      <c r="D690">
        <v>61</v>
      </c>
      <c r="E690">
        <v>742</v>
      </c>
      <c r="F690">
        <v>4</v>
      </c>
      <c r="K690" s="1">
        <f t="shared" si="71"/>
        <v>742</v>
      </c>
      <c r="L690" s="1" t="str">
        <f t="shared" si="66"/>
        <v>Normal</v>
      </c>
      <c r="M690" s="2">
        <f t="shared" si="67"/>
        <v>13.003095975232199</v>
      </c>
      <c r="N690" s="1" t="str">
        <f t="shared" si="68"/>
        <v>Kering</v>
      </c>
      <c r="O690" t="str">
        <f t="shared" si="69"/>
        <v>Fuzzy</v>
      </c>
      <c r="P690" t="str">
        <f t="shared" si="70"/>
        <v>Fuzzy</v>
      </c>
    </row>
    <row r="691" spans="1:16" x14ac:dyDescent="0.35">
      <c r="A691" t="s">
        <v>694</v>
      </c>
      <c r="B691">
        <v>4904</v>
      </c>
      <c r="C691">
        <v>27</v>
      </c>
      <c r="D691">
        <v>62</v>
      </c>
      <c r="E691">
        <v>725</v>
      </c>
      <c r="F691">
        <v>4</v>
      </c>
      <c r="K691" s="1">
        <f t="shared" si="71"/>
        <v>725</v>
      </c>
      <c r="L691" s="1" t="str">
        <f t="shared" si="66"/>
        <v>Normal</v>
      </c>
      <c r="M691" s="2">
        <f t="shared" si="67"/>
        <v>7.7399380804953566</v>
      </c>
      <c r="N691" s="1" t="str">
        <f t="shared" si="68"/>
        <v>Kering</v>
      </c>
      <c r="O691" t="str">
        <f t="shared" si="69"/>
        <v>Fuzzy</v>
      </c>
      <c r="P691" t="str">
        <f t="shared" si="70"/>
        <v>Fuzzy</v>
      </c>
    </row>
    <row r="692" spans="1:16" x14ac:dyDescent="0.35">
      <c r="A692" t="s">
        <v>695</v>
      </c>
      <c r="B692">
        <v>4905</v>
      </c>
      <c r="C692">
        <v>27</v>
      </c>
      <c r="D692">
        <v>63</v>
      </c>
      <c r="E692">
        <v>731</v>
      </c>
      <c r="F692">
        <v>4</v>
      </c>
      <c r="K692" s="1">
        <f t="shared" si="71"/>
        <v>731</v>
      </c>
      <c r="L692" s="1" t="str">
        <f t="shared" si="66"/>
        <v>Normal</v>
      </c>
      <c r="M692" s="2">
        <f t="shared" si="67"/>
        <v>9.5975232198142422</v>
      </c>
      <c r="N692" s="1" t="str">
        <f t="shared" si="68"/>
        <v>Kering</v>
      </c>
      <c r="O692" t="str">
        <f t="shared" si="69"/>
        <v>Fuzzy</v>
      </c>
      <c r="P692" t="str">
        <f t="shared" si="70"/>
        <v>Fuzzy</v>
      </c>
    </row>
    <row r="693" spans="1:16" x14ac:dyDescent="0.35">
      <c r="A693" t="s">
        <v>696</v>
      </c>
      <c r="B693">
        <v>4906</v>
      </c>
      <c r="C693">
        <v>27</v>
      </c>
      <c r="D693">
        <v>64</v>
      </c>
      <c r="E693">
        <v>696</v>
      </c>
      <c r="F693">
        <v>3</v>
      </c>
      <c r="K693" s="1">
        <f t="shared" si="71"/>
        <v>696</v>
      </c>
      <c r="L693" s="1" t="str">
        <f t="shared" si="66"/>
        <v>Normal</v>
      </c>
      <c r="M693" s="2">
        <f t="shared" si="67"/>
        <v>99</v>
      </c>
      <c r="N693" s="1" t="str">
        <f t="shared" si="68"/>
        <v>Basah</v>
      </c>
      <c r="O693" t="str">
        <f t="shared" si="69"/>
        <v>Fuzzy</v>
      </c>
      <c r="P693" t="str">
        <f t="shared" si="70"/>
        <v>Fuzzy</v>
      </c>
    </row>
    <row r="694" spans="1:16" x14ac:dyDescent="0.35">
      <c r="A694" t="s">
        <v>697</v>
      </c>
      <c r="B694">
        <v>4907</v>
      </c>
      <c r="C694">
        <v>27</v>
      </c>
      <c r="D694">
        <v>65</v>
      </c>
      <c r="E694">
        <v>791</v>
      </c>
      <c r="F694">
        <v>3</v>
      </c>
      <c r="K694" s="1">
        <f t="shared" si="71"/>
        <v>791</v>
      </c>
      <c r="L694" s="1" t="str">
        <f t="shared" si="66"/>
        <v>Normal</v>
      </c>
      <c r="M694" s="2">
        <f t="shared" si="67"/>
        <v>28.173374613003094</v>
      </c>
      <c r="N694" s="1" t="str">
        <f t="shared" si="68"/>
        <v>Kering</v>
      </c>
      <c r="O694" t="str">
        <f t="shared" si="69"/>
        <v>Fuzzy</v>
      </c>
      <c r="P694" t="str">
        <f t="shared" si="70"/>
        <v>Fuzzy</v>
      </c>
    </row>
    <row r="695" spans="1:16" x14ac:dyDescent="0.35">
      <c r="A695" t="s">
        <v>698</v>
      </c>
      <c r="B695">
        <v>4908</v>
      </c>
      <c r="C695">
        <v>27</v>
      </c>
      <c r="D695">
        <v>67</v>
      </c>
      <c r="E695">
        <v>721</v>
      </c>
      <c r="F695">
        <v>4</v>
      </c>
      <c r="K695" s="1">
        <f t="shared" si="71"/>
        <v>721</v>
      </c>
      <c r="L695" s="1" t="str">
        <f t="shared" si="66"/>
        <v>Normal</v>
      </c>
      <c r="M695" s="2">
        <f t="shared" si="67"/>
        <v>6.5015479876160995</v>
      </c>
      <c r="N695" s="1" t="str">
        <f t="shared" si="68"/>
        <v>Kering</v>
      </c>
      <c r="O695" t="str">
        <f t="shared" si="69"/>
        <v>Fuzzy</v>
      </c>
      <c r="P695" t="str">
        <f t="shared" si="70"/>
        <v>Fuzzy</v>
      </c>
    </row>
    <row r="696" spans="1:16" x14ac:dyDescent="0.35">
      <c r="A696" t="s">
        <v>699</v>
      </c>
      <c r="B696">
        <v>4909</v>
      </c>
      <c r="C696">
        <v>27</v>
      </c>
      <c r="D696">
        <v>67</v>
      </c>
      <c r="E696">
        <v>779</v>
      </c>
      <c r="F696">
        <v>4</v>
      </c>
      <c r="K696" s="1">
        <f t="shared" si="71"/>
        <v>779</v>
      </c>
      <c r="L696" s="1" t="str">
        <f t="shared" si="66"/>
        <v>Normal</v>
      </c>
      <c r="M696" s="2">
        <f t="shared" si="67"/>
        <v>24.458204334365323</v>
      </c>
      <c r="N696" s="1" t="str">
        <f t="shared" si="68"/>
        <v>Kering</v>
      </c>
      <c r="O696" t="str">
        <f t="shared" si="69"/>
        <v>Fuzzy</v>
      </c>
      <c r="P696" t="str">
        <f t="shared" si="70"/>
        <v>Fuzzy</v>
      </c>
    </row>
    <row r="697" spans="1:16" x14ac:dyDescent="0.35">
      <c r="A697" t="s">
        <v>700</v>
      </c>
      <c r="B697">
        <v>4910</v>
      </c>
      <c r="C697">
        <v>27</v>
      </c>
      <c r="D697">
        <v>68</v>
      </c>
      <c r="E697">
        <v>704</v>
      </c>
      <c r="F697">
        <v>3</v>
      </c>
      <c r="K697" s="1">
        <f t="shared" si="71"/>
        <v>704</v>
      </c>
      <c r="L697" s="1" t="str">
        <f t="shared" si="66"/>
        <v>Normal</v>
      </c>
      <c r="M697" s="2">
        <f t="shared" si="67"/>
        <v>1.2383900928792571</v>
      </c>
      <c r="N697" s="1" t="str">
        <f t="shared" si="68"/>
        <v>Kering</v>
      </c>
      <c r="O697" t="str">
        <f t="shared" si="69"/>
        <v>Fuzzy</v>
      </c>
      <c r="P697" t="str">
        <f t="shared" si="70"/>
        <v>Fuzzy</v>
      </c>
    </row>
    <row r="698" spans="1:16" x14ac:dyDescent="0.35">
      <c r="A698" t="s">
        <v>701</v>
      </c>
      <c r="B698">
        <v>4911</v>
      </c>
      <c r="C698">
        <v>27</v>
      </c>
      <c r="D698">
        <v>69</v>
      </c>
      <c r="E698">
        <v>734</v>
      </c>
      <c r="F698">
        <v>3</v>
      </c>
      <c r="K698" s="1">
        <f t="shared" si="71"/>
        <v>734</v>
      </c>
      <c r="L698" s="1" t="str">
        <f t="shared" si="66"/>
        <v>Normal</v>
      </c>
      <c r="M698" s="2">
        <f t="shared" si="67"/>
        <v>10.526315789473683</v>
      </c>
      <c r="N698" s="1" t="str">
        <f t="shared" si="68"/>
        <v>Kering</v>
      </c>
      <c r="O698" t="str">
        <f t="shared" si="69"/>
        <v>Fuzzy</v>
      </c>
      <c r="P698" t="str">
        <f t="shared" si="70"/>
        <v>Fuzzy</v>
      </c>
    </row>
    <row r="699" spans="1:16" x14ac:dyDescent="0.35">
      <c r="A699" t="s">
        <v>702</v>
      </c>
      <c r="B699">
        <v>4912</v>
      </c>
      <c r="C699">
        <v>27</v>
      </c>
      <c r="D699">
        <v>69</v>
      </c>
      <c r="E699">
        <v>667</v>
      </c>
      <c r="F699">
        <v>4</v>
      </c>
      <c r="K699" s="1">
        <f t="shared" si="71"/>
        <v>667</v>
      </c>
      <c r="L699" s="1" t="str">
        <f t="shared" si="66"/>
        <v>Normal</v>
      </c>
      <c r="M699" s="2">
        <f t="shared" si="67"/>
        <v>91.75</v>
      </c>
      <c r="N699" s="1" t="str">
        <f t="shared" si="68"/>
        <v>Basah</v>
      </c>
      <c r="O699" t="str">
        <f t="shared" si="69"/>
        <v>Fuzzy</v>
      </c>
      <c r="P699" t="str">
        <f t="shared" si="70"/>
        <v>Fuzzy</v>
      </c>
    </row>
    <row r="700" spans="1:16" x14ac:dyDescent="0.35">
      <c r="A700" t="s">
        <v>703</v>
      </c>
      <c r="B700">
        <v>4913</v>
      </c>
      <c r="C700">
        <v>27</v>
      </c>
      <c r="D700">
        <v>70</v>
      </c>
      <c r="E700">
        <v>707</v>
      </c>
      <c r="F700">
        <v>4</v>
      </c>
      <c r="K700" s="1">
        <f t="shared" si="71"/>
        <v>707</v>
      </c>
      <c r="L700" s="1" t="str">
        <f t="shared" si="66"/>
        <v>Normal</v>
      </c>
      <c r="M700" s="2">
        <f t="shared" si="67"/>
        <v>2.1671826625386998</v>
      </c>
      <c r="N700" s="1" t="str">
        <f t="shared" si="68"/>
        <v>Kering</v>
      </c>
      <c r="O700" t="str">
        <f t="shared" si="69"/>
        <v>Fuzzy</v>
      </c>
      <c r="P700" t="str">
        <f t="shared" si="70"/>
        <v>Fuzzy</v>
      </c>
    </row>
    <row r="701" spans="1:16" x14ac:dyDescent="0.35">
      <c r="A701" t="s">
        <v>704</v>
      </c>
      <c r="B701">
        <v>4914</v>
      </c>
      <c r="C701">
        <v>27</v>
      </c>
      <c r="D701">
        <v>70</v>
      </c>
      <c r="E701">
        <v>746</v>
      </c>
      <c r="F701">
        <v>4</v>
      </c>
      <c r="K701" s="1">
        <f t="shared" si="71"/>
        <v>746</v>
      </c>
      <c r="L701" s="1" t="str">
        <f t="shared" si="66"/>
        <v>Normal</v>
      </c>
      <c r="M701" s="2">
        <f t="shared" si="67"/>
        <v>14.241486068111456</v>
      </c>
      <c r="N701" s="1" t="str">
        <f t="shared" si="68"/>
        <v>Kering</v>
      </c>
      <c r="O701" t="str">
        <f t="shared" si="69"/>
        <v>Fuzzy</v>
      </c>
      <c r="P701" t="str">
        <f t="shared" si="70"/>
        <v>Fuzzy</v>
      </c>
    </row>
    <row r="702" spans="1:16" x14ac:dyDescent="0.35">
      <c r="A702" t="s">
        <v>705</v>
      </c>
      <c r="B702">
        <v>4915</v>
      </c>
      <c r="C702">
        <v>27</v>
      </c>
      <c r="D702">
        <v>70</v>
      </c>
      <c r="E702">
        <v>721</v>
      </c>
      <c r="F702">
        <v>4</v>
      </c>
      <c r="K702" s="1">
        <f t="shared" si="71"/>
        <v>721</v>
      </c>
      <c r="L702" s="1" t="str">
        <f t="shared" si="66"/>
        <v>Normal</v>
      </c>
      <c r="M702" s="2">
        <f t="shared" si="67"/>
        <v>6.5015479876160995</v>
      </c>
      <c r="N702" s="1" t="str">
        <f t="shared" si="68"/>
        <v>Kering</v>
      </c>
      <c r="O702" t="str">
        <f t="shared" si="69"/>
        <v>Fuzzy</v>
      </c>
      <c r="P702" t="str">
        <f t="shared" si="70"/>
        <v>Fuzzy</v>
      </c>
    </row>
    <row r="703" spans="1:16" x14ac:dyDescent="0.35">
      <c r="A703" t="s">
        <v>706</v>
      </c>
      <c r="B703">
        <v>4916</v>
      </c>
      <c r="C703">
        <v>27</v>
      </c>
      <c r="D703">
        <v>70</v>
      </c>
      <c r="E703">
        <v>641</v>
      </c>
      <c r="F703">
        <v>4</v>
      </c>
      <c r="K703" s="1">
        <f t="shared" si="71"/>
        <v>641</v>
      </c>
      <c r="L703" s="1" t="str">
        <f t="shared" si="66"/>
        <v>Normal</v>
      </c>
      <c r="M703" s="2">
        <f t="shared" si="67"/>
        <v>85.25</v>
      </c>
      <c r="N703" s="1" t="str">
        <f t="shared" si="68"/>
        <v>Basah</v>
      </c>
      <c r="O703" t="str">
        <f t="shared" si="69"/>
        <v>Fuzzy</v>
      </c>
      <c r="P703" t="str">
        <f t="shared" si="70"/>
        <v>Fuzzy</v>
      </c>
    </row>
    <row r="704" spans="1:16" x14ac:dyDescent="0.35">
      <c r="A704" t="s">
        <v>707</v>
      </c>
      <c r="B704">
        <v>4917</v>
      </c>
      <c r="C704">
        <v>27</v>
      </c>
      <c r="D704">
        <v>70</v>
      </c>
      <c r="E704">
        <v>725</v>
      </c>
      <c r="F704">
        <v>3</v>
      </c>
      <c r="K704" s="1">
        <f t="shared" si="71"/>
        <v>725</v>
      </c>
      <c r="L704" s="1" t="str">
        <f t="shared" si="66"/>
        <v>Normal</v>
      </c>
      <c r="M704" s="2">
        <f t="shared" si="67"/>
        <v>7.7399380804953566</v>
      </c>
      <c r="N704" s="1" t="str">
        <f t="shared" si="68"/>
        <v>Kering</v>
      </c>
      <c r="O704" t="str">
        <f t="shared" si="69"/>
        <v>Fuzzy</v>
      </c>
      <c r="P704" t="str">
        <f t="shared" si="70"/>
        <v>Fuzzy</v>
      </c>
    </row>
    <row r="705" spans="1:16" x14ac:dyDescent="0.35">
      <c r="A705" t="s">
        <v>708</v>
      </c>
      <c r="B705">
        <v>4918</v>
      </c>
      <c r="C705">
        <v>27</v>
      </c>
      <c r="D705">
        <v>71</v>
      </c>
      <c r="E705">
        <v>854</v>
      </c>
      <c r="F705">
        <v>4</v>
      </c>
      <c r="K705" s="1">
        <f t="shared" si="71"/>
        <v>854</v>
      </c>
      <c r="L705" s="1" t="str">
        <f t="shared" si="66"/>
        <v>Normal</v>
      </c>
      <c r="M705" s="2">
        <f t="shared" si="67"/>
        <v>47.678018575851397</v>
      </c>
      <c r="N705" s="1" t="str">
        <f t="shared" si="68"/>
        <v>Lembab</v>
      </c>
      <c r="O705" t="str">
        <f t="shared" si="69"/>
        <v>Fuzzy</v>
      </c>
      <c r="P705" t="str">
        <f t="shared" si="70"/>
        <v>Fuzzy</v>
      </c>
    </row>
    <row r="706" spans="1:16" x14ac:dyDescent="0.35">
      <c r="A706" t="s">
        <v>709</v>
      </c>
      <c r="B706">
        <v>4919</v>
      </c>
      <c r="C706">
        <v>27</v>
      </c>
      <c r="D706">
        <v>71</v>
      </c>
      <c r="E706">
        <v>708</v>
      </c>
      <c r="F706">
        <v>4</v>
      </c>
      <c r="K706" s="1">
        <f t="shared" si="71"/>
        <v>708</v>
      </c>
      <c r="L706" s="1" t="str">
        <f t="shared" si="66"/>
        <v>Normal</v>
      </c>
      <c r="M706" s="2">
        <f t="shared" si="67"/>
        <v>2.4767801857585141</v>
      </c>
      <c r="N706" s="1" t="str">
        <f t="shared" si="68"/>
        <v>Kering</v>
      </c>
      <c r="O706" t="str">
        <f t="shared" si="69"/>
        <v>Fuzzy</v>
      </c>
      <c r="P706" t="str">
        <f t="shared" si="70"/>
        <v>Fuzzy</v>
      </c>
    </row>
    <row r="707" spans="1:16" x14ac:dyDescent="0.35">
      <c r="A707" t="s">
        <v>710</v>
      </c>
      <c r="B707">
        <v>4920</v>
      </c>
      <c r="C707">
        <v>27</v>
      </c>
      <c r="D707">
        <v>73</v>
      </c>
      <c r="E707">
        <v>698</v>
      </c>
      <c r="F707">
        <v>5</v>
      </c>
      <c r="K707" s="1">
        <f t="shared" si="71"/>
        <v>698</v>
      </c>
      <c r="L707" s="1" t="str">
        <f t="shared" ref="L707:L770" si="72">IF(A706 &lt;= 10, "Dingin", IF(OR(A706 &gt;= 10, A706 &lt; 35), "Normal", "Panas"))</f>
        <v>Normal</v>
      </c>
      <c r="M707" s="2">
        <f t="shared" ref="M707:M770" si="73">IF(K707&lt;=300, K707/1023*100, IF(K707&lt;=700, (K707-300)/(700-301+1)*100, (K707-700)/(1023-701+1)*100))</f>
        <v>99.5</v>
      </c>
      <c r="N707" s="1" t="str">
        <f t="shared" ref="N707:N770" si="74">IF(M707&lt;=29.32, "Kering", IF(M707&lt;=68.53, "Lembab", "Basah"))</f>
        <v>Basah</v>
      </c>
      <c r="O707" t="str">
        <f t="shared" ref="O707:O770" si="75">IF(OR(AND(C707 &gt; 10, C707 &lt; 22.5), AND(C707 &gt;= 22.5, C707 &lt; 35)), "Fuzzy", "")</f>
        <v>Fuzzy</v>
      </c>
      <c r="P707" t="str">
        <f t="shared" ref="P707:P770" si="76">IF(OR(AND(M707 &gt;= 0, M707 &lt; 50), AND(M707 &gt;= 50, M707 &lt; 100)), "Fuzzy", "")</f>
        <v>Fuzzy</v>
      </c>
    </row>
    <row r="708" spans="1:16" x14ac:dyDescent="0.35">
      <c r="A708" t="s">
        <v>711</v>
      </c>
      <c r="B708">
        <v>4921</v>
      </c>
      <c r="C708">
        <v>27</v>
      </c>
      <c r="D708">
        <v>74</v>
      </c>
      <c r="E708">
        <v>777</v>
      </c>
      <c r="F708">
        <v>4</v>
      </c>
      <c r="K708" s="1">
        <f t="shared" si="71"/>
        <v>777</v>
      </c>
      <c r="L708" s="1" t="str">
        <f t="shared" si="72"/>
        <v>Normal</v>
      </c>
      <c r="M708" s="2">
        <f t="shared" si="73"/>
        <v>23.839009287925698</v>
      </c>
      <c r="N708" s="1" t="str">
        <f t="shared" si="74"/>
        <v>Kering</v>
      </c>
      <c r="O708" t="str">
        <f t="shared" si="75"/>
        <v>Fuzzy</v>
      </c>
      <c r="P708" t="str">
        <f t="shared" si="76"/>
        <v>Fuzzy</v>
      </c>
    </row>
    <row r="709" spans="1:16" x14ac:dyDescent="0.35">
      <c r="A709" t="s">
        <v>712</v>
      </c>
      <c r="B709">
        <v>4922</v>
      </c>
      <c r="C709">
        <v>27</v>
      </c>
      <c r="D709">
        <v>76</v>
      </c>
      <c r="E709">
        <v>792</v>
      </c>
      <c r="F709">
        <v>4</v>
      </c>
      <c r="K709" s="1">
        <f t="shared" si="71"/>
        <v>792</v>
      </c>
      <c r="L709" s="1" t="str">
        <f t="shared" si="72"/>
        <v>Normal</v>
      </c>
      <c r="M709" s="2">
        <f t="shared" si="73"/>
        <v>28.482972136222912</v>
      </c>
      <c r="N709" s="1" t="str">
        <f t="shared" si="74"/>
        <v>Kering</v>
      </c>
      <c r="O709" t="str">
        <f t="shared" si="75"/>
        <v>Fuzzy</v>
      </c>
      <c r="P709" t="str">
        <f t="shared" si="76"/>
        <v>Fuzzy</v>
      </c>
    </row>
    <row r="710" spans="1:16" x14ac:dyDescent="0.35">
      <c r="A710" t="s">
        <v>713</v>
      </c>
      <c r="B710">
        <v>4923</v>
      </c>
      <c r="C710">
        <v>27</v>
      </c>
      <c r="D710">
        <v>77</v>
      </c>
      <c r="E710">
        <v>736</v>
      </c>
      <c r="F710">
        <v>4</v>
      </c>
      <c r="K710" s="1">
        <f t="shared" si="71"/>
        <v>736</v>
      </c>
      <c r="L710" s="1" t="str">
        <f t="shared" si="72"/>
        <v>Normal</v>
      </c>
      <c r="M710" s="2">
        <f t="shared" si="73"/>
        <v>11.145510835913312</v>
      </c>
      <c r="N710" s="1" t="str">
        <f t="shared" si="74"/>
        <v>Kering</v>
      </c>
      <c r="O710" t="str">
        <f t="shared" si="75"/>
        <v>Fuzzy</v>
      </c>
      <c r="P710" t="str">
        <f t="shared" si="76"/>
        <v>Fuzzy</v>
      </c>
    </row>
    <row r="711" spans="1:16" x14ac:dyDescent="0.35">
      <c r="A711" t="s">
        <v>714</v>
      </c>
      <c r="B711">
        <v>4924</v>
      </c>
      <c r="C711">
        <v>27</v>
      </c>
      <c r="D711">
        <v>76</v>
      </c>
      <c r="E711">
        <v>698</v>
      </c>
      <c r="F711">
        <v>3</v>
      </c>
      <c r="K711" s="1">
        <f t="shared" si="71"/>
        <v>698</v>
      </c>
      <c r="L711" s="1" t="str">
        <f t="shared" si="72"/>
        <v>Normal</v>
      </c>
      <c r="M711" s="2">
        <f t="shared" si="73"/>
        <v>99.5</v>
      </c>
      <c r="N711" s="1" t="str">
        <f t="shared" si="74"/>
        <v>Basah</v>
      </c>
      <c r="O711" t="str">
        <f t="shared" si="75"/>
        <v>Fuzzy</v>
      </c>
      <c r="P711" t="str">
        <f t="shared" si="76"/>
        <v>Fuzzy</v>
      </c>
    </row>
    <row r="712" spans="1:16" x14ac:dyDescent="0.35">
      <c r="A712" t="s">
        <v>715</v>
      </c>
      <c r="B712">
        <v>4925</v>
      </c>
      <c r="C712">
        <v>27</v>
      </c>
      <c r="D712">
        <v>77</v>
      </c>
      <c r="E712">
        <v>752</v>
      </c>
      <c r="F712">
        <v>4</v>
      </c>
      <c r="K712" s="1">
        <f t="shared" si="71"/>
        <v>752</v>
      </c>
      <c r="L712" s="1" t="str">
        <f t="shared" si="72"/>
        <v>Normal</v>
      </c>
      <c r="M712" s="2">
        <f t="shared" si="73"/>
        <v>16.099071207430342</v>
      </c>
      <c r="N712" s="1" t="str">
        <f t="shared" si="74"/>
        <v>Kering</v>
      </c>
      <c r="O712" t="str">
        <f t="shared" si="75"/>
        <v>Fuzzy</v>
      </c>
      <c r="P712" t="str">
        <f t="shared" si="76"/>
        <v>Fuzzy</v>
      </c>
    </row>
    <row r="713" spans="1:16" x14ac:dyDescent="0.35">
      <c r="A713" t="s">
        <v>716</v>
      </c>
      <c r="B713">
        <v>4926</v>
      </c>
      <c r="C713">
        <v>27</v>
      </c>
      <c r="D713">
        <v>73</v>
      </c>
      <c r="E713">
        <v>733</v>
      </c>
      <c r="F713">
        <v>4</v>
      </c>
      <c r="K713" s="1">
        <f t="shared" si="71"/>
        <v>733</v>
      </c>
      <c r="L713" s="1" t="str">
        <f t="shared" si="72"/>
        <v>Normal</v>
      </c>
      <c r="M713" s="2">
        <f t="shared" si="73"/>
        <v>10.216718266253871</v>
      </c>
      <c r="N713" s="1" t="str">
        <f t="shared" si="74"/>
        <v>Kering</v>
      </c>
      <c r="O713" t="str">
        <f t="shared" si="75"/>
        <v>Fuzzy</v>
      </c>
      <c r="P713" t="str">
        <f t="shared" si="76"/>
        <v>Fuzzy</v>
      </c>
    </row>
    <row r="714" spans="1:16" x14ac:dyDescent="0.35">
      <c r="A714" t="s">
        <v>717</v>
      </c>
      <c r="B714">
        <v>4927</v>
      </c>
      <c r="C714">
        <v>27</v>
      </c>
      <c r="D714">
        <v>73</v>
      </c>
      <c r="E714">
        <v>675</v>
      </c>
      <c r="F714">
        <v>3</v>
      </c>
      <c r="K714" s="1">
        <f t="shared" si="71"/>
        <v>675</v>
      </c>
      <c r="L714" s="1" t="str">
        <f t="shared" si="72"/>
        <v>Normal</v>
      </c>
      <c r="M714" s="2">
        <f t="shared" si="73"/>
        <v>93.75</v>
      </c>
      <c r="N714" s="1" t="str">
        <f t="shared" si="74"/>
        <v>Basah</v>
      </c>
      <c r="O714" t="str">
        <f t="shared" si="75"/>
        <v>Fuzzy</v>
      </c>
      <c r="P714" t="str">
        <f t="shared" si="76"/>
        <v>Fuzzy</v>
      </c>
    </row>
    <row r="715" spans="1:16" x14ac:dyDescent="0.35">
      <c r="A715" t="s">
        <v>718</v>
      </c>
      <c r="B715">
        <v>4928</v>
      </c>
      <c r="C715">
        <v>27</v>
      </c>
      <c r="D715">
        <v>71</v>
      </c>
      <c r="E715">
        <v>690</v>
      </c>
      <c r="F715">
        <v>4</v>
      </c>
      <c r="K715" s="1">
        <f t="shared" si="71"/>
        <v>690</v>
      </c>
      <c r="L715" s="1" t="str">
        <f t="shared" si="72"/>
        <v>Normal</v>
      </c>
      <c r="M715" s="2">
        <f t="shared" si="73"/>
        <v>97.5</v>
      </c>
      <c r="N715" s="1" t="str">
        <f t="shared" si="74"/>
        <v>Basah</v>
      </c>
      <c r="O715" t="str">
        <f t="shared" si="75"/>
        <v>Fuzzy</v>
      </c>
      <c r="P715" t="str">
        <f t="shared" si="76"/>
        <v>Fuzzy</v>
      </c>
    </row>
    <row r="716" spans="1:16" x14ac:dyDescent="0.35">
      <c r="A716" t="s">
        <v>719</v>
      </c>
      <c r="B716">
        <v>4929</v>
      </c>
      <c r="C716">
        <v>27</v>
      </c>
      <c r="D716">
        <v>69</v>
      </c>
      <c r="E716">
        <v>794</v>
      </c>
      <c r="F716">
        <v>4</v>
      </c>
      <c r="K716" s="1">
        <f t="shared" si="71"/>
        <v>794</v>
      </c>
      <c r="L716" s="1" t="str">
        <f t="shared" si="72"/>
        <v>Normal</v>
      </c>
      <c r="M716" s="2">
        <f t="shared" si="73"/>
        <v>29.102167182662537</v>
      </c>
      <c r="N716" s="1" t="str">
        <f t="shared" si="74"/>
        <v>Kering</v>
      </c>
      <c r="O716" t="str">
        <f t="shared" si="75"/>
        <v>Fuzzy</v>
      </c>
      <c r="P716" t="str">
        <f t="shared" si="76"/>
        <v>Fuzzy</v>
      </c>
    </row>
    <row r="717" spans="1:16" x14ac:dyDescent="0.35">
      <c r="A717" t="s">
        <v>720</v>
      </c>
      <c r="B717">
        <v>4930</v>
      </c>
      <c r="C717">
        <v>27</v>
      </c>
      <c r="D717">
        <v>68</v>
      </c>
      <c r="E717">
        <v>737</v>
      </c>
      <c r="F717">
        <v>4</v>
      </c>
      <c r="K717" s="1">
        <f t="shared" ref="K717:K780" si="77">IF(E717&lt;=1023, E717, "")</f>
        <v>737</v>
      </c>
      <c r="L717" s="1" t="str">
        <f t="shared" si="72"/>
        <v>Normal</v>
      </c>
      <c r="M717" s="2">
        <f t="shared" si="73"/>
        <v>11.455108359133128</v>
      </c>
      <c r="N717" s="1" t="str">
        <f t="shared" si="74"/>
        <v>Kering</v>
      </c>
      <c r="O717" t="str">
        <f t="shared" si="75"/>
        <v>Fuzzy</v>
      </c>
      <c r="P717" t="str">
        <f t="shared" si="76"/>
        <v>Fuzzy</v>
      </c>
    </row>
    <row r="718" spans="1:16" x14ac:dyDescent="0.35">
      <c r="A718" t="s">
        <v>721</v>
      </c>
      <c r="B718">
        <v>4931</v>
      </c>
      <c r="C718">
        <v>27</v>
      </c>
      <c r="D718">
        <v>67</v>
      </c>
      <c r="E718">
        <v>589</v>
      </c>
      <c r="F718">
        <v>4</v>
      </c>
      <c r="K718" s="1">
        <f t="shared" si="77"/>
        <v>589</v>
      </c>
      <c r="L718" s="1" t="str">
        <f t="shared" si="72"/>
        <v>Normal</v>
      </c>
      <c r="M718" s="2">
        <f t="shared" si="73"/>
        <v>72.25</v>
      </c>
      <c r="N718" s="1" t="str">
        <f t="shared" si="74"/>
        <v>Basah</v>
      </c>
      <c r="O718" t="str">
        <f t="shared" si="75"/>
        <v>Fuzzy</v>
      </c>
      <c r="P718" t="str">
        <f t="shared" si="76"/>
        <v>Fuzzy</v>
      </c>
    </row>
    <row r="719" spans="1:16" x14ac:dyDescent="0.35">
      <c r="A719" t="s">
        <v>722</v>
      </c>
      <c r="B719">
        <v>4932</v>
      </c>
      <c r="C719">
        <v>27</v>
      </c>
      <c r="D719">
        <v>65</v>
      </c>
      <c r="E719">
        <v>708</v>
      </c>
      <c r="F719">
        <v>4</v>
      </c>
      <c r="K719" s="1">
        <f t="shared" si="77"/>
        <v>708</v>
      </c>
      <c r="L719" s="1" t="str">
        <f t="shared" si="72"/>
        <v>Normal</v>
      </c>
      <c r="M719" s="2">
        <f t="shared" si="73"/>
        <v>2.4767801857585141</v>
      </c>
      <c r="N719" s="1" t="str">
        <f t="shared" si="74"/>
        <v>Kering</v>
      </c>
      <c r="O719" t="str">
        <f t="shared" si="75"/>
        <v>Fuzzy</v>
      </c>
      <c r="P719" t="str">
        <f t="shared" si="76"/>
        <v>Fuzzy</v>
      </c>
    </row>
    <row r="720" spans="1:16" x14ac:dyDescent="0.35">
      <c r="A720" t="s">
        <v>723</v>
      </c>
      <c r="B720">
        <v>4933</v>
      </c>
      <c r="C720">
        <v>27</v>
      </c>
      <c r="D720">
        <v>65</v>
      </c>
      <c r="E720">
        <v>623</v>
      </c>
      <c r="F720">
        <v>4</v>
      </c>
      <c r="K720" s="1">
        <f t="shared" si="77"/>
        <v>623</v>
      </c>
      <c r="L720" s="1" t="str">
        <f t="shared" si="72"/>
        <v>Normal</v>
      </c>
      <c r="M720" s="2">
        <f t="shared" si="73"/>
        <v>80.75</v>
      </c>
      <c r="N720" s="1" t="str">
        <f t="shared" si="74"/>
        <v>Basah</v>
      </c>
      <c r="O720" t="str">
        <f t="shared" si="75"/>
        <v>Fuzzy</v>
      </c>
      <c r="P720" t="str">
        <f t="shared" si="76"/>
        <v>Fuzzy</v>
      </c>
    </row>
    <row r="721" spans="1:16" x14ac:dyDescent="0.35">
      <c r="A721" t="s">
        <v>724</v>
      </c>
      <c r="B721">
        <v>4934</v>
      </c>
      <c r="C721">
        <v>27</v>
      </c>
      <c r="D721">
        <v>67</v>
      </c>
      <c r="E721">
        <v>761</v>
      </c>
      <c r="F721">
        <v>4</v>
      </c>
      <c r="K721" s="1">
        <f t="shared" si="77"/>
        <v>761</v>
      </c>
      <c r="L721" s="1" t="str">
        <f t="shared" si="72"/>
        <v>Normal</v>
      </c>
      <c r="M721" s="2">
        <f t="shared" si="73"/>
        <v>18.885448916408667</v>
      </c>
      <c r="N721" s="1" t="str">
        <f t="shared" si="74"/>
        <v>Kering</v>
      </c>
      <c r="O721" t="str">
        <f t="shared" si="75"/>
        <v>Fuzzy</v>
      </c>
      <c r="P721" t="str">
        <f t="shared" si="76"/>
        <v>Fuzzy</v>
      </c>
    </row>
    <row r="722" spans="1:16" x14ac:dyDescent="0.35">
      <c r="A722" t="s">
        <v>725</v>
      </c>
      <c r="B722">
        <v>4935</v>
      </c>
      <c r="C722">
        <v>27</v>
      </c>
      <c r="D722">
        <v>68</v>
      </c>
      <c r="E722">
        <v>565</v>
      </c>
      <c r="F722">
        <v>3</v>
      </c>
      <c r="K722" s="1">
        <f t="shared" si="77"/>
        <v>565</v>
      </c>
      <c r="L722" s="1" t="str">
        <f t="shared" si="72"/>
        <v>Normal</v>
      </c>
      <c r="M722" s="2">
        <f t="shared" si="73"/>
        <v>66.25</v>
      </c>
      <c r="N722" s="1" t="str">
        <f t="shared" si="74"/>
        <v>Lembab</v>
      </c>
      <c r="O722" t="str">
        <f t="shared" si="75"/>
        <v>Fuzzy</v>
      </c>
      <c r="P722" t="str">
        <f t="shared" si="76"/>
        <v>Fuzzy</v>
      </c>
    </row>
    <row r="723" spans="1:16" x14ac:dyDescent="0.35">
      <c r="A723" t="s">
        <v>726</v>
      </c>
      <c r="B723">
        <v>4936</v>
      </c>
      <c r="C723">
        <v>27</v>
      </c>
      <c r="D723">
        <v>68</v>
      </c>
      <c r="E723">
        <v>726</v>
      </c>
      <c r="F723">
        <v>4</v>
      </c>
      <c r="K723" s="1">
        <f t="shared" si="77"/>
        <v>726</v>
      </c>
      <c r="L723" s="1" t="str">
        <f t="shared" si="72"/>
        <v>Normal</v>
      </c>
      <c r="M723" s="2">
        <f t="shared" si="73"/>
        <v>8.0495356037151709</v>
      </c>
      <c r="N723" s="1" t="str">
        <f t="shared" si="74"/>
        <v>Kering</v>
      </c>
      <c r="O723" t="str">
        <f t="shared" si="75"/>
        <v>Fuzzy</v>
      </c>
      <c r="P723" t="str">
        <f t="shared" si="76"/>
        <v>Fuzzy</v>
      </c>
    </row>
    <row r="724" spans="1:16" x14ac:dyDescent="0.35">
      <c r="A724" t="s">
        <v>727</v>
      </c>
      <c r="B724">
        <v>4937</v>
      </c>
      <c r="C724">
        <v>27</v>
      </c>
      <c r="D724">
        <v>69</v>
      </c>
      <c r="E724">
        <v>866</v>
      </c>
      <c r="F724">
        <v>3</v>
      </c>
      <c r="K724" s="1">
        <f t="shared" si="77"/>
        <v>866</v>
      </c>
      <c r="L724" s="1" t="str">
        <f t="shared" si="72"/>
        <v>Normal</v>
      </c>
      <c r="M724" s="2">
        <f t="shared" si="73"/>
        <v>51.393188854489168</v>
      </c>
      <c r="N724" s="1" t="str">
        <f t="shared" si="74"/>
        <v>Lembab</v>
      </c>
      <c r="O724" t="str">
        <f t="shared" si="75"/>
        <v>Fuzzy</v>
      </c>
      <c r="P724" t="str">
        <f t="shared" si="76"/>
        <v>Fuzzy</v>
      </c>
    </row>
    <row r="725" spans="1:16" x14ac:dyDescent="0.35">
      <c r="A725" t="s">
        <v>728</v>
      </c>
      <c r="B725">
        <v>4938</v>
      </c>
      <c r="C725">
        <v>27</v>
      </c>
      <c r="D725">
        <v>69</v>
      </c>
      <c r="E725">
        <v>729</v>
      </c>
      <c r="F725">
        <v>4</v>
      </c>
      <c r="K725" s="1">
        <f t="shared" si="77"/>
        <v>729</v>
      </c>
      <c r="L725" s="1" t="str">
        <f t="shared" si="72"/>
        <v>Normal</v>
      </c>
      <c r="M725" s="2">
        <f t="shared" si="73"/>
        <v>8.9783281733746119</v>
      </c>
      <c r="N725" s="1" t="str">
        <f t="shared" si="74"/>
        <v>Kering</v>
      </c>
      <c r="O725" t="str">
        <f t="shared" si="75"/>
        <v>Fuzzy</v>
      </c>
      <c r="P725" t="str">
        <f t="shared" si="76"/>
        <v>Fuzzy</v>
      </c>
    </row>
    <row r="726" spans="1:16" x14ac:dyDescent="0.35">
      <c r="A726" t="s">
        <v>729</v>
      </c>
      <c r="B726">
        <v>4939</v>
      </c>
      <c r="C726">
        <v>27</v>
      </c>
      <c r="D726">
        <v>70</v>
      </c>
      <c r="E726">
        <v>787</v>
      </c>
      <c r="F726">
        <v>4</v>
      </c>
      <c r="K726" s="1">
        <f t="shared" si="77"/>
        <v>787</v>
      </c>
      <c r="L726" s="1" t="str">
        <f t="shared" si="72"/>
        <v>Normal</v>
      </c>
      <c r="M726" s="2">
        <f t="shared" si="73"/>
        <v>26.934984520123841</v>
      </c>
      <c r="N726" s="1" t="str">
        <f t="shared" si="74"/>
        <v>Kering</v>
      </c>
      <c r="O726" t="str">
        <f t="shared" si="75"/>
        <v>Fuzzy</v>
      </c>
      <c r="P726" t="str">
        <f t="shared" si="76"/>
        <v>Fuzzy</v>
      </c>
    </row>
    <row r="727" spans="1:16" x14ac:dyDescent="0.35">
      <c r="A727" t="s">
        <v>730</v>
      </c>
      <c r="B727">
        <v>4940</v>
      </c>
      <c r="C727">
        <v>27</v>
      </c>
      <c r="D727">
        <v>70</v>
      </c>
      <c r="E727">
        <v>596</v>
      </c>
      <c r="F727">
        <v>4</v>
      </c>
      <c r="K727" s="1">
        <f t="shared" si="77"/>
        <v>596</v>
      </c>
      <c r="L727" s="1" t="str">
        <f t="shared" si="72"/>
        <v>Normal</v>
      </c>
      <c r="M727" s="2">
        <f t="shared" si="73"/>
        <v>74</v>
      </c>
      <c r="N727" s="1" t="str">
        <f t="shared" si="74"/>
        <v>Basah</v>
      </c>
      <c r="O727" t="str">
        <f t="shared" si="75"/>
        <v>Fuzzy</v>
      </c>
      <c r="P727" t="str">
        <f t="shared" si="76"/>
        <v>Fuzzy</v>
      </c>
    </row>
    <row r="728" spans="1:16" x14ac:dyDescent="0.35">
      <c r="A728" t="s">
        <v>731</v>
      </c>
      <c r="B728">
        <v>4941</v>
      </c>
      <c r="C728">
        <v>27</v>
      </c>
      <c r="D728">
        <v>71</v>
      </c>
      <c r="E728">
        <v>791</v>
      </c>
      <c r="F728">
        <v>4</v>
      </c>
      <c r="K728" s="1">
        <f t="shared" si="77"/>
        <v>791</v>
      </c>
      <c r="L728" s="1" t="str">
        <f t="shared" si="72"/>
        <v>Normal</v>
      </c>
      <c r="M728" s="2">
        <f t="shared" si="73"/>
        <v>28.173374613003094</v>
      </c>
      <c r="N728" s="1" t="str">
        <f t="shared" si="74"/>
        <v>Kering</v>
      </c>
      <c r="O728" t="str">
        <f t="shared" si="75"/>
        <v>Fuzzy</v>
      </c>
      <c r="P728" t="str">
        <f t="shared" si="76"/>
        <v>Fuzzy</v>
      </c>
    </row>
    <row r="729" spans="1:16" x14ac:dyDescent="0.35">
      <c r="A729" t="s">
        <v>732</v>
      </c>
      <c r="B729">
        <v>4942</v>
      </c>
      <c r="C729">
        <v>27</v>
      </c>
      <c r="D729">
        <v>71</v>
      </c>
      <c r="E729">
        <v>771</v>
      </c>
      <c r="F729">
        <v>4</v>
      </c>
      <c r="K729" s="1">
        <f t="shared" si="77"/>
        <v>771</v>
      </c>
      <c r="L729" s="1" t="str">
        <f t="shared" si="72"/>
        <v>Normal</v>
      </c>
      <c r="M729" s="2">
        <f t="shared" si="73"/>
        <v>21.981424148606813</v>
      </c>
      <c r="N729" s="1" t="str">
        <f t="shared" si="74"/>
        <v>Kering</v>
      </c>
      <c r="O729" t="str">
        <f t="shared" si="75"/>
        <v>Fuzzy</v>
      </c>
      <c r="P729" t="str">
        <f t="shared" si="76"/>
        <v>Fuzzy</v>
      </c>
    </row>
    <row r="730" spans="1:16" x14ac:dyDescent="0.35">
      <c r="A730" t="s">
        <v>733</v>
      </c>
      <c r="B730">
        <v>4943</v>
      </c>
      <c r="C730">
        <v>27</v>
      </c>
      <c r="D730">
        <v>71</v>
      </c>
      <c r="E730">
        <v>759</v>
      </c>
      <c r="F730">
        <v>3</v>
      </c>
      <c r="K730" s="1">
        <f t="shared" si="77"/>
        <v>759</v>
      </c>
      <c r="L730" s="1" t="str">
        <f t="shared" si="72"/>
        <v>Normal</v>
      </c>
      <c r="M730" s="2">
        <f t="shared" si="73"/>
        <v>18.266253869969042</v>
      </c>
      <c r="N730" s="1" t="str">
        <f t="shared" si="74"/>
        <v>Kering</v>
      </c>
      <c r="O730" t="str">
        <f t="shared" si="75"/>
        <v>Fuzzy</v>
      </c>
      <c r="P730" t="str">
        <f t="shared" si="76"/>
        <v>Fuzzy</v>
      </c>
    </row>
    <row r="731" spans="1:16" x14ac:dyDescent="0.35">
      <c r="A731" t="s">
        <v>734</v>
      </c>
      <c r="B731">
        <v>4944</v>
      </c>
      <c r="C731">
        <v>27</v>
      </c>
      <c r="D731">
        <v>73</v>
      </c>
      <c r="E731">
        <v>721</v>
      </c>
      <c r="F731">
        <v>4</v>
      </c>
      <c r="K731" s="1">
        <f t="shared" si="77"/>
        <v>721</v>
      </c>
      <c r="L731" s="1" t="str">
        <f t="shared" si="72"/>
        <v>Normal</v>
      </c>
      <c r="M731" s="2">
        <f t="shared" si="73"/>
        <v>6.5015479876160995</v>
      </c>
      <c r="N731" s="1" t="str">
        <f t="shared" si="74"/>
        <v>Kering</v>
      </c>
      <c r="O731" t="str">
        <f t="shared" si="75"/>
        <v>Fuzzy</v>
      </c>
      <c r="P731" t="str">
        <f t="shared" si="76"/>
        <v>Fuzzy</v>
      </c>
    </row>
    <row r="732" spans="1:16" x14ac:dyDescent="0.35">
      <c r="A732" t="s">
        <v>735</v>
      </c>
      <c r="B732">
        <v>4945</v>
      </c>
      <c r="C732">
        <v>27</v>
      </c>
      <c r="D732">
        <v>75</v>
      </c>
      <c r="E732">
        <v>737</v>
      </c>
      <c r="F732">
        <v>4</v>
      </c>
      <c r="K732" s="1">
        <f t="shared" si="77"/>
        <v>737</v>
      </c>
      <c r="L732" s="1" t="str">
        <f t="shared" si="72"/>
        <v>Normal</v>
      </c>
      <c r="M732" s="2">
        <f t="shared" si="73"/>
        <v>11.455108359133128</v>
      </c>
      <c r="N732" s="1" t="str">
        <f t="shared" si="74"/>
        <v>Kering</v>
      </c>
      <c r="O732" t="str">
        <f t="shared" si="75"/>
        <v>Fuzzy</v>
      </c>
      <c r="P732" t="str">
        <f t="shared" si="76"/>
        <v>Fuzzy</v>
      </c>
    </row>
    <row r="733" spans="1:16" x14ac:dyDescent="0.35">
      <c r="A733" t="s">
        <v>736</v>
      </c>
      <c r="B733">
        <v>4946</v>
      </c>
      <c r="C733">
        <v>27</v>
      </c>
      <c r="D733">
        <v>73</v>
      </c>
      <c r="E733">
        <v>725</v>
      </c>
      <c r="F733">
        <v>4</v>
      </c>
      <c r="K733" s="1">
        <f t="shared" si="77"/>
        <v>725</v>
      </c>
      <c r="L733" s="1" t="str">
        <f t="shared" si="72"/>
        <v>Normal</v>
      </c>
      <c r="M733" s="2">
        <f t="shared" si="73"/>
        <v>7.7399380804953566</v>
      </c>
      <c r="N733" s="1" t="str">
        <f t="shared" si="74"/>
        <v>Kering</v>
      </c>
      <c r="O733" t="str">
        <f t="shared" si="75"/>
        <v>Fuzzy</v>
      </c>
      <c r="P733" t="str">
        <f t="shared" si="76"/>
        <v>Fuzzy</v>
      </c>
    </row>
    <row r="734" spans="1:16" x14ac:dyDescent="0.35">
      <c r="A734" t="s">
        <v>737</v>
      </c>
      <c r="B734">
        <v>4947</v>
      </c>
      <c r="C734">
        <v>27</v>
      </c>
      <c r="D734">
        <v>72</v>
      </c>
      <c r="E734">
        <v>671</v>
      </c>
      <c r="F734">
        <v>4</v>
      </c>
      <c r="K734" s="1">
        <f t="shared" si="77"/>
        <v>671</v>
      </c>
      <c r="L734" s="1" t="str">
        <f t="shared" si="72"/>
        <v>Normal</v>
      </c>
      <c r="M734" s="2">
        <f t="shared" si="73"/>
        <v>92.75</v>
      </c>
      <c r="N734" s="1" t="str">
        <f t="shared" si="74"/>
        <v>Basah</v>
      </c>
      <c r="O734" t="str">
        <f t="shared" si="75"/>
        <v>Fuzzy</v>
      </c>
      <c r="P734" t="str">
        <f t="shared" si="76"/>
        <v>Fuzzy</v>
      </c>
    </row>
    <row r="735" spans="1:16" x14ac:dyDescent="0.35">
      <c r="A735" t="s">
        <v>738</v>
      </c>
      <c r="B735">
        <v>4948</v>
      </c>
      <c r="C735">
        <v>27</v>
      </c>
      <c r="D735">
        <v>73</v>
      </c>
      <c r="E735">
        <v>768</v>
      </c>
      <c r="F735">
        <v>4</v>
      </c>
      <c r="K735" s="1">
        <f t="shared" si="77"/>
        <v>768</v>
      </c>
      <c r="L735" s="1" t="str">
        <f t="shared" si="72"/>
        <v>Normal</v>
      </c>
      <c r="M735" s="2">
        <f t="shared" si="73"/>
        <v>21.052631578947366</v>
      </c>
      <c r="N735" s="1" t="str">
        <f t="shared" si="74"/>
        <v>Kering</v>
      </c>
      <c r="O735" t="str">
        <f t="shared" si="75"/>
        <v>Fuzzy</v>
      </c>
      <c r="P735" t="str">
        <f t="shared" si="76"/>
        <v>Fuzzy</v>
      </c>
    </row>
    <row r="736" spans="1:16" x14ac:dyDescent="0.35">
      <c r="A736" t="s">
        <v>739</v>
      </c>
      <c r="B736">
        <v>4949</v>
      </c>
      <c r="C736">
        <v>27</v>
      </c>
      <c r="D736">
        <v>75</v>
      </c>
      <c r="E736">
        <v>717</v>
      </c>
      <c r="F736">
        <v>3</v>
      </c>
      <c r="K736" s="1">
        <f t="shared" si="77"/>
        <v>717</v>
      </c>
      <c r="L736" s="1" t="str">
        <f t="shared" si="72"/>
        <v>Normal</v>
      </c>
      <c r="M736" s="2">
        <f t="shared" si="73"/>
        <v>5.2631578947368416</v>
      </c>
      <c r="N736" s="1" t="str">
        <f t="shared" si="74"/>
        <v>Kering</v>
      </c>
      <c r="O736" t="str">
        <f t="shared" si="75"/>
        <v>Fuzzy</v>
      </c>
      <c r="P736" t="str">
        <f t="shared" si="76"/>
        <v>Fuzzy</v>
      </c>
    </row>
    <row r="737" spans="1:16" x14ac:dyDescent="0.35">
      <c r="A737" t="s">
        <v>740</v>
      </c>
      <c r="B737">
        <v>4950</v>
      </c>
      <c r="C737">
        <v>27</v>
      </c>
      <c r="D737">
        <v>75</v>
      </c>
      <c r="E737">
        <v>699</v>
      </c>
      <c r="F737">
        <v>4</v>
      </c>
      <c r="K737" s="1">
        <f t="shared" si="77"/>
        <v>699</v>
      </c>
      <c r="L737" s="1" t="str">
        <f t="shared" si="72"/>
        <v>Normal</v>
      </c>
      <c r="M737" s="2">
        <f t="shared" si="73"/>
        <v>99.75</v>
      </c>
      <c r="N737" s="1" t="str">
        <f t="shared" si="74"/>
        <v>Basah</v>
      </c>
      <c r="O737" t="str">
        <f t="shared" si="75"/>
        <v>Fuzzy</v>
      </c>
      <c r="P737" t="str">
        <f t="shared" si="76"/>
        <v>Fuzzy</v>
      </c>
    </row>
    <row r="738" spans="1:16" x14ac:dyDescent="0.35">
      <c r="A738" t="s">
        <v>741</v>
      </c>
      <c r="B738">
        <v>4951</v>
      </c>
      <c r="C738">
        <v>27</v>
      </c>
      <c r="D738">
        <v>76</v>
      </c>
      <c r="E738">
        <v>865</v>
      </c>
      <c r="F738">
        <v>3</v>
      </c>
      <c r="K738" s="1">
        <f t="shared" si="77"/>
        <v>865</v>
      </c>
      <c r="L738" s="1" t="str">
        <f t="shared" si="72"/>
        <v>Normal</v>
      </c>
      <c r="M738" s="2">
        <f t="shared" si="73"/>
        <v>51.083591331269353</v>
      </c>
      <c r="N738" s="1" t="str">
        <f t="shared" si="74"/>
        <v>Lembab</v>
      </c>
      <c r="O738" t="str">
        <f t="shared" si="75"/>
        <v>Fuzzy</v>
      </c>
      <c r="P738" t="str">
        <f t="shared" si="76"/>
        <v>Fuzzy</v>
      </c>
    </row>
    <row r="739" spans="1:16" x14ac:dyDescent="0.35">
      <c r="A739" t="s">
        <v>742</v>
      </c>
      <c r="B739">
        <v>4952</v>
      </c>
      <c r="C739">
        <v>27</v>
      </c>
      <c r="D739">
        <v>76</v>
      </c>
      <c r="E739">
        <v>736</v>
      </c>
      <c r="F739">
        <v>4</v>
      </c>
      <c r="K739" s="1">
        <f t="shared" si="77"/>
        <v>736</v>
      </c>
      <c r="L739" s="1" t="str">
        <f t="shared" si="72"/>
        <v>Normal</v>
      </c>
      <c r="M739" s="2">
        <f t="shared" si="73"/>
        <v>11.145510835913312</v>
      </c>
      <c r="N739" s="1" t="str">
        <f t="shared" si="74"/>
        <v>Kering</v>
      </c>
      <c r="O739" t="str">
        <f t="shared" si="75"/>
        <v>Fuzzy</v>
      </c>
      <c r="P739" t="str">
        <f t="shared" si="76"/>
        <v>Fuzzy</v>
      </c>
    </row>
    <row r="740" spans="1:16" x14ac:dyDescent="0.35">
      <c r="A740" t="s">
        <v>743</v>
      </c>
      <c r="B740">
        <v>4953</v>
      </c>
      <c r="C740">
        <v>27</v>
      </c>
      <c r="D740">
        <v>75</v>
      </c>
      <c r="E740">
        <v>704</v>
      </c>
      <c r="F740">
        <v>4</v>
      </c>
      <c r="K740" s="1">
        <f t="shared" si="77"/>
        <v>704</v>
      </c>
      <c r="L740" s="1" t="str">
        <f t="shared" si="72"/>
        <v>Normal</v>
      </c>
      <c r="M740" s="2">
        <f t="shared" si="73"/>
        <v>1.2383900928792571</v>
      </c>
      <c r="N740" s="1" t="str">
        <f t="shared" si="74"/>
        <v>Kering</v>
      </c>
      <c r="O740" t="str">
        <f t="shared" si="75"/>
        <v>Fuzzy</v>
      </c>
      <c r="P740" t="str">
        <f t="shared" si="76"/>
        <v>Fuzzy</v>
      </c>
    </row>
    <row r="741" spans="1:16" x14ac:dyDescent="0.35">
      <c r="A741" t="s">
        <v>744</v>
      </c>
      <c r="B741">
        <v>4954</v>
      </c>
      <c r="C741">
        <v>27</v>
      </c>
      <c r="D741">
        <v>74</v>
      </c>
      <c r="E741">
        <v>725</v>
      </c>
      <c r="F741">
        <v>4</v>
      </c>
      <c r="K741" s="1">
        <f t="shared" si="77"/>
        <v>725</v>
      </c>
      <c r="L741" s="1" t="str">
        <f t="shared" si="72"/>
        <v>Normal</v>
      </c>
      <c r="M741" s="2">
        <f t="shared" si="73"/>
        <v>7.7399380804953566</v>
      </c>
      <c r="N741" s="1" t="str">
        <f t="shared" si="74"/>
        <v>Kering</v>
      </c>
      <c r="O741" t="str">
        <f t="shared" si="75"/>
        <v>Fuzzy</v>
      </c>
      <c r="P741" t="str">
        <f t="shared" si="76"/>
        <v>Fuzzy</v>
      </c>
    </row>
    <row r="742" spans="1:16" x14ac:dyDescent="0.35">
      <c r="A742" t="s">
        <v>745</v>
      </c>
      <c r="B742">
        <v>4955</v>
      </c>
      <c r="C742">
        <v>27</v>
      </c>
      <c r="D742">
        <v>73</v>
      </c>
      <c r="E742">
        <v>675</v>
      </c>
      <c r="F742">
        <v>4</v>
      </c>
      <c r="K742" s="1">
        <f t="shared" si="77"/>
        <v>675</v>
      </c>
      <c r="L742" s="1" t="str">
        <f t="shared" si="72"/>
        <v>Normal</v>
      </c>
      <c r="M742" s="2">
        <f t="shared" si="73"/>
        <v>93.75</v>
      </c>
      <c r="N742" s="1" t="str">
        <f t="shared" si="74"/>
        <v>Basah</v>
      </c>
      <c r="O742" t="str">
        <f t="shared" si="75"/>
        <v>Fuzzy</v>
      </c>
      <c r="P742" t="str">
        <f t="shared" si="76"/>
        <v>Fuzzy</v>
      </c>
    </row>
    <row r="743" spans="1:16" x14ac:dyDescent="0.35">
      <c r="A743" t="s">
        <v>746</v>
      </c>
      <c r="B743">
        <v>4956</v>
      </c>
      <c r="C743">
        <v>27</v>
      </c>
      <c r="D743">
        <v>71</v>
      </c>
      <c r="E743">
        <v>665</v>
      </c>
      <c r="F743">
        <v>3</v>
      </c>
      <c r="K743" s="1">
        <f t="shared" si="77"/>
        <v>665</v>
      </c>
      <c r="L743" s="1" t="str">
        <f t="shared" si="72"/>
        <v>Normal</v>
      </c>
      <c r="M743" s="2">
        <f t="shared" si="73"/>
        <v>91.25</v>
      </c>
      <c r="N743" s="1" t="str">
        <f t="shared" si="74"/>
        <v>Basah</v>
      </c>
      <c r="O743" t="str">
        <f t="shared" si="75"/>
        <v>Fuzzy</v>
      </c>
      <c r="P743" t="str">
        <f t="shared" si="76"/>
        <v>Fuzzy</v>
      </c>
    </row>
    <row r="744" spans="1:16" x14ac:dyDescent="0.35">
      <c r="A744" t="s">
        <v>747</v>
      </c>
      <c r="B744">
        <v>4957</v>
      </c>
      <c r="C744">
        <v>27</v>
      </c>
      <c r="D744">
        <v>70</v>
      </c>
      <c r="E744">
        <v>713</v>
      </c>
      <c r="F744">
        <v>4</v>
      </c>
      <c r="K744" s="1">
        <f t="shared" si="77"/>
        <v>713</v>
      </c>
      <c r="L744" s="1" t="str">
        <f t="shared" si="72"/>
        <v>Normal</v>
      </c>
      <c r="M744" s="2">
        <f t="shared" si="73"/>
        <v>4.0247678018575854</v>
      </c>
      <c r="N744" s="1" t="str">
        <f t="shared" si="74"/>
        <v>Kering</v>
      </c>
      <c r="O744" t="str">
        <f t="shared" si="75"/>
        <v>Fuzzy</v>
      </c>
      <c r="P744" t="str">
        <f t="shared" si="76"/>
        <v>Fuzzy</v>
      </c>
    </row>
    <row r="745" spans="1:16" x14ac:dyDescent="0.35">
      <c r="A745" t="s">
        <v>748</v>
      </c>
      <c r="B745">
        <v>4958</v>
      </c>
      <c r="C745">
        <v>27</v>
      </c>
      <c r="D745">
        <v>69</v>
      </c>
      <c r="E745">
        <v>574</v>
      </c>
      <c r="F745">
        <v>4</v>
      </c>
      <c r="K745" s="1">
        <f t="shared" si="77"/>
        <v>574</v>
      </c>
      <c r="L745" s="1" t="str">
        <f t="shared" si="72"/>
        <v>Normal</v>
      </c>
      <c r="M745" s="2">
        <f t="shared" si="73"/>
        <v>68.5</v>
      </c>
      <c r="N745" s="1" t="str">
        <f t="shared" si="74"/>
        <v>Lembab</v>
      </c>
      <c r="O745" t="str">
        <f t="shared" si="75"/>
        <v>Fuzzy</v>
      </c>
      <c r="P745" t="str">
        <f t="shared" si="76"/>
        <v>Fuzzy</v>
      </c>
    </row>
    <row r="746" spans="1:16" x14ac:dyDescent="0.35">
      <c r="A746" t="s">
        <v>749</v>
      </c>
      <c r="B746">
        <v>4959</v>
      </c>
      <c r="C746">
        <v>27</v>
      </c>
      <c r="D746">
        <v>68</v>
      </c>
      <c r="E746">
        <v>562</v>
      </c>
      <c r="F746">
        <v>3</v>
      </c>
      <c r="K746" s="1">
        <f t="shared" si="77"/>
        <v>562</v>
      </c>
      <c r="L746" s="1" t="str">
        <f t="shared" si="72"/>
        <v>Normal</v>
      </c>
      <c r="M746" s="2">
        <f t="shared" si="73"/>
        <v>65.5</v>
      </c>
      <c r="N746" s="1" t="str">
        <f t="shared" si="74"/>
        <v>Lembab</v>
      </c>
      <c r="O746" t="str">
        <f t="shared" si="75"/>
        <v>Fuzzy</v>
      </c>
      <c r="P746" t="str">
        <f t="shared" si="76"/>
        <v>Fuzzy</v>
      </c>
    </row>
    <row r="747" spans="1:16" x14ac:dyDescent="0.35">
      <c r="A747" t="s">
        <v>750</v>
      </c>
      <c r="B747">
        <v>4960</v>
      </c>
      <c r="C747">
        <v>27</v>
      </c>
      <c r="D747">
        <v>67</v>
      </c>
      <c r="E747">
        <v>907</v>
      </c>
      <c r="F747">
        <v>4</v>
      </c>
      <c r="K747" s="1">
        <f t="shared" si="77"/>
        <v>907</v>
      </c>
      <c r="L747" s="1" t="str">
        <f t="shared" si="72"/>
        <v>Normal</v>
      </c>
      <c r="M747" s="2">
        <f t="shared" si="73"/>
        <v>64.086687306501545</v>
      </c>
      <c r="N747" s="1" t="str">
        <f t="shared" si="74"/>
        <v>Lembab</v>
      </c>
      <c r="O747" t="str">
        <f t="shared" si="75"/>
        <v>Fuzzy</v>
      </c>
      <c r="P747" t="str">
        <f t="shared" si="76"/>
        <v>Fuzzy</v>
      </c>
    </row>
    <row r="748" spans="1:16" x14ac:dyDescent="0.35">
      <c r="A748" t="s">
        <v>751</v>
      </c>
      <c r="B748">
        <v>4961</v>
      </c>
      <c r="C748">
        <v>27</v>
      </c>
      <c r="D748">
        <v>66</v>
      </c>
      <c r="E748">
        <v>729</v>
      </c>
      <c r="F748">
        <v>4</v>
      </c>
      <c r="K748" s="1">
        <f t="shared" si="77"/>
        <v>729</v>
      </c>
      <c r="L748" s="1" t="str">
        <f t="shared" si="72"/>
        <v>Normal</v>
      </c>
      <c r="M748" s="2">
        <f t="shared" si="73"/>
        <v>8.9783281733746119</v>
      </c>
      <c r="N748" s="1" t="str">
        <f t="shared" si="74"/>
        <v>Kering</v>
      </c>
      <c r="O748" t="str">
        <f t="shared" si="75"/>
        <v>Fuzzy</v>
      </c>
      <c r="P748" t="str">
        <f t="shared" si="76"/>
        <v>Fuzzy</v>
      </c>
    </row>
    <row r="749" spans="1:16" x14ac:dyDescent="0.35">
      <c r="A749" t="s">
        <v>752</v>
      </c>
      <c r="B749">
        <v>4962</v>
      </c>
      <c r="C749">
        <v>27</v>
      </c>
      <c r="D749">
        <v>65</v>
      </c>
      <c r="E749">
        <v>653</v>
      </c>
      <c r="F749">
        <v>4</v>
      </c>
      <c r="K749" s="1">
        <f t="shared" si="77"/>
        <v>653</v>
      </c>
      <c r="L749" s="1" t="str">
        <f t="shared" si="72"/>
        <v>Normal</v>
      </c>
      <c r="M749" s="2">
        <f t="shared" si="73"/>
        <v>88.25</v>
      </c>
      <c r="N749" s="1" t="str">
        <f t="shared" si="74"/>
        <v>Basah</v>
      </c>
      <c r="O749" t="str">
        <f t="shared" si="75"/>
        <v>Fuzzy</v>
      </c>
      <c r="P749" t="str">
        <f t="shared" si="76"/>
        <v>Fuzzy</v>
      </c>
    </row>
    <row r="750" spans="1:16" x14ac:dyDescent="0.35">
      <c r="A750" t="s">
        <v>753</v>
      </c>
      <c r="B750">
        <v>4963</v>
      </c>
      <c r="C750">
        <v>27</v>
      </c>
      <c r="D750">
        <v>65</v>
      </c>
      <c r="E750">
        <v>749</v>
      </c>
      <c r="F750">
        <v>4</v>
      </c>
      <c r="K750" s="1">
        <f t="shared" si="77"/>
        <v>749</v>
      </c>
      <c r="L750" s="1" t="str">
        <f t="shared" si="72"/>
        <v>Normal</v>
      </c>
      <c r="M750" s="2">
        <f t="shared" si="73"/>
        <v>15.170278637770899</v>
      </c>
      <c r="N750" s="1" t="str">
        <f t="shared" si="74"/>
        <v>Kering</v>
      </c>
      <c r="O750" t="str">
        <f t="shared" si="75"/>
        <v>Fuzzy</v>
      </c>
      <c r="P750" t="str">
        <f t="shared" si="76"/>
        <v>Fuzzy</v>
      </c>
    </row>
    <row r="751" spans="1:16" x14ac:dyDescent="0.35">
      <c r="A751" t="s">
        <v>754</v>
      </c>
      <c r="B751">
        <v>4964</v>
      </c>
      <c r="C751">
        <v>27</v>
      </c>
      <c r="D751">
        <v>64</v>
      </c>
      <c r="E751">
        <v>734</v>
      </c>
      <c r="F751">
        <v>4</v>
      </c>
      <c r="K751" s="1">
        <f t="shared" si="77"/>
        <v>734</v>
      </c>
      <c r="L751" s="1" t="str">
        <f t="shared" si="72"/>
        <v>Normal</v>
      </c>
      <c r="M751" s="2">
        <f t="shared" si="73"/>
        <v>10.526315789473683</v>
      </c>
      <c r="N751" s="1" t="str">
        <f t="shared" si="74"/>
        <v>Kering</v>
      </c>
      <c r="O751" t="str">
        <f t="shared" si="75"/>
        <v>Fuzzy</v>
      </c>
      <c r="P751" t="str">
        <f t="shared" si="76"/>
        <v>Fuzzy</v>
      </c>
    </row>
    <row r="752" spans="1:16" x14ac:dyDescent="0.35">
      <c r="A752" t="s">
        <v>755</v>
      </c>
      <c r="B752">
        <v>4965</v>
      </c>
      <c r="C752">
        <v>27</v>
      </c>
      <c r="D752">
        <v>64</v>
      </c>
      <c r="E752">
        <v>779</v>
      </c>
      <c r="F752">
        <v>3</v>
      </c>
      <c r="K752" s="1">
        <f t="shared" si="77"/>
        <v>779</v>
      </c>
      <c r="L752" s="1" t="str">
        <f t="shared" si="72"/>
        <v>Normal</v>
      </c>
      <c r="M752" s="2">
        <f t="shared" si="73"/>
        <v>24.458204334365323</v>
      </c>
      <c r="N752" s="1" t="str">
        <f t="shared" si="74"/>
        <v>Kering</v>
      </c>
      <c r="O752" t="str">
        <f t="shared" si="75"/>
        <v>Fuzzy</v>
      </c>
      <c r="P752" t="str">
        <f t="shared" si="76"/>
        <v>Fuzzy</v>
      </c>
    </row>
    <row r="753" spans="1:16" x14ac:dyDescent="0.35">
      <c r="A753" t="s">
        <v>756</v>
      </c>
      <c r="B753">
        <v>4966</v>
      </c>
      <c r="C753">
        <v>27</v>
      </c>
      <c r="D753">
        <v>64</v>
      </c>
      <c r="E753">
        <v>664</v>
      </c>
      <c r="F753">
        <v>5</v>
      </c>
      <c r="K753" s="1">
        <f t="shared" si="77"/>
        <v>664</v>
      </c>
      <c r="L753" s="1" t="str">
        <f t="shared" si="72"/>
        <v>Normal</v>
      </c>
      <c r="M753" s="2">
        <f t="shared" si="73"/>
        <v>91</v>
      </c>
      <c r="N753" s="1" t="str">
        <f t="shared" si="74"/>
        <v>Basah</v>
      </c>
      <c r="O753" t="str">
        <f t="shared" si="75"/>
        <v>Fuzzy</v>
      </c>
      <c r="P753" t="str">
        <f t="shared" si="76"/>
        <v>Fuzzy</v>
      </c>
    </row>
    <row r="754" spans="1:16" x14ac:dyDescent="0.35">
      <c r="A754" t="s">
        <v>757</v>
      </c>
      <c r="B754">
        <v>4967</v>
      </c>
      <c r="C754">
        <v>27</v>
      </c>
      <c r="D754">
        <v>64</v>
      </c>
      <c r="E754">
        <v>674</v>
      </c>
      <c r="F754">
        <v>5</v>
      </c>
      <c r="K754" s="1">
        <f t="shared" si="77"/>
        <v>674</v>
      </c>
      <c r="L754" s="1" t="str">
        <f t="shared" si="72"/>
        <v>Normal</v>
      </c>
      <c r="M754" s="2">
        <f t="shared" si="73"/>
        <v>93.5</v>
      </c>
      <c r="N754" s="1" t="str">
        <f t="shared" si="74"/>
        <v>Basah</v>
      </c>
      <c r="O754" t="str">
        <f t="shared" si="75"/>
        <v>Fuzzy</v>
      </c>
      <c r="P754" t="str">
        <f t="shared" si="76"/>
        <v>Fuzzy</v>
      </c>
    </row>
    <row r="755" spans="1:16" x14ac:dyDescent="0.35">
      <c r="A755" t="s">
        <v>758</v>
      </c>
      <c r="B755">
        <v>4968</v>
      </c>
      <c r="C755">
        <v>27</v>
      </c>
      <c r="D755">
        <v>64</v>
      </c>
      <c r="E755">
        <v>728</v>
      </c>
      <c r="F755">
        <v>5</v>
      </c>
      <c r="K755" s="1">
        <f t="shared" si="77"/>
        <v>728</v>
      </c>
      <c r="L755" s="1" t="str">
        <f t="shared" si="72"/>
        <v>Normal</v>
      </c>
      <c r="M755" s="2">
        <f t="shared" si="73"/>
        <v>8.6687306501547994</v>
      </c>
      <c r="N755" s="1" t="str">
        <f t="shared" si="74"/>
        <v>Kering</v>
      </c>
      <c r="O755" t="str">
        <f t="shared" si="75"/>
        <v>Fuzzy</v>
      </c>
      <c r="P755" t="str">
        <f t="shared" si="76"/>
        <v>Fuzzy</v>
      </c>
    </row>
    <row r="756" spans="1:16" x14ac:dyDescent="0.35">
      <c r="A756" t="s">
        <v>759</v>
      </c>
      <c r="B756">
        <v>4969</v>
      </c>
      <c r="C756">
        <v>27</v>
      </c>
      <c r="D756">
        <v>64</v>
      </c>
      <c r="E756">
        <v>655</v>
      </c>
      <c r="F756">
        <v>5</v>
      </c>
      <c r="K756" s="1">
        <f t="shared" si="77"/>
        <v>655</v>
      </c>
      <c r="L756" s="1" t="str">
        <f t="shared" si="72"/>
        <v>Normal</v>
      </c>
      <c r="M756" s="2">
        <f t="shared" si="73"/>
        <v>88.75</v>
      </c>
      <c r="N756" s="1" t="str">
        <f t="shared" si="74"/>
        <v>Basah</v>
      </c>
      <c r="O756" t="str">
        <f t="shared" si="75"/>
        <v>Fuzzy</v>
      </c>
      <c r="P756" t="str">
        <f t="shared" si="76"/>
        <v>Fuzzy</v>
      </c>
    </row>
    <row r="757" spans="1:16" x14ac:dyDescent="0.35">
      <c r="A757" t="s">
        <v>760</v>
      </c>
      <c r="B757">
        <v>4970</v>
      </c>
      <c r="C757">
        <v>27</v>
      </c>
      <c r="D757">
        <v>65</v>
      </c>
      <c r="E757">
        <v>749</v>
      </c>
      <c r="F757">
        <v>5</v>
      </c>
      <c r="K757" s="1">
        <f t="shared" si="77"/>
        <v>749</v>
      </c>
      <c r="L757" s="1" t="str">
        <f t="shared" si="72"/>
        <v>Normal</v>
      </c>
      <c r="M757" s="2">
        <f t="shared" si="73"/>
        <v>15.170278637770899</v>
      </c>
      <c r="N757" s="1" t="str">
        <f t="shared" si="74"/>
        <v>Kering</v>
      </c>
      <c r="O757" t="str">
        <f t="shared" si="75"/>
        <v>Fuzzy</v>
      </c>
      <c r="P757" t="str">
        <f t="shared" si="76"/>
        <v>Fuzzy</v>
      </c>
    </row>
    <row r="758" spans="1:16" x14ac:dyDescent="0.35">
      <c r="A758" t="s">
        <v>761</v>
      </c>
      <c r="B758">
        <v>4971</v>
      </c>
      <c r="C758">
        <v>27</v>
      </c>
      <c r="D758">
        <v>65</v>
      </c>
      <c r="E758">
        <v>634</v>
      </c>
      <c r="F758">
        <v>5</v>
      </c>
      <c r="K758" s="1">
        <f t="shared" si="77"/>
        <v>634</v>
      </c>
      <c r="L758" s="1" t="str">
        <f t="shared" si="72"/>
        <v>Normal</v>
      </c>
      <c r="M758" s="2">
        <f t="shared" si="73"/>
        <v>83.5</v>
      </c>
      <c r="N758" s="1" t="str">
        <f t="shared" si="74"/>
        <v>Basah</v>
      </c>
      <c r="O758" t="str">
        <f t="shared" si="75"/>
        <v>Fuzzy</v>
      </c>
      <c r="P758" t="str">
        <f t="shared" si="76"/>
        <v>Fuzzy</v>
      </c>
    </row>
    <row r="759" spans="1:16" x14ac:dyDescent="0.35">
      <c r="A759" t="s">
        <v>762</v>
      </c>
      <c r="B759">
        <v>4972</v>
      </c>
      <c r="C759">
        <v>27</v>
      </c>
      <c r="D759">
        <v>65</v>
      </c>
      <c r="E759">
        <v>744</v>
      </c>
      <c r="F759">
        <v>5</v>
      </c>
      <c r="K759" s="1">
        <f t="shared" si="77"/>
        <v>744</v>
      </c>
      <c r="L759" s="1" t="str">
        <f t="shared" si="72"/>
        <v>Normal</v>
      </c>
      <c r="M759" s="2">
        <f t="shared" si="73"/>
        <v>13.622291021671826</v>
      </c>
      <c r="N759" s="1" t="str">
        <f t="shared" si="74"/>
        <v>Kering</v>
      </c>
      <c r="O759" t="str">
        <f t="shared" si="75"/>
        <v>Fuzzy</v>
      </c>
      <c r="P759" t="str">
        <f t="shared" si="76"/>
        <v>Fuzzy</v>
      </c>
    </row>
    <row r="760" spans="1:16" x14ac:dyDescent="0.35">
      <c r="A760" t="s">
        <v>763</v>
      </c>
      <c r="B760">
        <v>4973</v>
      </c>
      <c r="C760">
        <v>27</v>
      </c>
      <c r="D760">
        <v>66</v>
      </c>
      <c r="E760">
        <v>735</v>
      </c>
      <c r="F760">
        <v>4</v>
      </c>
      <c r="K760" s="1">
        <f t="shared" si="77"/>
        <v>735</v>
      </c>
      <c r="L760" s="1" t="str">
        <f t="shared" si="72"/>
        <v>Normal</v>
      </c>
      <c r="M760" s="2">
        <f t="shared" si="73"/>
        <v>10.835913312693499</v>
      </c>
      <c r="N760" s="1" t="str">
        <f t="shared" si="74"/>
        <v>Kering</v>
      </c>
      <c r="O760" t="str">
        <f t="shared" si="75"/>
        <v>Fuzzy</v>
      </c>
      <c r="P760" t="str">
        <f t="shared" si="76"/>
        <v>Fuzzy</v>
      </c>
    </row>
    <row r="761" spans="1:16" x14ac:dyDescent="0.35">
      <c r="A761" t="s">
        <v>764</v>
      </c>
      <c r="B761">
        <v>4974</v>
      </c>
      <c r="C761">
        <v>27</v>
      </c>
      <c r="D761">
        <v>66</v>
      </c>
      <c r="E761">
        <v>730</v>
      </c>
      <c r="F761">
        <v>4</v>
      </c>
      <c r="K761" s="1">
        <f t="shared" si="77"/>
        <v>730</v>
      </c>
      <c r="L761" s="1" t="str">
        <f t="shared" si="72"/>
        <v>Normal</v>
      </c>
      <c r="M761" s="2">
        <f t="shared" si="73"/>
        <v>9.2879256965944279</v>
      </c>
      <c r="N761" s="1" t="str">
        <f t="shared" si="74"/>
        <v>Kering</v>
      </c>
      <c r="O761" t="str">
        <f t="shared" si="75"/>
        <v>Fuzzy</v>
      </c>
      <c r="P761" t="str">
        <f t="shared" si="76"/>
        <v>Fuzzy</v>
      </c>
    </row>
    <row r="762" spans="1:16" x14ac:dyDescent="0.35">
      <c r="A762" t="s">
        <v>765</v>
      </c>
      <c r="B762">
        <v>4975</v>
      </c>
      <c r="C762">
        <v>27</v>
      </c>
      <c r="D762">
        <v>66</v>
      </c>
      <c r="E762">
        <v>691</v>
      </c>
      <c r="F762">
        <v>5</v>
      </c>
      <c r="K762" s="1">
        <f t="shared" si="77"/>
        <v>691</v>
      </c>
      <c r="L762" s="1" t="str">
        <f t="shared" si="72"/>
        <v>Normal</v>
      </c>
      <c r="M762" s="2">
        <f t="shared" si="73"/>
        <v>97.75</v>
      </c>
      <c r="N762" s="1" t="str">
        <f t="shared" si="74"/>
        <v>Basah</v>
      </c>
      <c r="O762" t="str">
        <f t="shared" si="75"/>
        <v>Fuzzy</v>
      </c>
      <c r="P762" t="str">
        <f t="shared" si="76"/>
        <v>Fuzzy</v>
      </c>
    </row>
    <row r="763" spans="1:16" x14ac:dyDescent="0.35">
      <c r="A763" t="s">
        <v>766</v>
      </c>
      <c r="B763">
        <v>4976</v>
      </c>
      <c r="C763">
        <v>27</v>
      </c>
      <c r="D763">
        <v>66</v>
      </c>
      <c r="E763">
        <v>723</v>
      </c>
      <c r="F763">
        <v>4</v>
      </c>
      <c r="K763" s="1">
        <f t="shared" si="77"/>
        <v>723</v>
      </c>
      <c r="L763" s="1" t="str">
        <f t="shared" si="72"/>
        <v>Normal</v>
      </c>
      <c r="M763" s="2">
        <f t="shared" si="73"/>
        <v>7.1207430340557281</v>
      </c>
      <c r="N763" s="1" t="str">
        <f t="shared" si="74"/>
        <v>Kering</v>
      </c>
      <c r="O763" t="str">
        <f t="shared" si="75"/>
        <v>Fuzzy</v>
      </c>
      <c r="P763" t="str">
        <f t="shared" si="76"/>
        <v>Fuzzy</v>
      </c>
    </row>
    <row r="764" spans="1:16" x14ac:dyDescent="0.35">
      <c r="A764" t="s">
        <v>767</v>
      </c>
      <c r="B764">
        <v>4977</v>
      </c>
      <c r="C764">
        <v>27</v>
      </c>
      <c r="D764">
        <v>67</v>
      </c>
      <c r="E764">
        <v>710</v>
      </c>
      <c r="F764">
        <v>4</v>
      </c>
      <c r="K764" s="1">
        <f t="shared" si="77"/>
        <v>710</v>
      </c>
      <c r="L764" s="1" t="str">
        <f t="shared" si="72"/>
        <v>Normal</v>
      </c>
      <c r="M764" s="2">
        <f t="shared" si="73"/>
        <v>3.0959752321981426</v>
      </c>
      <c r="N764" s="1" t="str">
        <f t="shared" si="74"/>
        <v>Kering</v>
      </c>
      <c r="O764" t="str">
        <f t="shared" si="75"/>
        <v>Fuzzy</v>
      </c>
      <c r="P764" t="str">
        <f t="shared" si="76"/>
        <v>Fuzzy</v>
      </c>
    </row>
    <row r="765" spans="1:16" x14ac:dyDescent="0.35">
      <c r="A765" t="s">
        <v>768</v>
      </c>
      <c r="B765">
        <v>4978</v>
      </c>
      <c r="C765">
        <v>27</v>
      </c>
      <c r="D765">
        <v>67</v>
      </c>
      <c r="E765">
        <v>748</v>
      </c>
      <c r="F765">
        <v>4</v>
      </c>
      <c r="K765" s="1">
        <f t="shared" si="77"/>
        <v>748</v>
      </c>
      <c r="L765" s="1" t="str">
        <f t="shared" si="72"/>
        <v>Normal</v>
      </c>
      <c r="M765" s="2">
        <f t="shared" si="73"/>
        <v>14.860681114551083</v>
      </c>
      <c r="N765" s="1" t="str">
        <f t="shared" si="74"/>
        <v>Kering</v>
      </c>
      <c r="O765" t="str">
        <f t="shared" si="75"/>
        <v>Fuzzy</v>
      </c>
      <c r="P765" t="str">
        <f t="shared" si="76"/>
        <v>Fuzzy</v>
      </c>
    </row>
    <row r="766" spans="1:16" x14ac:dyDescent="0.35">
      <c r="A766" t="s">
        <v>769</v>
      </c>
      <c r="B766">
        <v>4979</v>
      </c>
      <c r="C766">
        <v>27</v>
      </c>
      <c r="D766">
        <v>67</v>
      </c>
      <c r="E766">
        <v>687</v>
      </c>
      <c r="F766">
        <v>4</v>
      </c>
      <c r="K766" s="1">
        <f t="shared" si="77"/>
        <v>687</v>
      </c>
      <c r="L766" s="1" t="str">
        <f t="shared" si="72"/>
        <v>Normal</v>
      </c>
      <c r="M766" s="2">
        <f t="shared" si="73"/>
        <v>96.75</v>
      </c>
      <c r="N766" s="1" t="str">
        <f t="shared" si="74"/>
        <v>Basah</v>
      </c>
      <c r="O766" t="str">
        <f t="shared" si="75"/>
        <v>Fuzzy</v>
      </c>
      <c r="P766" t="str">
        <f t="shared" si="76"/>
        <v>Fuzzy</v>
      </c>
    </row>
    <row r="767" spans="1:16" x14ac:dyDescent="0.35">
      <c r="A767" t="s">
        <v>770</v>
      </c>
      <c r="B767">
        <v>4980</v>
      </c>
      <c r="C767">
        <v>27</v>
      </c>
      <c r="D767">
        <v>67</v>
      </c>
      <c r="E767">
        <v>710</v>
      </c>
      <c r="F767">
        <v>4</v>
      </c>
      <c r="K767" s="1">
        <f t="shared" si="77"/>
        <v>710</v>
      </c>
      <c r="L767" s="1" t="str">
        <f t="shared" si="72"/>
        <v>Normal</v>
      </c>
      <c r="M767" s="2">
        <f t="shared" si="73"/>
        <v>3.0959752321981426</v>
      </c>
      <c r="N767" s="1" t="str">
        <f t="shared" si="74"/>
        <v>Kering</v>
      </c>
      <c r="O767" t="str">
        <f t="shared" si="75"/>
        <v>Fuzzy</v>
      </c>
      <c r="P767" t="str">
        <f t="shared" si="76"/>
        <v>Fuzzy</v>
      </c>
    </row>
    <row r="768" spans="1:16" x14ac:dyDescent="0.35">
      <c r="A768" t="s">
        <v>771</v>
      </c>
      <c r="B768">
        <v>4981</v>
      </c>
      <c r="C768">
        <v>27</v>
      </c>
      <c r="D768">
        <v>67</v>
      </c>
      <c r="E768">
        <v>787</v>
      </c>
      <c r="F768">
        <v>6</v>
      </c>
      <c r="K768" s="1">
        <f t="shared" si="77"/>
        <v>787</v>
      </c>
      <c r="L768" s="1" t="str">
        <f t="shared" si="72"/>
        <v>Normal</v>
      </c>
      <c r="M768" s="2">
        <f t="shared" si="73"/>
        <v>26.934984520123841</v>
      </c>
      <c r="N768" s="1" t="str">
        <f t="shared" si="74"/>
        <v>Kering</v>
      </c>
      <c r="O768" t="str">
        <f t="shared" si="75"/>
        <v>Fuzzy</v>
      </c>
      <c r="P768" t="str">
        <f t="shared" si="76"/>
        <v>Fuzzy</v>
      </c>
    </row>
    <row r="769" spans="1:16" x14ac:dyDescent="0.35">
      <c r="A769" t="s">
        <v>772</v>
      </c>
      <c r="B769">
        <v>4982</v>
      </c>
      <c r="C769">
        <v>27</v>
      </c>
      <c r="D769">
        <v>67</v>
      </c>
      <c r="E769">
        <v>684</v>
      </c>
      <c r="F769">
        <v>4</v>
      </c>
      <c r="K769" s="1">
        <f t="shared" si="77"/>
        <v>684</v>
      </c>
      <c r="L769" s="1" t="str">
        <f t="shared" si="72"/>
        <v>Normal</v>
      </c>
      <c r="M769" s="2">
        <f t="shared" si="73"/>
        <v>96</v>
      </c>
      <c r="N769" s="1" t="str">
        <f t="shared" si="74"/>
        <v>Basah</v>
      </c>
      <c r="O769" t="str">
        <f t="shared" si="75"/>
        <v>Fuzzy</v>
      </c>
      <c r="P769" t="str">
        <f t="shared" si="76"/>
        <v>Fuzzy</v>
      </c>
    </row>
    <row r="770" spans="1:16" x14ac:dyDescent="0.35">
      <c r="A770" t="s">
        <v>773</v>
      </c>
      <c r="B770">
        <v>4983</v>
      </c>
      <c r="C770">
        <v>27</v>
      </c>
      <c r="D770">
        <v>67</v>
      </c>
      <c r="E770">
        <v>773</v>
      </c>
      <c r="F770">
        <v>4</v>
      </c>
      <c r="K770" s="1">
        <f t="shared" si="77"/>
        <v>773</v>
      </c>
      <c r="L770" s="1" t="str">
        <f t="shared" si="72"/>
        <v>Normal</v>
      </c>
      <c r="M770" s="2">
        <f t="shared" si="73"/>
        <v>22.600619195046441</v>
      </c>
      <c r="N770" s="1" t="str">
        <f t="shared" si="74"/>
        <v>Kering</v>
      </c>
      <c r="O770" t="str">
        <f t="shared" si="75"/>
        <v>Fuzzy</v>
      </c>
      <c r="P770" t="str">
        <f t="shared" si="76"/>
        <v>Fuzzy</v>
      </c>
    </row>
    <row r="771" spans="1:16" x14ac:dyDescent="0.35">
      <c r="A771" t="s">
        <v>774</v>
      </c>
      <c r="B771">
        <v>4984</v>
      </c>
      <c r="C771">
        <v>27</v>
      </c>
      <c r="D771">
        <v>67</v>
      </c>
      <c r="E771">
        <v>658</v>
      </c>
      <c r="F771">
        <v>4</v>
      </c>
      <c r="K771" s="1">
        <f t="shared" si="77"/>
        <v>658</v>
      </c>
      <c r="L771" s="1" t="str">
        <f t="shared" ref="L771:L834" si="78">IF(A770 &lt;= 10, "Dingin", IF(OR(A770 &gt;= 10, A770 &lt; 35), "Normal", "Panas"))</f>
        <v>Normal</v>
      </c>
      <c r="M771" s="2">
        <f t="shared" ref="M771:M834" si="79">IF(K771&lt;=300, K771/1023*100, IF(K771&lt;=700, (K771-300)/(700-301+1)*100, (K771-700)/(1023-701+1)*100))</f>
        <v>89.5</v>
      </c>
      <c r="N771" s="1" t="str">
        <f t="shared" ref="N771:N834" si="80">IF(M771&lt;=29.32, "Kering", IF(M771&lt;=68.53, "Lembab", "Basah"))</f>
        <v>Basah</v>
      </c>
      <c r="O771" t="str">
        <f t="shared" ref="O771:O834" si="81">IF(OR(AND(C771 &gt; 10, C771 &lt; 22.5), AND(C771 &gt;= 22.5, C771 &lt; 35)), "Fuzzy", "")</f>
        <v>Fuzzy</v>
      </c>
      <c r="P771" t="str">
        <f t="shared" ref="P771:P834" si="82">IF(OR(AND(M771 &gt;= 0, M771 &lt; 50), AND(M771 &gt;= 50, M771 &lt; 100)), "Fuzzy", "")</f>
        <v>Fuzzy</v>
      </c>
    </row>
    <row r="772" spans="1:16" x14ac:dyDescent="0.35">
      <c r="A772" t="s">
        <v>775</v>
      </c>
      <c r="B772">
        <v>4985</v>
      </c>
      <c r="C772">
        <v>27</v>
      </c>
      <c r="D772">
        <v>68</v>
      </c>
      <c r="E772">
        <v>721</v>
      </c>
      <c r="F772">
        <v>4</v>
      </c>
      <c r="K772" s="1">
        <f t="shared" si="77"/>
        <v>721</v>
      </c>
      <c r="L772" s="1" t="str">
        <f t="shared" si="78"/>
        <v>Normal</v>
      </c>
      <c r="M772" s="2">
        <f t="shared" si="79"/>
        <v>6.5015479876160995</v>
      </c>
      <c r="N772" s="1" t="str">
        <f t="shared" si="80"/>
        <v>Kering</v>
      </c>
      <c r="O772" t="str">
        <f t="shared" si="81"/>
        <v>Fuzzy</v>
      </c>
      <c r="P772" t="str">
        <f t="shared" si="82"/>
        <v>Fuzzy</v>
      </c>
    </row>
    <row r="773" spans="1:16" x14ac:dyDescent="0.35">
      <c r="A773" t="s">
        <v>776</v>
      </c>
      <c r="B773">
        <v>4986</v>
      </c>
      <c r="C773">
        <v>27</v>
      </c>
      <c r="D773">
        <v>68</v>
      </c>
      <c r="E773">
        <v>521</v>
      </c>
      <c r="F773">
        <v>4</v>
      </c>
      <c r="K773" s="1">
        <f t="shared" si="77"/>
        <v>521</v>
      </c>
      <c r="L773" s="1" t="str">
        <f t="shared" si="78"/>
        <v>Normal</v>
      </c>
      <c r="M773" s="2">
        <f t="shared" si="79"/>
        <v>55.25</v>
      </c>
      <c r="N773" s="1" t="str">
        <f t="shared" si="80"/>
        <v>Lembab</v>
      </c>
      <c r="O773" t="str">
        <f t="shared" si="81"/>
        <v>Fuzzy</v>
      </c>
      <c r="P773" t="str">
        <f t="shared" si="82"/>
        <v>Fuzzy</v>
      </c>
    </row>
    <row r="774" spans="1:16" x14ac:dyDescent="0.35">
      <c r="A774" t="s">
        <v>777</v>
      </c>
      <c r="B774">
        <v>4987</v>
      </c>
      <c r="C774">
        <v>27</v>
      </c>
      <c r="D774">
        <v>68</v>
      </c>
      <c r="E774">
        <v>706</v>
      </c>
      <c r="F774">
        <v>4</v>
      </c>
      <c r="K774" s="1">
        <f t="shared" si="77"/>
        <v>706</v>
      </c>
      <c r="L774" s="1" t="str">
        <f t="shared" si="78"/>
        <v>Normal</v>
      </c>
      <c r="M774" s="2">
        <f t="shared" si="79"/>
        <v>1.8575851393188854</v>
      </c>
      <c r="N774" s="1" t="str">
        <f t="shared" si="80"/>
        <v>Kering</v>
      </c>
      <c r="O774" t="str">
        <f t="shared" si="81"/>
        <v>Fuzzy</v>
      </c>
      <c r="P774" t="str">
        <f t="shared" si="82"/>
        <v>Fuzzy</v>
      </c>
    </row>
    <row r="775" spans="1:16" x14ac:dyDescent="0.35">
      <c r="A775" t="s">
        <v>778</v>
      </c>
      <c r="B775">
        <v>4988</v>
      </c>
      <c r="C775">
        <v>27</v>
      </c>
      <c r="D775">
        <v>68</v>
      </c>
      <c r="E775">
        <v>749</v>
      </c>
      <c r="F775">
        <v>4</v>
      </c>
      <c r="K775" s="1">
        <f t="shared" si="77"/>
        <v>749</v>
      </c>
      <c r="L775" s="1" t="str">
        <f t="shared" si="78"/>
        <v>Normal</v>
      </c>
      <c r="M775" s="2">
        <f t="shared" si="79"/>
        <v>15.170278637770899</v>
      </c>
      <c r="N775" s="1" t="str">
        <f t="shared" si="80"/>
        <v>Kering</v>
      </c>
      <c r="O775" t="str">
        <f t="shared" si="81"/>
        <v>Fuzzy</v>
      </c>
      <c r="P775" t="str">
        <f t="shared" si="82"/>
        <v>Fuzzy</v>
      </c>
    </row>
    <row r="776" spans="1:16" x14ac:dyDescent="0.35">
      <c r="A776" t="s">
        <v>779</v>
      </c>
      <c r="B776">
        <v>4989</v>
      </c>
      <c r="C776">
        <v>27</v>
      </c>
      <c r="D776">
        <v>68</v>
      </c>
      <c r="E776">
        <v>739</v>
      </c>
      <c r="F776">
        <v>4</v>
      </c>
      <c r="K776" s="1">
        <f t="shared" si="77"/>
        <v>739</v>
      </c>
      <c r="L776" s="1" t="str">
        <f t="shared" si="78"/>
        <v>Normal</v>
      </c>
      <c r="M776" s="2">
        <f t="shared" si="79"/>
        <v>12.074303405572756</v>
      </c>
      <c r="N776" s="1" t="str">
        <f t="shared" si="80"/>
        <v>Kering</v>
      </c>
      <c r="O776" t="str">
        <f t="shared" si="81"/>
        <v>Fuzzy</v>
      </c>
      <c r="P776" t="str">
        <f t="shared" si="82"/>
        <v>Fuzzy</v>
      </c>
    </row>
    <row r="777" spans="1:16" x14ac:dyDescent="0.35">
      <c r="A777" t="s">
        <v>780</v>
      </c>
      <c r="B777">
        <v>4990</v>
      </c>
      <c r="C777">
        <v>27</v>
      </c>
      <c r="D777">
        <v>68</v>
      </c>
      <c r="E777">
        <v>764</v>
      </c>
      <c r="F777">
        <v>4</v>
      </c>
      <c r="K777" s="1">
        <f t="shared" si="77"/>
        <v>764</v>
      </c>
      <c r="L777" s="1" t="str">
        <f t="shared" si="78"/>
        <v>Normal</v>
      </c>
      <c r="M777" s="2">
        <f t="shared" si="79"/>
        <v>19.814241486068113</v>
      </c>
      <c r="N777" s="1" t="str">
        <f t="shared" si="80"/>
        <v>Kering</v>
      </c>
      <c r="O777" t="str">
        <f t="shared" si="81"/>
        <v>Fuzzy</v>
      </c>
      <c r="P777" t="str">
        <f t="shared" si="82"/>
        <v>Fuzzy</v>
      </c>
    </row>
    <row r="778" spans="1:16" x14ac:dyDescent="0.35">
      <c r="A778" t="s">
        <v>781</v>
      </c>
      <c r="B778">
        <v>4991</v>
      </c>
      <c r="C778">
        <v>27</v>
      </c>
      <c r="D778">
        <v>68</v>
      </c>
      <c r="E778">
        <v>742</v>
      </c>
      <c r="F778">
        <v>5</v>
      </c>
      <c r="K778" s="1">
        <f t="shared" si="77"/>
        <v>742</v>
      </c>
      <c r="L778" s="1" t="str">
        <f t="shared" si="78"/>
        <v>Normal</v>
      </c>
      <c r="M778" s="2">
        <f t="shared" si="79"/>
        <v>13.003095975232199</v>
      </c>
      <c r="N778" s="1" t="str">
        <f t="shared" si="80"/>
        <v>Kering</v>
      </c>
      <c r="O778" t="str">
        <f t="shared" si="81"/>
        <v>Fuzzy</v>
      </c>
      <c r="P778" t="str">
        <f t="shared" si="82"/>
        <v>Fuzzy</v>
      </c>
    </row>
    <row r="779" spans="1:16" x14ac:dyDescent="0.35">
      <c r="A779" t="s">
        <v>782</v>
      </c>
      <c r="B779">
        <v>4992</v>
      </c>
      <c r="C779">
        <v>27</v>
      </c>
      <c r="D779">
        <v>69</v>
      </c>
      <c r="E779">
        <v>725</v>
      </c>
      <c r="F779">
        <v>4</v>
      </c>
      <c r="K779" s="1">
        <f t="shared" si="77"/>
        <v>725</v>
      </c>
      <c r="L779" s="1" t="str">
        <f t="shared" si="78"/>
        <v>Normal</v>
      </c>
      <c r="M779" s="2">
        <f t="shared" si="79"/>
        <v>7.7399380804953566</v>
      </c>
      <c r="N779" s="1" t="str">
        <f t="shared" si="80"/>
        <v>Kering</v>
      </c>
      <c r="O779" t="str">
        <f t="shared" si="81"/>
        <v>Fuzzy</v>
      </c>
      <c r="P779" t="str">
        <f t="shared" si="82"/>
        <v>Fuzzy</v>
      </c>
    </row>
    <row r="780" spans="1:16" x14ac:dyDescent="0.35">
      <c r="A780" t="s">
        <v>783</v>
      </c>
      <c r="B780">
        <v>4993</v>
      </c>
      <c r="C780">
        <v>27</v>
      </c>
      <c r="D780">
        <v>69</v>
      </c>
      <c r="E780">
        <v>586</v>
      </c>
      <c r="F780">
        <v>4</v>
      </c>
      <c r="K780" s="1">
        <f t="shared" si="77"/>
        <v>586</v>
      </c>
      <c r="L780" s="1" t="str">
        <f t="shared" si="78"/>
        <v>Normal</v>
      </c>
      <c r="M780" s="2">
        <f t="shared" si="79"/>
        <v>71.5</v>
      </c>
      <c r="N780" s="1" t="str">
        <f t="shared" si="80"/>
        <v>Basah</v>
      </c>
      <c r="O780" t="str">
        <f t="shared" si="81"/>
        <v>Fuzzy</v>
      </c>
      <c r="P780" t="str">
        <f t="shared" si="82"/>
        <v>Fuzzy</v>
      </c>
    </row>
    <row r="781" spans="1:16" x14ac:dyDescent="0.35">
      <c r="A781" t="s">
        <v>784</v>
      </c>
      <c r="B781">
        <v>4994</v>
      </c>
      <c r="C781">
        <v>27</v>
      </c>
      <c r="D781">
        <v>69</v>
      </c>
      <c r="E781">
        <v>737</v>
      </c>
      <c r="F781">
        <v>4</v>
      </c>
      <c r="K781" s="1">
        <f t="shared" ref="K781:K844" si="83">IF(E781&lt;=1023, E781, "")</f>
        <v>737</v>
      </c>
      <c r="L781" s="1" t="str">
        <f t="shared" si="78"/>
        <v>Normal</v>
      </c>
      <c r="M781" s="2">
        <f t="shared" si="79"/>
        <v>11.455108359133128</v>
      </c>
      <c r="N781" s="1" t="str">
        <f t="shared" si="80"/>
        <v>Kering</v>
      </c>
      <c r="O781" t="str">
        <f t="shared" si="81"/>
        <v>Fuzzy</v>
      </c>
      <c r="P781" t="str">
        <f t="shared" si="82"/>
        <v>Fuzzy</v>
      </c>
    </row>
    <row r="782" spans="1:16" x14ac:dyDescent="0.35">
      <c r="A782" t="s">
        <v>785</v>
      </c>
      <c r="B782">
        <v>4995</v>
      </c>
      <c r="C782">
        <v>27</v>
      </c>
      <c r="D782">
        <v>69</v>
      </c>
      <c r="E782">
        <v>631</v>
      </c>
      <c r="F782">
        <v>6</v>
      </c>
      <c r="K782" s="1">
        <f t="shared" si="83"/>
        <v>631</v>
      </c>
      <c r="L782" s="1" t="str">
        <f t="shared" si="78"/>
        <v>Normal</v>
      </c>
      <c r="M782" s="2">
        <f t="shared" si="79"/>
        <v>82.75</v>
      </c>
      <c r="N782" s="1" t="str">
        <f t="shared" si="80"/>
        <v>Basah</v>
      </c>
      <c r="O782" t="str">
        <f t="shared" si="81"/>
        <v>Fuzzy</v>
      </c>
      <c r="P782" t="str">
        <f t="shared" si="82"/>
        <v>Fuzzy</v>
      </c>
    </row>
    <row r="783" spans="1:16" x14ac:dyDescent="0.35">
      <c r="A783" t="s">
        <v>786</v>
      </c>
      <c r="B783">
        <v>4996</v>
      </c>
      <c r="C783">
        <v>27</v>
      </c>
      <c r="D783">
        <v>69</v>
      </c>
      <c r="E783">
        <v>715</v>
      </c>
      <c r="F783">
        <v>4</v>
      </c>
      <c r="K783" s="1">
        <f t="shared" si="83"/>
        <v>715</v>
      </c>
      <c r="L783" s="1" t="str">
        <f t="shared" si="78"/>
        <v>Normal</v>
      </c>
      <c r="M783" s="2">
        <f t="shared" si="79"/>
        <v>4.643962848297214</v>
      </c>
      <c r="N783" s="1" t="str">
        <f t="shared" si="80"/>
        <v>Kering</v>
      </c>
      <c r="O783" t="str">
        <f t="shared" si="81"/>
        <v>Fuzzy</v>
      </c>
      <c r="P783" t="str">
        <f t="shared" si="82"/>
        <v>Fuzzy</v>
      </c>
    </row>
    <row r="784" spans="1:16" x14ac:dyDescent="0.35">
      <c r="A784" t="s">
        <v>787</v>
      </c>
      <c r="B784">
        <v>4997</v>
      </c>
      <c r="C784">
        <v>27</v>
      </c>
      <c r="D784">
        <v>69</v>
      </c>
      <c r="E784">
        <v>704</v>
      </c>
      <c r="F784">
        <v>4</v>
      </c>
      <c r="K784" s="1">
        <f t="shared" si="83"/>
        <v>704</v>
      </c>
      <c r="L784" s="1" t="str">
        <f t="shared" si="78"/>
        <v>Normal</v>
      </c>
      <c r="M784" s="2">
        <f t="shared" si="79"/>
        <v>1.2383900928792571</v>
      </c>
      <c r="N784" s="1" t="str">
        <f t="shared" si="80"/>
        <v>Kering</v>
      </c>
      <c r="O784" t="str">
        <f t="shared" si="81"/>
        <v>Fuzzy</v>
      </c>
      <c r="P784" t="str">
        <f t="shared" si="82"/>
        <v>Fuzzy</v>
      </c>
    </row>
    <row r="785" spans="1:16" x14ac:dyDescent="0.35">
      <c r="A785" t="s">
        <v>788</v>
      </c>
      <c r="B785">
        <v>4998</v>
      </c>
      <c r="C785">
        <v>27</v>
      </c>
      <c r="D785">
        <v>69</v>
      </c>
      <c r="E785">
        <v>758</v>
      </c>
      <c r="F785">
        <v>4</v>
      </c>
      <c r="K785" s="1">
        <f t="shared" si="83"/>
        <v>758</v>
      </c>
      <c r="L785" s="1" t="str">
        <f t="shared" si="78"/>
        <v>Normal</v>
      </c>
      <c r="M785" s="2">
        <f t="shared" si="79"/>
        <v>17.956656346749224</v>
      </c>
      <c r="N785" s="1" t="str">
        <f t="shared" si="80"/>
        <v>Kering</v>
      </c>
      <c r="O785" t="str">
        <f t="shared" si="81"/>
        <v>Fuzzy</v>
      </c>
      <c r="P785" t="str">
        <f t="shared" si="82"/>
        <v>Fuzzy</v>
      </c>
    </row>
    <row r="786" spans="1:16" x14ac:dyDescent="0.35">
      <c r="A786" t="s">
        <v>789</v>
      </c>
      <c r="B786">
        <v>4999</v>
      </c>
      <c r="C786">
        <v>27</v>
      </c>
      <c r="D786">
        <v>69</v>
      </c>
      <c r="E786">
        <v>717</v>
      </c>
      <c r="F786">
        <v>4</v>
      </c>
      <c r="K786" s="1">
        <f t="shared" si="83"/>
        <v>717</v>
      </c>
      <c r="L786" s="1" t="str">
        <f t="shared" si="78"/>
        <v>Normal</v>
      </c>
      <c r="M786" s="2">
        <f t="shared" si="79"/>
        <v>5.2631578947368416</v>
      </c>
      <c r="N786" s="1" t="str">
        <f t="shared" si="80"/>
        <v>Kering</v>
      </c>
      <c r="O786" t="str">
        <f t="shared" si="81"/>
        <v>Fuzzy</v>
      </c>
      <c r="P786" t="str">
        <f t="shared" si="82"/>
        <v>Fuzzy</v>
      </c>
    </row>
    <row r="787" spans="1:16" x14ac:dyDescent="0.35">
      <c r="A787" t="s">
        <v>790</v>
      </c>
      <c r="B787">
        <v>5000</v>
      </c>
      <c r="C787">
        <v>27</v>
      </c>
      <c r="D787">
        <v>69</v>
      </c>
      <c r="E787">
        <v>664</v>
      </c>
      <c r="F787">
        <v>4</v>
      </c>
      <c r="K787" s="1">
        <f t="shared" si="83"/>
        <v>664</v>
      </c>
      <c r="L787" s="1" t="str">
        <f t="shared" si="78"/>
        <v>Normal</v>
      </c>
      <c r="M787" s="2">
        <f t="shared" si="79"/>
        <v>91</v>
      </c>
      <c r="N787" s="1" t="str">
        <f t="shared" si="80"/>
        <v>Basah</v>
      </c>
      <c r="O787" t="str">
        <f t="shared" si="81"/>
        <v>Fuzzy</v>
      </c>
      <c r="P787" t="str">
        <f t="shared" si="82"/>
        <v>Fuzzy</v>
      </c>
    </row>
    <row r="788" spans="1:16" x14ac:dyDescent="0.35">
      <c r="A788" t="s">
        <v>791</v>
      </c>
      <c r="B788">
        <v>5001</v>
      </c>
      <c r="C788">
        <v>27</v>
      </c>
      <c r="D788">
        <v>69</v>
      </c>
      <c r="E788">
        <v>693</v>
      </c>
      <c r="F788">
        <v>4</v>
      </c>
      <c r="K788" s="1">
        <f t="shared" si="83"/>
        <v>693</v>
      </c>
      <c r="L788" s="1" t="str">
        <f t="shared" si="78"/>
        <v>Normal</v>
      </c>
      <c r="M788" s="2">
        <f t="shared" si="79"/>
        <v>98.25</v>
      </c>
      <c r="N788" s="1" t="str">
        <f t="shared" si="80"/>
        <v>Basah</v>
      </c>
      <c r="O788" t="str">
        <f t="shared" si="81"/>
        <v>Fuzzy</v>
      </c>
      <c r="P788" t="str">
        <f t="shared" si="82"/>
        <v>Fuzzy</v>
      </c>
    </row>
    <row r="789" spans="1:16" x14ac:dyDescent="0.35">
      <c r="A789" t="s">
        <v>792</v>
      </c>
      <c r="B789">
        <v>5002</v>
      </c>
      <c r="C789">
        <v>27</v>
      </c>
      <c r="D789">
        <v>69</v>
      </c>
      <c r="E789">
        <v>756</v>
      </c>
      <c r="F789">
        <v>4</v>
      </c>
      <c r="K789" s="1">
        <f t="shared" si="83"/>
        <v>756</v>
      </c>
      <c r="L789" s="1" t="str">
        <f t="shared" si="78"/>
        <v>Normal</v>
      </c>
      <c r="M789" s="2">
        <f t="shared" si="79"/>
        <v>17.337461300309599</v>
      </c>
      <c r="N789" s="1" t="str">
        <f t="shared" si="80"/>
        <v>Kering</v>
      </c>
      <c r="O789" t="str">
        <f t="shared" si="81"/>
        <v>Fuzzy</v>
      </c>
      <c r="P789" t="str">
        <f t="shared" si="82"/>
        <v>Fuzzy</v>
      </c>
    </row>
    <row r="790" spans="1:16" x14ac:dyDescent="0.35">
      <c r="A790" t="s">
        <v>793</v>
      </c>
      <c r="B790">
        <v>5003</v>
      </c>
      <c r="C790">
        <v>27</v>
      </c>
      <c r="D790">
        <v>69</v>
      </c>
      <c r="E790">
        <v>690</v>
      </c>
      <c r="F790">
        <v>4</v>
      </c>
      <c r="K790" s="1">
        <f t="shared" si="83"/>
        <v>690</v>
      </c>
      <c r="L790" s="1" t="str">
        <f t="shared" si="78"/>
        <v>Normal</v>
      </c>
      <c r="M790" s="2">
        <f t="shared" si="79"/>
        <v>97.5</v>
      </c>
      <c r="N790" s="1" t="str">
        <f t="shared" si="80"/>
        <v>Basah</v>
      </c>
      <c r="O790" t="str">
        <f t="shared" si="81"/>
        <v>Fuzzy</v>
      </c>
      <c r="P790" t="str">
        <f t="shared" si="82"/>
        <v>Fuzzy</v>
      </c>
    </row>
    <row r="791" spans="1:16" x14ac:dyDescent="0.35">
      <c r="A791" t="s">
        <v>794</v>
      </c>
      <c r="B791">
        <v>5004</v>
      </c>
      <c r="C791">
        <v>27</v>
      </c>
      <c r="D791">
        <v>69</v>
      </c>
      <c r="E791">
        <v>733</v>
      </c>
      <c r="F791">
        <v>4</v>
      </c>
      <c r="K791" s="1">
        <f t="shared" si="83"/>
        <v>733</v>
      </c>
      <c r="L791" s="1" t="str">
        <f t="shared" si="78"/>
        <v>Normal</v>
      </c>
      <c r="M791" s="2">
        <f t="shared" si="79"/>
        <v>10.216718266253871</v>
      </c>
      <c r="N791" s="1" t="str">
        <f t="shared" si="80"/>
        <v>Kering</v>
      </c>
      <c r="O791" t="str">
        <f t="shared" si="81"/>
        <v>Fuzzy</v>
      </c>
      <c r="P791" t="str">
        <f t="shared" si="82"/>
        <v>Fuzzy</v>
      </c>
    </row>
    <row r="792" spans="1:16" x14ac:dyDescent="0.35">
      <c r="A792" t="s">
        <v>795</v>
      </c>
      <c r="B792">
        <v>5005</v>
      </c>
      <c r="C792">
        <v>27</v>
      </c>
      <c r="D792">
        <v>70</v>
      </c>
      <c r="E792">
        <v>721</v>
      </c>
      <c r="F792">
        <v>4</v>
      </c>
      <c r="K792" s="1">
        <f t="shared" si="83"/>
        <v>721</v>
      </c>
      <c r="L792" s="1" t="str">
        <f t="shared" si="78"/>
        <v>Normal</v>
      </c>
      <c r="M792" s="2">
        <f t="shared" si="79"/>
        <v>6.5015479876160995</v>
      </c>
      <c r="N792" s="1" t="str">
        <f t="shared" si="80"/>
        <v>Kering</v>
      </c>
      <c r="O792" t="str">
        <f t="shared" si="81"/>
        <v>Fuzzy</v>
      </c>
      <c r="P792" t="str">
        <f t="shared" si="82"/>
        <v>Fuzzy</v>
      </c>
    </row>
    <row r="793" spans="1:16" x14ac:dyDescent="0.35">
      <c r="A793" t="s">
        <v>796</v>
      </c>
      <c r="B793">
        <v>5006</v>
      </c>
      <c r="C793">
        <v>27</v>
      </c>
      <c r="D793">
        <v>70</v>
      </c>
      <c r="E793">
        <v>738</v>
      </c>
      <c r="F793">
        <v>4</v>
      </c>
      <c r="K793" s="1">
        <f t="shared" si="83"/>
        <v>738</v>
      </c>
      <c r="L793" s="1" t="str">
        <f t="shared" si="78"/>
        <v>Normal</v>
      </c>
      <c r="M793" s="2">
        <f t="shared" si="79"/>
        <v>11.76470588235294</v>
      </c>
      <c r="N793" s="1" t="str">
        <f t="shared" si="80"/>
        <v>Kering</v>
      </c>
      <c r="O793" t="str">
        <f t="shared" si="81"/>
        <v>Fuzzy</v>
      </c>
      <c r="P793" t="str">
        <f t="shared" si="82"/>
        <v>Fuzzy</v>
      </c>
    </row>
    <row r="794" spans="1:16" x14ac:dyDescent="0.35">
      <c r="A794" t="s">
        <v>797</v>
      </c>
      <c r="B794">
        <v>5007</v>
      </c>
      <c r="C794">
        <v>27</v>
      </c>
      <c r="D794">
        <v>70</v>
      </c>
      <c r="E794">
        <v>700</v>
      </c>
      <c r="F794">
        <v>4</v>
      </c>
      <c r="K794" s="1">
        <f t="shared" si="83"/>
        <v>700</v>
      </c>
      <c r="L794" s="1" t="str">
        <f t="shared" si="78"/>
        <v>Normal</v>
      </c>
      <c r="M794" s="2">
        <f t="shared" si="79"/>
        <v>100</v>
      </c>
      <c r="N794" s="1" t="str">
        <f t="shared" si="80"/>
        <v>Basah</v>
      </c>
      <c r="O794" t="str">
        <f t="shared" si="81"/>
        <v>Fuzzy</v>
      </c>
      <c r="P794" t="str">
        <f t="shared" si="82"/>
        <v/>
      </c>
    </row>
    <row r="795" spans="1:16" x14ac:dyDescent="0.35">
      <c r="A795" t="s">
        <v>798</v>
      </c>
      <c r="B795">
        <v>5008</v>
      </c>
      <c r="C795">
        <v>27</v>
      </c>
      <c r="D795">
        <v>70</v>
      </c>
      <c r="E795">
        <v>617</v>
      </c>
      <c r="F795">
        <v>4</v>
      </c>
      <c r="K795" s="1">
        <f t="shared" si="83"/>
        <v>617</v>
      </c>
      <c r="L795" s="1" t="str">
        <f t="shared" si="78"/>
        <v>Normal</v>
      </c>
      <c r="M795" s="2">
        <f t="shared" si="79"/>
        <v>79.25</v>
      </c>
      <c r="N795" s="1" t="str">
        <f t="shared" si="80"/>
        <v>Basah</v>
      </c>
      <c r="O795" t="str">
        <f t="shared" si="81"/>
        <v>Fuzzy</v>
      </c>
      <c r="P795" t="str">
        <f t="shared" si="82"/>
        <v>Fuzzy</v>
      </c>
    </row>
    <row r="796" spans="1:16" x14ac:dyDescent="0.35">
      <c r="A796" t="s">
        <v>799</v>
      </c>
      <c r="B796">
        <v>5009</v>
      </c>
      <c r="C796">
        <v>27</v>
      </c>
      <c r="D796">
        <v>70</v>
      </c>
      <c r="E796">
        <v>561</v>
      </c>
      <c r="F796">
        <v>4</v>
      </c>
      <c r="K796" s="1">
        <f t="shared" si="83"/>
        <v>561</v>
      </c>
      <c r="L796" s="1" t="str">
        <f t="shared" si="78"/>
        <v>Normal</v>
      </c>
      <c r="M796" s="2">
        <f t="shared" si="79"/>
        <v>65.25</v>
      </c>
      <c r="N796" s="1" t="str">
        <f t="shared" si="80"/>
        <v>Lembab</v>
      </c>
      <c r="O796" t="str">
        <f t="shared" si="81"/>
        <v>Fuzzy</v>
      </c>
      <c r="P796" t="str">
        <f t="shared" si="82"/>
        <v>Fuzzy</v>
      </c>
    </row>
    <row r="797" spans="1:16" x14ac:dyDescent="0.35">
      <c r="A797" t="s">
        <v>800</v>
      </c>
      <c r="B797">
        <v>5010</v>
      </c>
      <c r="C797">
        <v>27</v>
      </c>
      <c r="D797">
        <v>70</v>
      </c>
      <c r="E797">
        <v>538</v>
      </c>
      <c r="F797">
        <v>3</v>
      </c>
      <c r="K797" s="1">
        <f t="shared" si="83"/>
        <v>538</v>
      </c>
      <c r="L797" s="1" t="str">
        <f t="shared" si="78"/>
        <v>Normal</v>
      </c>
      <c r="M797" s="2">
        <f t="shared" si="79"/>
        <v>59.5</v>
      </c>
      <c r="N797" s="1" t="str">
        <f t="shared" si="80"/>
        <v>Lembab</v>
      </c>
      <c r="O797" t="str">
        <f t="shared" si="81"/>
        <v>Fuzzy</v>
      </c>
      <c r="P797" t="str">
        <f t="shared" si="82"/>
        <v>Fuzzy</v>
      </c>
    </row>
    <row r="798" spans="1:16" x14ac:dyDescent="0.35">
      <c r="A798" t="s">
        <v>801</v>
      </c>
      <c r="B798">
        <v>5011</v>
      </c>
      <c r="C798">
        <v>27</v>
      </c>
      <c r="D798">
        <v>70</v>
      </c>
      <c r="E798">
        <v>692</v>
      </c>
      <c r="F798">
        <v>4</v>
      </c>
      <c r="K798" s="1">
        <f t="shared" si="83"/>
        <v>692</v>
      </c>
      <c r="L798" s="1" t="str">
        <f t="shared" si="78"/>
        <v>Normal</v>
      </c>
      <c r="M798" s="2">
        <f t="shared" si="79"/>
        <v>98</v>
      </c>
      <c r="N798" s="1" t="str">
        <f t="shared" si="80"/>
        <v>Basah</v>
      </c>
      <c r="O798" t="str">
        <f t="shared" si="81"/>
        <v>Fuzzy</v>
      </c>
      <c r="P798" t="str">
        <f t="shared" si="82"/>
        <v>Fuzzy</v>
      </c>
    </row>
    <row r="799" spans="1:16" x14ac:dyDescent="0.35">
      <c r="A799" t="s">
        <v>802</v>
      </c>
      <c r="B799">
        <v>5012</v>
      </c>
      <c r="C799">
        <v>27</v>
      </c>
      <c r="D799">
        <v>70</v>
      </c>
      <c r="E799">
        <v>924</v>
      </c>
      <c r="F799">
        <v>4</v>
      </c>
      <c r="K799" s="1">
        <f t="shared" si="83"/>
        <v>924</v>
      </c>
      <c r="L799" s="1" t="str">
        <f t="shared" si="78"/>
        <v>Normal</v>
      </c>
      <c r="M799" s="2">
        <f t="shared" si="79"/>
        <v>69.349845201238395</v>
      </c>
      <c r="N799" s="1" t="str">
        <f t="shared" si="80"/>
        <v>Basah</v>
      </c>
      <c r="O799" t="str">
        <f t="shared" si="81"/>
        <v>Fuzzy</v>
      </c>
      <c r="P799" t="str">
        <f t="shared" si="82"/>
        <v>Fuzzy</v>
      </c>
    </row>
    <row r="800" spans="1:16" x14ac:dyDescent="0.35">
      <c r="A800" t="s">
        <v>803</v>
      </c>
      <c r="B800">
        <v>5013</v>
      </c>
      <c r="C800">
        <v>27</v>
      </c>
      <c r="D800">
        <v>70</v>
      </c>
      <c r="E800">
        <v>668</v>
      </c>
      <c r="F800">
        <v>4</v>
      </c>
      <c r="K800" s="1">
        <f t="shared" si="83"/>
        <v>668</v>
      </c>
      <c r="L800" s="1" t="str">
        <f t="shared" si="78"/>
        <v>Normal</v>
      </c>
      <c r="M800" s="2">
        <f t="shared" si="79"/>
        <v>92</v>
      </c>
      <c r="N800" s="1" t="str">
        <f t="shared" si="80"/>
        <v>Basah</v>
      </c>
      <c r="O800" t="str">
        <f t="shared" si="81"/>
        <v>Fuzzy</v>
      </c>
      <c r="P800" t="str">
        <f t="shared" si="82"/>
        <v>Fuzzy</v>
      </c>
    </row>
    <row r="801" spans="1:16" x14ac:dyDescent="0.35">
      <c r="A801" t="s">
        <v>804</v>
      </c>
      <c r="B801">
        <v>5014</v>
      </c>
      <c r="C801">
        <v>28</v>
      </c>
      <c r="D801">
        <v>71</v>
      </c>
      <c r="E801">
        <v>609</v>
      </c>
      <c r="F801">
        <v>4</v>
      </c>
      <c r="K801" s="1">
        <f t="shared" si="83"/>
        <v>609</v>
      </c>
      <c r="L801" s="1" t="str">
        <f t="shared" si="78"/>
        <v>Normal</v>
      </c>
      <c r="M801" s="2">
        <f t="shared" si="79"/>
        <v>77.25</v>
      </c>
      <c r="N801" s="1" t="str">
        <f t="shared" si="80"/>
        <v>Basah</v>
      </c>
      <c r="O801" t="str">
        <f t="shared" si="81"/>
        <v>Fuzzy</v>
      </c>
      <c r="P801" t="str">
        <f t="shared" si="82"/>
        <v>Fuzzy</v>
      </c>
    </row>
    <row r="802" spans="1:16" x14ac:dyDescent="0.35">
      <c r="A802" t="s">
        <v>805</v>
      </c>
      <c r="B802">
        <v>5015</v>
      </c>
      <c r="C802">
        <v>28</v>
      </c>
      <c r="D802">
        <v>71</v>
      </c>
      <c r="E802">
        <v>724</v>
      </c>
      <c r="F802">
        <v>4</v>
      </c>
      <c r="K802" s="1">
        <f t="shared" si="83"/>
        <v>724</v>
      </c>
      <c r="L802" s="1" t="str">
        <f t="shared" si="78"/>
        <v>Normal</v>
      </c>
      <c r="M802" s="2">
        <f t="shared" si="79"/>
        <v>7.4303405572755414</v>
      </c>
      <c r="N802" s="1" t="str">
        <f t="shared" si="80"/>
        <v>Kering</v>
      </c>
      <c r="O802" t="str">
        <f t="shared" si="81"/>
        <v>Fuzzy</v>
      </c>
      <c r="P802" t="str">
        <f t="shared" si="82"/>
        <v>Fuzzy</v>
      </c>
    </row>
    <row r="803" spans="1:16" x14ac:dyDescent="0.35">
      <c r="A803" t="s">
        <v>806</v>
      </c>
      <c r="B803">
        <v>5016</v>
      </c>
      <c r="C803">
        <v>28</v>
      </c>
      <c r="D803">
        <v>71</v>
      </c>
      <c r="E803">
        <v>745</v>
      </c>
      <c r="F803">
        <v>4</v>
      </c>
      <c r="K803" s="1">
        <f t="shared" si="83"/>
        <v>745</v>
      </c>
      <c r="L803" s="1" t="str">
        <f t="shared" si="78"/>
        <v>Normal</v>
      </c>
      <c r="M803" s="2">
        <f t="shared" si="79"/>
        <v>13.93188854489164</v>
      </c>
      <c r="N803" s="1" t="str">
        <f t="shared" si="80"/>
        <v>Kering</v>
      </c>
      <c r="O803" t="str">
        <f t="shared" si="81"/>
        <v>Fuzzy</v>
      </c>
      <c r="P803" t="str">
        <f t="shared" si="82"/>
        <v>Fuzzy</v>
      </c>
    </row>
    <row r="804" spans="1:16" x14ac:dyDescent="0.35">
      <c r="A804" t="s">
        <v>807</v>
      </c>
      <c r="B804">
        <v>5017</v>
      </c>
      <c r="C804">
        <v>28</v>
      </c>
      <c r="D804">
        <v>71</v>
      </c>
      <c r="E804">
        <v>797</v>
      </c>
      <c r="F804">
        <v>4</v>
      </c>
      <c r="K804" s="1">
        <f t="shared" si="83"/>
        <v>797</v>
      </c>
      <c r="L804" s="1" t="str">
        <f t="shared" si="78"/>
        <v>Normal</v>
      </c>
      <c r="M804" s="2">
        <f t="shared" si="79"/>
        <v>30.030959752321984</v>
      </c>
      <c r="N804" s="1" t="str">
        <f t="shared" si="80"/>
        <v>Lembab</v>
      </c>
      <c r="O804" t="str">
        <f t="shared" si="81"/>
        <v>Fuzzy</v>
      </c>
      <c r="P804" t="str">
        <f t="shared" si="82"/>
        <v>Fuzzy</v>
      </c>
    </row>
    <row r="805" spans="1:16" x14ac:dyDescent="0.35">
      <c r="A805" t="s">
        <v>808</v>
      </c>
      <c r="B805">
        <v>5018</v>
      </c>
      <c r="C805">
        <v>28</v>
      </c>
      <c r="D805">
        <v>72</v>
      </c>
      <c r="E805">
        <v>691</v>
      </c>
      <c r="F805">
        <v>4</v>
      </c>
      <c r="K805" s="1">
        <f t="shared" si="83"/>
        <v>691</v>
      </c>
      <c r="L805" s="1" t="str">
        <f t="shared" si="78"/>
        <v>Normal</v>
      </c>
      <c r="M805" s="2">
        <f t="shared" si="79"/>
        <v>97.75</v>
      </c>
      <c r="N805" s="1" t="str">
        <f t="shared" si="80"/>
        <v>Basah</v>
      </c>
      <c r="O805" t="str">
        <f t="shared" si="81"/>
        <v>Fuzzy</v>
      </c>
      <c r="P805" t="str">
        <f t="shared" si="82"/>
        <v>Fuzzy</v>
      </c>
    </row>
    <row r="806" spans="1:16" x14ac:dyDescent="0.35">
      <c r="A806" t="s">
        <v>809</v>
      </c>
      <c r="B806">
        <v>5019</v>
      </c>
      <c r="C806">
        <v>28</v>
      </c>
      <c r="D806">
        <v>72</v>
      </c>
      <c r="E806">
        <v>677</v>
      </c>
      <c r="F806">
        <v>4</v>
      </c>
      <c r="K806" s="1">
        <f t="shared" si="83"/>
        <v>677</v>
      </c>
      <c r="L806" s="1" t="str">
        <f t="shared" si="78"/>
        <v>Normal</v>
      </c>
      <c r="M806" s="2">
        <f t="shared" si="79"/>
        <v>94.25</v>
      </c>
      <c r="N806" s="1" t="str">
        <f t="shared" si="80"/>
        <v>Basah</v>
      </c>
      <c r="O806" t="str">
        <f t="shared" si="81"/>
        <v>Fuzzy</v>
      </c>
      <c r="P806" t="str">
        <f t="shared" si="82"/>
        <v>Fuzzy</v>
      </c>
    </row>
    <row r="807" spans="1:16" x14ac:dyDescent="0.35">
      <c r="A807" t="s">
        <v>810</v>
      </c>
      <c r="B807">
        <v>5020</v>
      </c>
      <c r="C807">
        <v>28</v>
      </c>
      <c r="D807">
        <v>72</v>
      </c>
      <c r="E807">
        <v>690</v>
      </c>
      <c r="F807">
        <v>4</v>
      </c>
      <c r="K807" s="1">
        <f t="shared" si="83"/>
        <v>690</v>
      </c>
      <c r="L807" s="1" t="str">
        <f t="shared" si="78"/>
        <v>Normal</v>
      </c>
      <c r="M807" s="2">
        <f t="shared" si="79"/>
        <v>97.5</v>
      </c>
      <c r="N807" s="1" t="str">
        <f t="shared" si="80"/>
        <v>Basah</v>
      </c>
      <c r="O807" t="str">
        <f t="shared" si="81"/>
        <v>Fuzzy</v>
      </c>
      <c r="P807" t="str">
        <f t="shared" si="82"/>
        <v>Fuzzy</v>
      </c>
    </row>
    <row r="808" spans="1:16" x14ac:dyDescent="0.35">
      <c r="A808" t="s">
        <v>811</v>
      </c>
      <c r="B808">
        <v>5021</v>
      </c>
      <c r="C808">
        <v>28</v>
      </c>
      <c r="D808">
        <v>72</v>
      </c>
      <c r="E808">
        <v>739</v>
      </c>
      <c r="F808">
        <v>3</v>
      </c>
      <c r="K808" s="1">
        <f t="shared" si="83"/>
        <v>739</v>
      </c>
      <c r="L808" s="1" t="str">
        <f t="shared" si="78"/>
        <v>Normal</v>
      </c>
      <c r="M808" s="2">
        <f t="shared" si="79"/>
        <v>12.074303405572756</v>
      </c>
      <c r="N808" s="1" t="str">
        <f t="shared" si="80"/>
        <v>Kering</v>
      </c>
      <c r="O808" t="str">
        <f t="shared" si="81"/>
        <v>Fuzzy</v>
      </c>
      <c r="P808" t="str">
        <f t="shared" si="82"/>
        <v>Fuzzy</v>
      </c>
    </row>
    <row r="809" spans="1:16" x14ac:dyDescent="0.35">
      <c r="A809" t="s">
        <v>812</v>
      </c>
      <c r="B809">
        <v>5022</v>
      </c>
      <c r="C809">
        <v>28</v>
      </c>
      <c r="D809">
        <v>72</v>
      </c>
      <c r="E809">
        <v>536</v>
      </c>
      <c r="F809">
        <v>4</v>
      </c>
      <c r="K809" s="1">
        <f t="shared" si="83"/>
        <v>536</v>
      </c>
      <c r="L809" s="1" t="str">
        <f t="shared" si="78"/>
        <v>Normal</v>
      </c>
      <c r="M809" s="2">
        <f t="shared" si="79"/>
        <v>59</v>
      </c>
      <c r="N809" s="1" t="str">
        <f t="shared" si="80"/>
        <v>Lembab</v>
      </c>
      <c r="O809" t="str">
        <f t="shared" si="81"/>
        <v>Fuzzy</v>
      </c>
      <c r="P809" t="str">
        <f t="shared" si="82"/>
        <v>Fuzzy</v>
      </c>
    </row>
    <row r="810" spans="1:16" x14ac:dyDescent="0.35">
      <c r="A810" t="s">
        <v>813</v>
      </c>
      <c r="B810">
        <v>5023</v>
      </c>
      <c r="C810">
        <v>28</v>
      </c>
      <c r="D810">
        <v>72</v>
      </c>
      <c r="E810">
        <v>687</v>
      </c>
      <c r="F810">
        <v>4</v>
      </c>
      <c r="K810" s="1">
        <f t="shared" si="83"/>
        <v>687</v>
      </c>
      <c r="L810" s="1" t="str">
        <f t="shared" si="78"/>
        <v>Normal</v>
      </c>
      <c r="M810" s="2">
        <f t="shared" si="79"/>
        <v>96.75</v>
      </c>
      <c r="N810" s="1" t="str">
        <f t="shared" si="80"/>
        <v>Basah</v>
      </c>
      <c r="O810" t="str">
        <f t="shared" si="81"/>
        <v>Fuzzy</v>
      </c>
      <c r="P810" t="str">
        <f t="shared" si="82"/>
        <v>Fuzzy</v>
      </c>
    </row>
    <row r="811" spans="1:16" x14ac:dyDescent="0.35">
      <c r="A811" t="s">
        <v>814</v>
      </c>
      <c r="B811">
        <v>5024</v>
      </c>
      <c r="C811">
        <v>28</v>
      </c>
      <c r="D811">
        <v>72</v>
      </c>
      <c r="E811">
        <v>745</v>
      </c>
      <c r="F811">
        <v>4</v>
      </c>
      <c r="K811" s="1">
        <f t="shared" si="83"/>
        <v>745</v>
      </c>
      <c r="L811" s="1" t="str">
        <f t="shared" si="78"/>
        <v>Normal</v>
      </c>
      <c r="M811" s="2">
        <f t="shared" si="79"/>
        <v>13.93188854489164</v>
      </c>
      <c r="N811" s="1" t="str">
        <f t="shared" si="80"/>
        <v>Kering</v>
      </c>
      <c r="O811" t="str">
        <f t="shared" si="81"/>
        <v>Fuzzy</v>
      </c>
      <c r="P811" t="str">
        <f t="shared" si="82"/>
        <v>Fuzzy</v>
      </c>
    </row>
    <row r="812" spans="1:16" x14ac:dyDescent="0.35">
      <c r="A812" t="s">
        <v>815</v>
      </c>
      <c r="B812">
        <v>5025</v>
      </c>
      <c r="C812">
        <v>28</v>
      </c>
      <c r="D812">
        <v>72</v>
      </c>
      <c r="E812">
        <v>766</v>
      </c>
      <c r="F812">
        <v>4</v>
      </c>
      <c r="K812" s="1">
        <f t="shared" si="83"/>
        <v>766</v>
      </c>
      <c r="L812" s="1" t="str">
        <f t="shared" si="78"/>
        <v>Normal</v>
      </c>
      <c r="M812" s="2">
        <f t="shared" si="79"/>
        <v>20.433436532507741</v>
      </c>
      <c r="N812" s="1" t="str">
        <f t="shared" si="80"/>
        <v>Kering</v>
      </c>
      <c r="O812" t="str">
        <f t="shared" si="81"/>
        <v>Fuzzy</v>
      </c>
      <c r="P812" t="str">
        <f t="shared" si="82"/>
        <v>Fuzzy</v>
      </c>
    </row>
    <row r="813" spans="1:16" x14ac:dyDescent="0.35">
      <c r="A813" t="s">
        <v>816</v>
      </c>
      <c r="B813">
        <v>5026</v>
      </c>
      <c r="C813">
        <v>28</v>
      </c>
      <c r="D813">
        <v>72</v>
      </c>
      <c r="E813">
        <v>712</v>
      </c>
      <c r="F813">
        <v>4</v>
      </c>
      <c r="K813" s="1">
        <f t="shared" si="83"/>
        <v>712</v>
      </c>
      <c r="L813" s="1" t="str">
        <f t="shared" si="78"/>
        <v>Normal</v>
      </c>
      <c r="M813" s="2">
        <f t="shared" si="79"/>
        <v>3.7151702786377707</v>
      </c>
      <c r="N813" s="1" t="str">
        <f t="shared" si="80"/>
        <v>Kering</v>
      </c>
      <c r="O813" t="str">
        <f t="shared" si="81"/>
        <v>Fuzzy</v>
      </c>
      <c r="P813" t="str">
        <f t="shared" si="82"/>
        <v>Fuzzy</v>
      </c>
    </row>
    <row r="814" spans="1:16" x14ac:dyDescent="0.35">
      <c r="A814" t="s">
        <v>817</v>
      </c>
      <c r="B814">
        <v>5027</v>
      </c>
      <c r="C814">
        <v>28</v>
      </c>
      <c r="D814">
        <v>72</v>
      </c>
      <c r="E814">
        <v>922</v>
      </c>
      <c r="F814">
        <v>4</v>
      </c>
      <c r="K814" s="1">
        <f t="shared" si="83"/>
        <v>922</v>
      </c>
      <c r="L814" s="1" t="str">
        <f t="shared" si="78"/>
        <v>Normal</v>
      </c>
      <c r="M814" s="2">
        <f t="shared" si="79"/>
        <v>68.730650154798766</v>
      </c>
      <c r="N814" s="1" t="str">
        <f t="shared" si="80"/>
        <v>Basah</v>
      </c>
      <c r="O814" t="str">
        <f t="shared" si="81"/>
        <v>Fuzzy</v>
      </c>
      <c r="P814" t="str">
        <f t="shared" si="82"/>
        <v>Fuzzy</v>
      </c>
    </row>
    <row r="815" spans="1:16" x14ac:dyDescent="0.35">
      <c r="A815" t="s">
        <v>818</v>
      </c>
      <c r="B815">
        <v>5028</v>
      </c>
      <c r="C815">
        <v>28</v>
      </c>
      <c r="D815">
        <v>72</v>
      </c>
      <c r="E815">
        <v>750</v>
      </c>
      <c r="F815">
        <v>4</v>
      </c>
      <c r="K815" s="1">
        <f t="shared" si="83"/>
        <v>750</v>
      </c>
      <c r="L815" s="1" t="str">
        <f t="shared" si="78"/>
        <v>Normal</v>
      </c>
      <c r="M815" s="2">
        <f t="shared" si="79"/>
        <v>15.479876160990713</v>
      </c>
      <c r="N815" s="1" t="str">
        <f t="shared" si="80"/>
        <v>Kering</v>
      </c>
      <c r="O815" t="str">
        <f t="shared" si="81"/>
        <v>Fuzzy</v>
      </c>
      <c r="P815" t="str">
        <f t="shared" si="82"/>
        <v>Fuzzy</v>
      </c>
    </row>
    <row r="816" spans="1:16" x14ac:dyDescent="0.35">
      <c r="A816" t="s">
        <v>819</v>
      </c>
      <c r="B816">
        <v>5029</v>
      </c>
      <c r="C816">
        <v>28</v>
      </c>
      <c r="D816">
        <v>72</v>
      </c>
      <c r="E816">
        <v>664</v>
      </c>
      <c r="F816">
        <v>4</v>
      </c>
      <c r="K816" s="1">
        <f t="shared" si="83"/>
        <v>664</v>
      </c>
      <c r="L816" s="1" t="str">
        <f t="shared" si="78"/>
        <v>Normal</v>
      </c>
      <c r="M816" s="2">
        <f t="shared" si="79"/>
        <v>91</v>
      </c>
      <c r="N816" s="1" t="str">
        <f t="shared" si="80"/>
        <v>Basah</v>
      </c>
      <c r="O816" t="str">
        <f t="shared" si="81"/>
        <v>Fuzzy</v>
      </c>
      <c r="P816" t="str">
        <f t="shared" si="82"/>
        <v>Fuzzy</v>
      </c>
    </row>
    <row r="817" spans="1:16" x14ac:dyDescent="0.35">
      <c r="A817" t="s">
        <v>820</v>
      </c>
      <c r="B817">
        <v>5030</v>
      </c>
      <c r="C817">
        <v>28</v>
      </c>
      <c r="D817">
        <v>72</v>
      </c>
      <c r="E817">
        <v>670</v>
      </c>
      <c r="F817">
        <v>5</v>
      </c>
      <c r="K817" s="1">
        <f t="shared" si="83"/>
        <v>670</v>
      </c>
      <c r="L817" s="1" t="str">
        <f t="shared" si="78"/>
        <v>Normal</v>
      </c>
      <c r="M817" s="2">
        <f t="shared" si="79"/>
        <v>92.5</v>
      </c>
      <c r="N817" s="1" t="str">
        <f t="shared" si="80"/>
        <v>Basah</v>
      </c>
      <c r="O817" t="str">
        <f t="shared" si="81"/>
        <v>Fuzzy</v>
      </c>
      <c r="P817" t="str">
        <f t="shared" si="82"/>
        <v>Fuzzy</v>
      </c>
    </row>
    <row r="818" spans="1:16" x14ac:dyDescent="0.35">
      <c r="A818" t="s">
        <v>821</v>
      </c>
      <c r="B818">
        <v>5031</v>
      </c>
      <c r="C818">
        <v>28</v>
      </c>
      <c r="D818">
        <v>72</v>
      </c>
      <c r="E818">
        <v>697</v>
      </c>
      <c r="F818">
        <v>3</v>
      </c>
      <c r="K818" s="1">
        <f t="shared" si="83"/>
        <v>697</v>
      </c>
      <c r="L818" s="1" t="str">
        <f t="shared" si="78"/>
        <v>Normal</v>
      </c>
      <c r="M818" s="2">
        <f t="shared" si="79"/>
        <v>99.25</v>
      </c>
      <c r="N818" s="1" t="str">
        <f t="shared" si="80"/>
        <v>Basah</v>
      </c>
      <c r="O818" t="str">
        <f t="shared" si="81"/>
        <v>Fuzzy</v>
      </c>
      <c r="P818" t="str">
        <f t="shared" si="82"/>
        <v>Fuzzy</v>
      </c>
    </row>
    <row r="819" spans="1:16" x14ac:dyDescent="0.35">
      <c r="A819" t="s">
        <v>822</v>
      </c>
      <c r="B819">
        <v>5032</v>
      </c>
      <c r="C819">
        <v>28</v>
      </c>
      <c r="D819">
        <v>72</v>
      </c>
      <c r="E819">
        <v>706</v>
      </c>
      <c r="F819">
        <v>5</v>
      </c>
      <c r="K819" s="1">
        <f t="shared" si="83"/>
        <v>706</v>
      </c>
      <c r="L819" s="1" t="str">
        <f t="shared" si="78"/>
        <v>Normal</v>
      </c>
      <c r="M819" s="2">
        <f t="shared" si="79"/>
        <v>1.8575851393188854</v>
      </c>
      <c r="N819" s="1" t="str">
        <f t="shared" si="80"/>
        <v>Kering</v>
      </c>
      <c r="O819" t="str">
        <f t="shared" si="81"/>
        <v>Fuzzy</v>
      </c>
      <c r="P819" t="str">
        <f t="shared" si="82"/>
        <v>Fuzzy</v>
      </c>
    </row>
    <row r="820" spans="1:16" x14ac:dyDescent="0.35">
      <c r="A820" t="s">
        <v>823</v>
      </c>
      <c r="B820">
        <v>5033</v>
      </c>
      <c r="C820">
        <v>28</v>
      </c>
      <c r="D820">
        <v>72</v>
      </c>
      <c r="E820">
        <v>711</v>
      </c>
      <c r="F820">
        <v>4</v>
      </c>
      <c r="K820" s="1">
        <f t="shared" si="83"/>
        <v>711</v>
      </c>
      <c r="L820" s="1" t="str">
        <f t="shared" si="78"/>
        <v>Normal</v>
      </c>
      <c r="M820" s="2">
        <f t="shared" si="79"/>
        <v>3.4055727554179565</v>
      </c>
      <c r="N820" s="1" t="str">
        <f t="shared" si="80"/>
        <v>Kering</v>
      </c>
      <c r="O820" t="str">
        <f t="shared" si="81"/>
        <v>Fuzzy</v>
      </c>
      <c r="P820" t="str">
        <f t="shared" si="82"/>
        <v>Fuzzy</v>
      </c>
    </row>
    <row r="821" spans="1:16" x14ac:dyDescent="0.35">
      <c r="A821" t="s">
        <v>824</v>
      </c>
      <c r="B821">
        <v>5034</v>
      </c>
      <c r="C821">
        <v>28</v>
      </c>
      <c r="D821">
        <v>72</v>
      </c>
      <c r="E821">
        <v>996</v>
      </c>
      <c r="F821">
        <v>4</v>
      </c>
      <c r="K821" s="1">
        <f t="shared" si="83"/>
        <v>996</v>
      </c>
      <c r="L821" s="1" t="str">
        <f t="shared" si="78"/>
        <v>Normal</v>
      </c>
      <c r="M821" s="2">
        <f t="shared" si="79"/>
        <v>91.640866873065022</v>
      </c>
      <c r="N821" s="1" t="str">
        <f t="shared" si="80"/>
        <v>Basah</v>
      </c>
      <c r="O821" t="str">
        <f t="shared" si="81"/>
        <v>Fuzzy</v>
      </c>
      <c r="P821" t="str">
        <f t="shared" si="82"/>
        <v>Fuzzy</v>
      </c>
    </row>
    <row r="822" spans="1:16" x14ac:dyDescent="0.35">
      <c r="A822" t="s">
        <v>825</v>
      </c>
      <c r="B822">
        <v>5035</v>
      </c>
      <c r="C822">
        <v>28</v>
      </c>
      <c r="D822">
        <v>72</v>
      </c>
      <c r="E822">
        <v>733</v>
      </c>
      <c r="F822">
        <v>4</v>
      </c>
      <c r="K822" s="1">
        <f t="shared" si="83"/>
        <v>733</v>
      </c>
      <c r="L822" s="1" t="str">
        <f t="shared" si="78"/>
        <v>Normal</v>
      </c>
      <c r="M822" s="2">
        <f t="shared" si="79"/>
        <v>10.216718266253871</v>
      </c>
      <c r="N822" s="1" t="str">
        <f t="shared" si="80"/>
        <v>Kering</v>
      </c>
      <c r="O822" t="str">
        <f t="shared" si="81"/>
        <v>Fuzzy</v>
      </c>
      <c r="P822" t="str">
        <f t="shared" si="82"/>
        <v>Fuzzy</v>
      </c>
    </row>
    <row r="823" spans="1:16" x14ac:dyDescent="0.35">
      <c r="A823" t="s">
        <v>826</v>
      </c>
      <c r="B823">
        <v>5036</v>
      </c>
      <c r="C823">
        <v>28</v>
      </c>
      <c r="D823">
        <v>73</v>
      </c>
      <c r="E823">
        <v>718</v>
      </c>
      <c r="F823">
        <v>4</v>
      </c>
      <c r="K823" s="1">
        <f t="shared" si="83"/>
        <v>718</v>
      </c>
      <c r="L823" s="1" t="str">
        <f t="shared" si="78"/>
        <v>Normal</v>
      </c>
      <c r="M823" s="2">
        <f t="shared" si="79"/>
        <v>5.5727554179566559</v>
      </c>
      <c r="N823" s="1" t="str">
        <f t="shared" si="80"/>
        <v>Kering</v>
      </c>
      <c r="O823" t="str">
        <f t="shared" si="81"/>
        <v>Fuzzy</v>
      </c>
      <c r="P823" t="str">
        <f t="shared" si="82"/>
        <v>Fuzzy</v>
      </c>
    </row>
    <row r="824" spans="1:16" x14ac:dyDescent="0.35">
      <c r="A824" t="s">
        <v>827</v>
      </c>
      <c r="B824">
        <v>5037</v>
      </c>
      <c r="C824">
        <v>28</v>
      </c>
      <c r="D824">
        <v>73</v>
      </c>
      <c r="E824">
        <v>697</v>
      </c>
      <c r="F824">
        <v>4</v>
      </c>
      <c r="K824" s="1">
        <f t="shared" si="83"/>
        <v>697</v>
      </c>
      <c r="L824" s="1" t="str">
        <f t="shared" si="78"/>
        <v>Normal</v>
      </c>
      <c r="M824" s="2">
        <f t="shared" si="79"/>
        <v>99.25</v>
      </c>
      <c r="N824" s="1" t="str">
        <f t="shared" si="80"/>
        <v>Basah</v>
      </c>
      <c r="O824" t="str">
        <f t="shared" si="81"/>
        <v>Fuzzy</v>
      </c>
      <c r="P824" t="str">
        <f t="shared" si="82"/>
        <v>Fuzzy</v>
      </c>
    </row>
    <row r="825" spans="1:16" x14ac:dyDescent="0.35">
      <c r="A825" t="s">
        <v>828</v>
      </c>
      <c r="B825">
        <v>5038</v>
      </c>
      <c r="C825">
        <v>28</v>
      </c>
      <c r="D825">
        <v>73</v>
      </c>
      <c r="E825">
        <v>700</v>
      </c>
      <c r="F825">
        <v>4</v>
      </c>
      <c r="K825" s="1">
        <f t="shared" si="83"/>
        <v>700</v>
      </c>
      <c r="L825" s="1" t="str">
        <f t="shared" si="78"/>
        <v>Normal</v>
      </c>
      <c r="M825" s="2">
        <f t="shared" si="79"/>
        <v>100</v>
      </c>
      <c r="N825" s="1" t="str">
        <f t="shared" si="80"/>
        <v>Basah</v>
      </c>
      <c r="O825" t="str">
        <f t="shared" si="81"/>
        <v>Fuzzy</v>
      </c>
      <c r="P825" t="str">
        <f t="shared" si="82"/>
        <v/>
      </c>
    </row>
    <row r="826" spans="1:16" x14ac:dyDescent="0.35">
      <c r="A826" t="s">
        <v>829</v>
      </c>
      <c r="B826">
        <v>5039</v>
      </c>
      <c r="C826">
        <v>28</v>
      </c>
      <c r="D826">
        <v>73</v>
      </c>
      <c r="E826">
        <v>500</v>
      </c>
      <c r="F826">
        <v>4</v>
      </c>
      <c r="K826" s="1">
        <f t="shared" si="83"/>
        <v>500</v>
      </c>
      <c r="L826" s="1" t="str">
        <f t="shared" si="78"/>
        <v>Normal</v>
      </c>
      <c r="M826" s="2">
        <f t="shared" si="79"/>
        <v>50</v>
      </c>
      <c r="N826" s="1" t="str">
        <f t="shared" si="80"/>
        <v>Lembab</v>
      </c>
      <c r="O826" t="str">
        <f t="shared" si="81"/>
        <v>Fuzzy</v>
      </c>
      <c r="P826" t="str">
        <f t="shared" si="82"/>
        <v>Fuzzy</v>
      </c>
    </row>
    <row r="827" spans="1:16" x14ac:dyDescent="0.35">
      <c r="A827" t="s">
        <v>830</v>
      </c>
      <c r="B827">
        <v>5040</v>
      </c>
      <c r="C827">
        <v>28</v>
      </c>
      <c r="D827">
        <v>73</v>
      </c>
      <c r="E827">
        <v>712</v>
      </c>
      <c r="F827">
        <v>4</v>
      </c>
      <c r="K827" s="1">
        <f t="shared" si="83"/>
        <v>712</v>
      </c>
      <c r="L827" s="1" t="str">
        <f t="shared" si="78"/>
        <v>Normal</v>
      </c>
      <c r="M827" s="2">
        <f t="shared" si="79"/>
        <v>3.7151702786377707</v>
      </c>
      <c r="N827" s="1" t="str">
        <f t="shared" si="80"/>
        <v>Kering</v>
      </c>
      <c r="O827" t="str">
        <f t="shared" si="81"/>
        <v>Fuzzy</v>
      </c>
      <c r="P827" t="str">
        <f t="shared" si="82"/>
        <v>Fuzzy</v>
      </c>
    </row>
    <row r="828" spans="1:16" x14ac:dyDescent="0.35">
      <c r="A828" t="s">
        <v>831</v>
      </c>
      <c r="B828">
        <v>5041</v>
      </c>
      <c r="C828">
        <v>28</v>
      </c>
      <c r="D828">
        <v>73</v>
      </c>
      <c r="E828">
        <v>677</v>
      </c>
      <c r="F828">
        <v>4</v>
      </c>
      <c r="K828" s="1">
        <f t="shared" si="83"/>
        <v>677</v>
      </c>
      <c r="L828" s="1" t="str">
        <f t="shared" si="78"/>
        <v>Normal</v>
      </c>
      <c r="M828" s="2">
        <f t="shared" si="79"/>
        <v>94.25</v>
      </c>
      <c r="N828" s="1" t="str">
        <f t="shared" si="80"/>
        <v>Basah</v>
      </c>
      <c r="O828" t="str">
        <f t="shared" si="81"/>
        <v>Fuzzy</v>
      </c>
      <c r="P828" t="str">
        <f t="shared" si="82"/>
        <v>Fuzzy</v>
      </c>
    </row>
    <row r="829" spans="1:16" x14ac:dyDescent="0.35">
      <c r="A829" t="s">
        <v>832</v>
      </c>
      <c r="B829">
        <v>5042</v>
      </c>
      <c r="C829">
        <v>28</v>
      </c>
      <c r="D829">
        <v>73</v>
      </c>
      <c r="E829">
        <v>568</v>
      </c>
      <c r="F829">
        <v>4</v>
      </c>
      <c r="K829" s="1">
        <f t="shared" si="83"/>
        <v>568</v>
      </c>
      <c r="L829" s="1" t="str">
        <f t="shared" si="78"/>
        <v>Normal</v>
      </c>
      <c r="M829" s="2">
        <f t="shared" si="79"/>
        <v>67</v>
      </c>
      <c r="N829" s="1" t="str">
        <f t="shared" si="80"/>
        <v>Lembab</v>
      </c>
      <c r="O829" t="str">
        <f t="shared" si="81"/>
        <v>Fuzzy</v>
      </c>
      <c r="P829" t="str">
        <f t="shared" si="82"/>
        <v>Fuzzy</v>
      </c>
    </row>
    <row r="830" spans="1:16" x14ac:dyDescent="0.35">
      <c r="A830" t="s">
        <v>833</v>
      </c>
      <c r="B830">
        <v>5043</v>
      </c>
      <c r="C830">
        <v>28</v>
      </c>
      <c r="D830">
        <v>73</v>
      </c>
      <c r="E830">
        <v>744</v>
      </c>
      <c r="F830">
        <v>4</v>
      </c>
      <c r="K830" s="1">
        <f t="shared" si="83"/>
        <v>744</v>
      </c>
      <c r="L830" s="1" t="str">
        <f t="shared" si="78"/>
        <v>Normal</v>
      </c>
      <c r="M830" s="2">
        <f t="shared" si="79"/>
        <v>13.622291021671826</v>
      </c>
      <c r="N830" s="1" t="str">
        <f t="shared" si="80"/>
        <v>Kering</v>
      </c>
      <c r="O830" t="str">
        <f t="shared" si="81"/>
        <v>Fuzzy</v>
      </c>
      <c r="P830" t="str">
        <f t="shared" si="82"/>
        <v>Fuzzy</v>
      </c>
    </row>
    <row r="831" spans="1:16" x14ac:dyDescent="0.35">
      <c r="A831" t="s">
        <v>834</v>
      </c>
      <c r="B831">
        <v>5044</v>
      </c>
      <c r="C831">
        <v>28</v>
      </c>
      <c r="D831">
        <v>73</v>
      </c>
      <c r="E831">
        <v>733</v>
      </c>
      <c r="F831">
        <v>4</v>
      </c>
      <c r="K831" s="1">
        <f t="shared" si="83"/>
        <v>733</v>
      </c>
      <c r="L831" s="1" t="str">
        <f t="shared" si="78"/>
        <v>Normal</v>
      </c>
      <c r="M831" s="2">
        <f t="shared" si="79"/>
        <v>10.216718266253871</v>
      </c>
      <c r="N831" s="1" t="str">
        <f t="shared" si="80"/>
        <v>Kering</v>
      </c>
      <c r="O831" t="str">
        <f t="shared" si="81"/>
        <v>Fuzzy</v>
      </c>
      <c r="P831" t="str">
        <f t="shared" si="82"/>
        <v>Fuzzy</v>
      </c>
    </row>
    <row r="832" spans="1:16" x14ac:dyDescent="0.35">
      <c r="A832" t="s">
        <v>835</v>
      </c>
      <c r="B832">
        <v>5045</v>
      </c>
      <c r="C832">
        <v>28</v>
      </c>
      <c r="D832">
        <v>73</v>
      </c>
      <c r="E832">
        <v>739</v>
      </c>
      <c r="F832">
        <v>4</v>
      </c>
      <c r="K832" s="1">
        <f t="shared" si="83"/>
        <v>739</v>
      </c>
      <c r="L832" s="1" t="str">
        <f t="shared" si="78"/>
        <v>Normal</v>
      </c>
      <c r="M832" s="2">
        <f t="shared" si="79"/>
        <v>12.074303405572756</v>
      </c>
      <c r="N832" s="1" t="str">
        <f t="shared" si="80"/>
        <v>Kering</v>
      </c>
      <c r="O832" t="str">
        <f t="shared" si="81"/>
        <v>Fuzzy</v>
      </c>
      <c r="P832" t="str">
        <f t="shared" si="82"/>
        <v>Fuzzy</v>
      </c>
    </row>
    <row r="833" spans="1:16" x14ac:dyDescent="0.35">
      <c r="A833" t="s">
        <v>836</v>
      </c>
      <c r="B833">
        <v>5046</v>
      </c>
      <c r="C833">
        <v>28</v>
      </c>
      <c r="D833">
        <v>73</v>
      </c>
      <c r="E833">
        <v>644</v>
      </c>
      <c r="F833">
        <v>4</v>
      </c>
      <c r="K833" s="1">
        <f t="shared" si="83"/>
        <v>644</v>
      </c>
      <c r="L833" s="1" t="str">
        <f t="shared" si="78"/>
        <v>Normal</v>
      </c>
      <c r="M833" s="2">
        <f t="shared" si="79"/>
        <v>86</v>
      </c>
      <c r="N833" s="1" t="str">
        <f t="shared" si="80"/>
        <v>Basah</v>
      </c>
      <c r="O833" t="str">
        <f t="shared" si="81"/>
        <v>Fuzzy</v>
      </c>
      <c r="P833" t="str">
        <f t="shared" si="82"/>
        <v>Fuzzy</v>
      </c>
    </row>
    <row r="834" spans="1:16" x14ac:dyDescent="0.35">
      <c r="A834" t="s">
        <v>837</v>
      </c>
      <c r="B834">
        <v>5047</v>
      </c>
      <c r="C834">
        <v>28</v>
      </c>
      <c r="D834">
        <v>73</v>
      </c>
      <c r="E834">
        <v>579</v>
      </c>
      <c r="F834">
        <v>4</v>
      </c>
      <c r="K834" s="1">
        <f t="shared" si="83"/>
        <v>579</v>
      </c>
      <c r="L834" s="1" t="str">
        <f t="shared" si="78"/>
        <v>Normal</v>
      </c>
      <c r="M834" s="2">
        <f t="shared" si="79"/>
        <v>69.75</v>
      </c>
      <c r="N834" s="1" t="str">
        <f t="shared" si="80"/>
        <v>Basah</v>
      </c>
      <c r="O834" t="str">
        <f t="shared" si="81"/>
        <v>Fuzzy</v>
      </c>
      <c r="P834" t="str">
        <f t="shared" si="82"/>
        <v>Fuzzy</v>
      </c>
    </row>
    <row r="835" spans="1:16" x14ac:dyDescent="0.35">
      <c r="A835" t="s">
        <v>838</v>
      </c>
      <c r="B835">
        <v>5048</v>
      </c>
      <c r="C835">
        <v>28</v>
      </c>
      <c r="D835">
        <v>73</v>
      </c>
      <c r="E835">
        <v>698</v>
      </c>
      <c r="F835">
        <v>4</v>
      </c>
      <c r="K835" s="1">
        <f t="shared" si="83"/>
        <v>698</v>
      </c>
      <c r="L835" s="1" t="str">
        <f t="shared" ref="L835:L898" si="84">IF(A834 &lt;= 10, "Dingin", IF(OR(A834 &gt;= 10, A834 &lt; 35), "Normal", "Panas"))</f>
        <v>Normal</v>
      </c>
      <c r="M835" s="2">
        <f t="shared" ref="M835:M898" si="85">IF(K835&lt;=300, K835/1023*100, IF(K835&lt;=700, (K835-300)/(700-301+1)*100, (K835-700)/(1023-701+1)*100))</f>
        <v>99.5</v>
      </c>
      <c r="N835" s="1" t="str">
        <f t="shared" ref="N835:N898" si="86">IF(M835&lt;=29.32, "Kering", IF(M835&lt;=68.53, "Lembab", "Basah"))</f>
        <v>Basah</v>
      </c>
      <c r="O835" t="str">
        <f t="shared" ref="O835:O898" si="87">IF(OR(AND(C835 &gt; 10, C835 &lt; 22.5), AND(C835 &gt;= 22.5, C835 &lt; 35)), "Fuzzy", "")</f>
        <v>Fuzzy</v>
      </c>
      <c r="P835" t="str">
        <f t="shared" ref="P835:P898" si="88">IF(OR(AND(M835 &gt;= 0, M835 &lt; 50), AND(M835 &gt;= 50, M835 &lt; 100)), "Fuzzy", "")</f>
        <v>Fuzzy</v>
      </c>
    </row>
    <row r="836" spans="1:16" x14ac:dyDescent="0.35">
      <c r="A836" t="s">
        <v>839</v>
      </c>
      <c r="B836">
        <v>5049</v>
      </c>
      <c r="C836">
        <v>28</v>
      </c>
      <c r="D836">
        <v>73</v>
      </c>
      <c r="E836">
        <v>695</v>
      </c>
      <c r="F836">
        <v>4</v>
      </c>
      <c r="K836" s="1">
        <f t="shared" si="83"/>
        <v>695</v>
      </c>
      <c r="L836" s="1" t="str">
        <f t="shared" si="84"/>
        <v>Normal</v>
      </c>
      <c r="M836" s="2">
        <f t="shared" si="85"/>
        <v>98.75</v>
      </c>
      <c r="N836" s="1" t="str">
        <f t="shared" si="86"/>
        <v>Basah</v>
      </c>
      <c r="O836" t="str">
        <f t="shared" si="87"/>
        <v>Fuzzy</v>
      </c>
      <c r="P836" t="str">
        <f t="shared" si="88"/>
        <v>Fuzzy</v>
      </c>
    </row>
    <row r="837" spans="1:16" x14ac:dyDescent="0.35">
      <c r="A837" t="s">
        <v>840</v>
      </c>
      <c r="B837">
        <v>5050</v>
      </c>
      <c r="C837">
        <v>28</v>
      </c>
      <c r="D837">
        <v>73</v>
      </c>
      <c r="E837">
        <v>753</v>
      </c>
      <c r="F837">
        <v>4</v>
      </c>
      <c r="K837" s="1">
        <f t="shared" si="83"/>
        <v>753</v>
      </c>
      <c r="L837" s="1" t="str">
        <f t="shared" si="84"/>
        <v>Normal</v>
      </c>
      <c r="M837" s="2">
        <f t="shared" si="85"/>
        <v>16.408668730650156</v>
      </c>
      <c r="N837" s="1" t="str">
        <f t="shared" si="86"/>
        <v>Kering</v>
      </c>
      <c r="O837" t="str">
        <f t="shared" si="87"/>
        <v>Fuzzy</v>
      </c>
      <c r="P837" t="str">
        <f t="shared" si="88"/>
        <v>Fuzzy</v>
      </c>
    </row>
    <row r="838" spans="1:16" x14ac:dyDescent="0.35">
      <c r="A838" t="s">
        <v>841</v>
      </c>
      <c r="B838">
        <v>5051</v>
      </c>
      <c r="C838">
        <v>28</v>
      </c>
      <c r="D838">
        <v>73</v>
      </c>
      <c r="E838">
        <v>690</v>
      </c>
      <c r="F838">
        <v>4</v>
      </c>
      <c r="K838" s="1">
        <f t="shared" si="83"/>
        <v>690</v>
      </c>
      <c r="L838" s="1" t="str">
        <f t="shared" si="84"/>
        <v>Normal</v>
      </c>
      <c r="M838" s="2">
        <f t="shared" si="85"/>
        <v>97.5</v>
      </c>
      <c r="N838" s="1" t="str">
        <f t="shared" si="86"/>
        <v>Basah</v>
      </c>
      <c r="O838" t="str">
        <f t="shared" si="87"/>
        <v>Fuzzy</v>
      </c>
      <c r="P838" t="str">
        <f t="shared" si="88"/>
        <v>Fuzzy</v>
      </c>
    </row>
    <row r="839" spans="1:16" x14ac:dyDescent="0.35">
      <c r="A839" t="s">
        <v>842</v>
      </c>
      <c r="B839">
        <v>5052</v>
      </c>
      <c r="C839">
        <v>28</v>
      </c>
      <c r="D839">
        <v>73</v>
      </c>
      <c r="E839">
        <v>620</v>
      </c>
      <c r="F839">
        <v>4</v>
      </c>
      <c r="K839" s="1">
        <f t="shared" si="83"/>
        <v>620</v>
      </c>
      <c r="L839" s="1" t="str">
        <f t="shared" si="84"/>
        <v>Normal</v>
      </c>
      <c r="M839" s="2">
        <f t="shared" si="85"/>
        <v>80</v>
      </c>
      <c r="N839" s="1" t="str">
        <f t="shared" si="86"/>
        <v>Basah</v>
      </c>
      <c r="O839" t="str">
        <f t="shared" si="87"/>
        <v>Fuzzy</v>
      </c>
      <c r="P839" t="str">
        <f t="shared" si="88"/>
        <v>Fuzzy</v>
      </c>
    </row>
    <row r="840" spans="1:16" x14ac:dyDescent="0.35">
      <c r="A840" t="s">
        <v>843</v>
      </c>
      <c r="B840">
        <v>5053</v>
      </c>
      <c r="C840">
        <v>28</v>
      </c>
      <c r="D840">
        <v>73</v>
      </c>
      <c r="E840">
        <v>727</v>
      </c>
      <c r="F840">
        <v>4</v>
      </c>
      <c r="K840" s="1">
        <f t="shared" si="83"/>
        <v>727</v>
      </c>
      <c r="L840" s="1" t="str">
        <f t="shared" si="84"/>
        <v>Normal</v>
      </c>
      <c r="M840" s="2">
        <f t="shared" si="85"/>
        <v>8.3591331269349833</v>
      </c>
      <c r="N840" s="1" t="str">
        <f t="shared" si="86"/>
        <v>Kering</v>
      </c>
      <c r="O840" t="str">
        <f t="shared" si="87"/>
        <v>Fuzzy</v>
      </c>
      <c r="P840" t="str">
        <f t="shared" si="88"/>
        <v>Fuzzy</v>
      </c>
    </row>
    <row r="841" spans="1:16" x14ac:dyDescent="0.35">
      <c r="A841" t="s">
        <v>844</v>
      </c>
      <c r="B841">
        <v>5054</v>
      </c>
      <c r="C841">
        <v>28</v>
      </c>
      <c r="D841">
        <v>73</v>
      </c>
      <c r="E841">
        <v>769</v>
      </c>
      <c r="F841">
        <v>4</v>
      </c>
      <c r="K841" s="1">
        <f t="shared" si="83"/>
        <v>769</v>
      </c>
      <c r="L841" s="1" t="str">
        <f t="shared" si="84"/>
        <v>Normal</v>
      </c>
      <c r="M841" s="2">
        <f t="shared" si="85"/>
        <v>21.362229102167181</v>
      </c>
      <c r="N841" s="1" t="str">
        <f t="shared" si="86"/>
        <v>Kering</v>
      </c>
      <c r="O841" t="str">
        <f t="shared" si="87"/>
        <v>Fuzzy</v>
      </c>
      <c r="P841" t="str">
        <f t="shared" si="88"/>
        <v>Fuzzy</v>
      </c>
    </row>
    <row r="842" spans="1:16" x14ac:dyDescent="0.35">
      <c r="A842" t="s">
        <v>845</v>
      </c>
      <c r="B842">
        <v>5055</v>
      </c>
      <c r="C842">
        <v>28</v>
      </c>
      <c r="D842">
        <v>73</v>
      </c>
      <c r="E842">
        <v>727</v>
      </c>
      <c r="F842">
        <v>4</v>
      </c>
      <c r="K842" s="1">
        <f t="shared" si="83"/>
        <v>727</v>
      </c>
      <c r="L842" s="1" t="str">
        <f t="shared" si="84"/>
        <v>Normal</v>
      </c>
      <c r="M842" s="2">
        <f t="shared" si="85"/>
        <v>8.3591331269349833</v>
      </c>
      <c r="N842" s="1" t="str">
        <f t="shared" si="86"/>
        <v>Kering</v>
      </c>
      <c r="O842" t="str">
        <f t="shared" si="87"/>
        <v>Fuzzy</v>
      </c>
      <c r="P842" t="str">
        <f t="shared" si="88"/>
        <v>Fuzzy</v>
      </c>
    </row>
    <row r="843" spans="1:16" x14ac:dyDescent="0.35">
      <c r="A843" t="s">
        <v>846</v>
      </c>
      <c r="B843">
        <v>5056</v>
      </c>
      <c r="C843">
        <v>28</v>
      </c>
      <c r="D843">
        <v>73</v>
      </c>
      <c r="E843">
        <v>697</v>
      </c>
      <c r="F843">
        <v>4</v>
      </c>
      <c r="K843" s="1">
        <f t="shared" si="83"/>
        <v>697</v>
      </c>
      <c r="L843" s="1" t="str">
        <f t="shared" si="84"/>
        <v>Normal</v>
      </c>
      <c r="M843" s="2">
        <f t="shared" si="85"/>
        <v>99.25</v>
      </c>
      <c r="N843" s="1" t="str">
        <f t="shared" si="86"/>
        <v>Basah</v>
      </c>
      <c r="O843" t="str">
        <f t="shared" si="87"/>
        <v>Fuzzy</v>
      </c>
      <c r="P843" t="str">
        <f t="shared" si="88"/>
        <v>Fuzzy</v>
      </c>
    </row>
    <row r="844" spans="1:16" x14ac:dyDescent="0.35">
      <c r="A844" t="s">
        <v>847</v>
      </c>
      <c r="B844">
        <v>5057</v>
      </c>
      <c r="C844">
        <v>28</v>
      </c>
      <c r="D844">
        <v>73</v>
      </c>
      <c r="E844">
        <v>707</v>
      </c>
      <c r="F844">
        <v>4</v>
      </c>
      <c r="K844" s="1">
        <f t="shared" si="83"/>
        <v>707</v>
      </c>
      <c r="L844" s="1" t="str">
        <f t="shared" si="84"/>
        <v>Normal</v>
      </c>
      <c r="M844" s="2">
        <f t="shared" si="85"/>
        <v>2.1671826625386998</v>
      </c>
      <c r="N844" s="1" t="str">
        <f t="shared" si="86"/>
        <v>Kering</v>
      </c>
      <c r="O844" t="str">
        <f t="shared" si="87"/>
        <v>Fuzzy</v>
      </c>
      <c r="P844" t="str">
        <f t="shared" si="88"/>
        <v>Fuzzy</v>
      </c>
    </row>
    <row r="845" spans="1:16" x14ac:dyDescent="0.35">
      <c r="A845" t="s">
        <v>848</v>
      </c>
      <c r="B845">
        <v>5058</v>
      </c>
      <c r="C845">
        <v>28</v>
      </c>
      <c r="D845">
        <v>73</v>
      </c>
      <c r="E845">
        <v>708</v>
      </c>
      <c r="F845">
        <v>4</v>
      </c>
      <c r="K845" s="1">
        <f t="shared" ref="K845:K908" si="89">IF(E845&lt;=1023, E845, "")</f>
        <v>708</v>
      </c>
      <c r="L845" s="1" t="str">
        <f t="shared" si="84"/>
        <v>Normal</v>
      </c>
      <c r="M845" s="2">
        <f t="shared" si="85"/>
        <v>2.4767801857585141</v>
      </c>
      <c r="N845" s="1" t="str">
        <f t="shared" si="86"/>
        <v>Kering</v>
      </c>
      <c r="O845" t="str">
        <f t="shared" si="87"/>
        <v>Fuzzy</v>
      </c>
      <c r="P845" t="str">
        <f t="shared" si="88"/>
        <v>Fuzzy</v>
      </c>
    </row>
    <row r="846" spans="1:16" x14ac:dyDescent="0.35">
      <c r="A846" t="s">
        <v>849</v>
      </c>
      <c r="B846">
        <v>5059</v>
      </c>
      <c r="C846">
        <v>28</v>
      </c>
      <c r="D846">
        <v>73</v>
      </c>
      <c r="E846">
        <v>623</v>
      </c>
      <c r="F846">
        <v>4</v>
      </c>
      <c r="K846" s="1">
        <f t="shared" si="89"/>
        <v>623</v>
      </c>
      <c r="L846" s="1" t="str">
        <f t="shared" si="84"/>
        <v>Normal</v>
      </c>
      <c r="M846" s="2">
        <f t="shared" si="85"/>
        <v>80.75</v>
      </c>
      <c r="N846" s="1" t="str">
        <f t="shared" si="86"/>
        <v>Basah</v>
      </c>
      <c r="O846" t="str">
        <f t="shared" si="87"/>
        <v>Fuzzy</v>
      </c>
      <c r="P846" t="str">
        <f t="shared" si="88"/>
        <v>Fuzzy</v>
      </c>
    </row>
    <row r="847" spans="1:16" x14ac:dyDescent="0.35">
      <c r="A847" t="s">
        <v>850</v>
      </c>
      <c r="B847">
        <v>5060</v>
      </c>
      <c r="C847">
        <v>28</v>
      </c>
      <c r="D847">
        <v>73</v>
      </c>
      <c r="E847">
        <v>1029</v>
      </c>
      <c r="F847">
        <v>5</v>
      </c>
      <c r="K847" s="1" t="str">
        <f t="shared" si="89"/>
        <v/>
      </c>
      <c r="L847" s="1" t="str">
        <f t="shared" si="84"/>
        <v>Normal</v>
      </c>
      <c r="M847" s="2" t="e">
        <f t="shared" si="85"/>
        <v>#VALUE!</v>
      </c>
      <c r="N847" s="1" t="e">
        <f t="shared" si="86"/>
        <v>#VALUE!</v>
      </c>
      <c r="O847" t="str">
        <f t="shared" si="87"/>
        <v>Fuzzy</v>
      </c>
      <c r="P847" t="e">
        <f t="shared" si="88"/>
        <v>#VALUE!</v>
      </c>
    </row>
    <row r="848" spans="1:16" x14ac:dyDescent="0.35">
      <c r="A848" t="s">
        <v>851</v>
      </c>
      <c r="B848">
        <v>5061</v>
      </c>
      <c r="C848">
        <v>28</v>
      </c>
      <c r="D848">
        <v>73</v>
      </c>
      <c r="E848">
        <v>721</v>
      </c>
      <c r="F848">
        <v>4</v>
      </c>
      <c r="K848" s="1">
        <f t="shared" si="89"/>
        <v>721</v>
      </c>
      <c r="L848" s="1" t="str">
        <f t="shared" si="84"/>
        <v>Normal</v>
      </c>
      <c r="M848" s="2">
        <f t="shared" si="85"/>
        <v>6.5015479876160995</v>
      </c>
      <c r="N848" s="1" t="str">
        <f t="shared" si="86"/>
        <v>Kering</v>
      </c>
      <c r="O848" t="str">
        <f t="shared" si="87"/>
        <v>Fuzzy</v>
      </c>
      <c r="P848" t="str">
        <f t="shared" si="88"/>
        <v>Fuzzy</v>
      </c>
    </row>
    <row r="849" spans="1:16" x14ac:dyDescent="0.35">
      <c r="A849" t="s">
        <v>852</v>
      </c>
      <c r="B849">
        <v>5062</v>
      </c>
      <c r="C849">
        <v>28</v>
      </c>
      <c r="D849">
        <v>73</v>
      </c>
      <c r="E849">
        <v>774</v>
      </c>
      <c r="F849">
        <v>4</v>
      </c>
      <c r="K849" s="1">
        <f t="shared" si="89"/>
        <v>774</v>
      </c>
      <c r="L849" s="1" t="str">
        <f t="shared" si="84"/>
        <v>Normal</v>
      </c>
      <c r="M849" s="2">
        <f t="shared" si="85"/>
        <v>22.910216718266255</v>
      </c>
      <c r="N849" s="1" t="str">
        <f t="shared" si="86"/>
        <v>Kering</v>
      </c>
      <c r="O849" t="str">
        <f t="shared" si="87"/>
        <v>Fuzzy</v>
      </c>
      <c r="P849" t="str">
        <f t="shared" si="88"/>
        <v>Fuzzy</v>
      </c>
    </row>
    <row r="850" spans="1:16" x14ac:dyDescent="0.35">
      <c r="A850" t="s">
        <v>853</v>
      </c>
      <c r="B850">
        <v>5063</v>
      </c>
      <c r="C850">
        <v>28</v>
      </c>
      <c r="D850">
        <v>71</v>
      </c>
      <c r="E850">
        <v>688</v>
      </c>
      <c r="F850">
        <v>4</v>
      </c>
      <c r="K850" s="1">
        <f t="shared" si="89"/>
        <v>688</v>
      </c>
      <c r="L850" s="1" t="str">
        <f t="shared" si="84"/>
        <v>Normal</v>
      </c>
      <c r="M850" s="2">
        <f t="shared" si="85"/>
        <v>97</v>
      </c>
      <c r="N850" s="1" t="str">
        <f t="shared" si="86"/>
        <v>Basah</v>
      </c>
      <c r="O850" t="str">
        <f t="shared" si="87"/>
        <v>Fuzzy</v>
      </c>
      <c r="P850" t="str">
        <f t="shared" si="88"/>
        <v>Fuzzy</v>
      </c>
    </row>
    <row r="851" spans="1:16" x14ac:dyDescent="0.35">
      <c r="A851" t="s">
        <v>854</v>
      </c>
      <c r="B851">
        <v>5064</v>
      </c>
      <c r="C851">
        <v>28</v>
      </c>
      <c r="D851">
        <v>71</v>
      </c>
      <c r="E851">
        <v>709</v>
      </c>
      <c r="F851">
        <v>4</v>
      </c>
      <c r="K851" s="1">
        <f t="shared" si="89"/>
        <v>709</v>
      </c>
      <c r="L851" s="1" t="str">
        <f t="shared" si="84"/>
        <v>Normal</v>
      </c>
      <c r="M851" s="2">
        <f t="shared" si="85"/>
        <v>2.7863777089783279</v>
      </c>
      <c r="N851" s="1" t="str">
        <f t="shared" si="86"/>
        <v>Kering</v>
      </c>
      <c r="O851" t="str">
        <f t="shared" si="87"/>
        <v>Fuzzy</v>
      </c>
      <c r="P851" t="str">
        <f t="shared" si="88"/>
        <v>Fuzzy</v>
      </c>
    </row>
    <row r="852" spans="1:16" x14ac:dyDescent="0.35">
      <c r="A852" t="s">
        <v>855</v>
      </c>
      <c r="B852">
        <v>5065</v>
      </c>
      <c r="C852">
        <v>28</v>
      </c>
      <c r="D852">
        <v>71</v>
      </c>
      <c r="E852">
        <v>702</v>
      </c>
      <c r="F852">
        <v>4</v>
      </c>
      <c r="K852" s="1">
        <f t="shared" si="89"/>
        <v>702</v>
      </c>
      <c r="L852" s="1" t="str">
        <f t="shared" si="84"/>
        <v>Normal</v>
      </c>
      <c r="M852" s="2">
        <f t="shared" si="85"/>
        <v>0.61919504643962853</v>
      </c>
      <c r="N852" s="1" t="str">
        <f t="shared" si="86"/>
        <v>Kering</v>
      </c>
      <c r="O852" t="str">
        <f t="shared" si="87"/>
        <v>Fuzzy</v>
      </c>
      <c r="P852" t="str">
        <f t="shared" si="88"/>
        <v>Fuzzy</v>
      </c>
    </row>
    <row r="853" spans="1:16" x14ac:dyDescent="0.35">
      <c r="A853" t="s">
        <v>856</v>
      </c>
      <c r="B853">
        <v>5066</v>
      </c>
      <c r="C853">
        <v>28</v>
      </c>
      <c r="D853">
        <v>71</v>
      </c>
      <c r="E853">
        <v>679</v>
      </c>
      <c r="F853">
        <v>4</v>
      </c>
      <c r="K853" s="1">
        <f t="shared" si="89"/>
        <v>679</v>
      </c>
      <c r="L853" s="1" t="str">
        <f t="shared" si="84"/>
        <v>Normal</v>
      </c>
      <c r="M853" s="2">
        <f t="shared" si="85"/>
        <v>94.75</v>
      </c>
      <c r="N853" s="1" t="str">
        <f t="shared" si="86"/>
        <v>Basah</v>
      </c>
      <c r="O853" t="str">
        <f t="shared" si="87"/>
        <v>Fuzzy</v>
      </c>
      <c r="P853" t="str">
        <f t="shared" si="88"/>
        <v>Fuzzy</v>
      </c>
    </row>
    <row r="854" spans="1:16" x14ac:dyDescent="0.35">
      <c r="A854" t="s">
        <v>857</v>
      </c>
      <c r="B854">
        <v>5067</v>
      </c>
      <c r="C854">
        <v>28</v>
      </c>
      <c r="D854">
        <v>71</v>
      </c>
      <c r="E854">
        <v>707</v>
      </c>
      <c r="F854">
        <v>4</v>
      </c>
      <c r="K854" s="1">
        <f t="shared" si="89"/>
        <v>707</v>
      </c>
      <c r="L854" s="1" t="str">
        <f t="shared" si="84"/>
        <v>Normal</v>
      </c>
      <c r="M854" s="2">
        <f t="shared" si="85"/>
        <v>2.1671826625386998</v>
      </c>
      <c r="N854" s="1" t="str">
        <f t="shared" si="86"/>
        <v>Kering</v>
      </c>
      <c r="O854" t="str">
        <f t="shared" si="87"/>
        <v>Fuzzy</v>
      </c>
      <c r="P854" t="str">
        <f t="shared" si="88"/>
        <v>Fuzzy</v>
      </c>
    </row>
    <row r="855" spans="1:16" x14ac:dyDescent="0.35">
      <c r="A855" t="s">
        <v>858</v>
      </c>
      <c r="B855">
        <v>5068</v>
      </c>
      <c r="C855">
        <v>28</v>
      </c>
      <c r="D855">
        <v>71</v>
      </c>
      <c r="E855">
        <v>632</v>
      </c>
      <c r="F855">
        <v>4</v>
      </c>
      <c r="K855" s="1">
        <f t="shared" si="89"/>
        <v>632</v>
      </c>
      <c r="L855" s="1" t="str">
        <f t="shared" si="84"/>
        <v>Normal</v>
      </c>
      <c r="M855" s="2">
        <f t="shared" si="85"/>
        <v>83</v>
      </c>
      <c r="N855" s="1" t="str">
        <f t="shared" si="86"/>
        <v>Basah</v>
      </c>
      <c r="O855" t="str">
        <f t="shared" si="87"/>
        <v>Fuzzy</v>
      </c>
      <c r="P855" t="str">
        <f t="shared" si="88"/>
        <v>Fuzzy</v>
      </c>
    </row>
    <row r="856" spans="1:16" x14ac:dyDescent="0.35">
      <c r="A856" t="s">
        <v>859</v>
      </c>
      <c r="B856">
        <v>5069</v>
      </c>
      <c r="C856">
        <v>28</v>
      </c>
      <c r="D856">
        <v>71</v>
      </c>
      <c r="E856">
        <v>705</v>
      </c>
      <c r="F856">
        <v>4</v>
      </c>
      <c r="K856" s="1">
        <f t="shared" si="89"/>
        <v>705</v>
      </c>
      <c r="L856" s="1" t="str">
        <f t="shared" si="84"/>
        <v>Normal</v>
      </c>
      <c r="M856" s="2">
        <f t="shared" si="85"/>
        <v>1.5479876160990713</v>
      </c>
      <c r="N856" s="1" t="str">
        <f t="shared" si="86"/>
        <v>Kering</v>
      </c>
      <c r="O856" t="str">
        <f t="shared" si="87"/>
        <v>Fuzzy</v>
      </c>
      <c r="P856" t="str">
        <f t="shared" si="88"/>
        <v>Fuzzy</v>
      </c>
    </row>
    <row r="857" spans="1:16" x14ac:dyDescent="0.35">
      <c r="A857" t="s">
        <v>860</v>
      </c>
      <c r="B857">
        <v>5070</v>
      </c>
      <c r="C857">
        <v>28</v>
      </c>
      <c r="D857">
        <v>71</v>
      </c>
      <c r="E857">
        <v>719</v>
      </c>
      <c r="F857">
        <v>4</v>
      </c>
      <c r="K857" s="1">
        <f t="shared" si="89"/>
        <v>719</v>
      </c>
      <c r="L857" s="1" t="str">
        <f t="shared" si="84"/>
        <v>Normal</v>
      </c>
      <c r="M857" s="2">
        <f t="shared" si="85"/>
        <v>5.8823529411764701</v>
      </c>
      <c r="N857" s="1" t="str">
        <f t="shared" si="86"/>
        <v>Kering</v>
      </c>
      <c r="O857" t="str">
        <f t="shared" si="87"/>
        <v>Fuzzy</v>
      </c>
      <c r="P857" t="str">
        <f t="shared" si="88"/>
        <v>Fuzzy</v>
      </c>
    </row>
    <row r="858" spans="1:16" x14ac:dyDescent="0.35">
      <c r="A858" t="s">
        <v>861</v>
      </c>
      <c r="B858">
        <v>5071</v>
      </c>
      <c r="C858">
        <v>28</v>
      </c>
      <c r="D858">
        <v>71</v>
      </c>
      <c r="E858">
        <v>713</v>
      </c>
      <c r="F858">
        <v>4</v>
      </c>
      <c r="K858" s="1">
        <f t="shared" si="89"/>
        <v>713</v>
      </c>
      <c r="L858" s="1" t="str">
        <f t="shared" si="84"/>
        <v>Normal</v>
      </c>
      <c r="M858" s="2">
        <f t="shared" si="85"/>
        <v>4.0247678018575854</v>
      </c>
      <c r="N858" s="1" t="str">
        <f t="shared" si="86"/>
        <v>Kering</v>
      </c>
      <c r="O858" t="str">
        <f t="shared" si="87"/>
        <v>Fuzzy</v>
      </c>
      <c r="P858" t="str">
        <f t="shared" si="88"/>
        <v>Fuzzy</v>
      </c>
    </row>
    <row r="859" spans="1:16" x14ac:dyDescent="0.35">
      <c r="A859" t="s">
        <v>862</v>
      </c>
      <c r="B859">
        <v>5072</v>
      </c>
      <c r="C859">
        <v>28</v>
      </c>
      <c r="D859">
        <v>71</v>
      </c>
      <c r="E859">
        <v>775</v>
      </c>
      <c r="F859">
        <v>4</v>
      </c>
      <c r="K859" s="1">
        <f t="shared" si="89"/>
        <v>775</v>
      </c>
      <c r="L859" s="1" t="str">
        <f t="shared" si="84"/>
        <v>Normal</v>
      </c>
      <c r="M859" s="2">
        <f t="shared" si="85"/>
        <v>23.219814241486066</v>
      </c>
      <c r="N859" s="1" t="str">
        <f t="shared" si="86"/>
        <v>Kering</v>
      </c>
      <c r="O859" t="str">
        <f t="shared" si="87"/>
        <v>Fuzzy</v>
      </c>
      <c r="P859" t="str">
        <f t="shared" si="88"/>
        <v>Fuzzy</v>
      </c>
    </row>
    <row r="860" spans="1:16" x14ac:dyDescent="0.35">
      <c r="A860" t="s">
        <v>863</v>
      </c>
      <c r="B860">
        <v>5073</v>
      </c>
      <c r="C860">
        <v>28</v>
      </c>
      <c r="D860">
        <v>71</v>
      </c>
      <c r="E860">
        <v>736</v>
      </c>
      <c r="F860">
        <v>4</v>
      </c>
      <c r="K860" s="1">
        <f t="shared" si="89"/>
        <v>736</v>
      </c>
      <c r="L860" s="1" t="str">
        <f t="shared" si="84"/>
        <v>Normal</v>
      </c>
      <c r="M860" s="2">
        <f t="shared" si="85"/>
        <v>11.145510835913312</v>
      </c>
      <c r="N860" s="1" t="str">
        <f t="shared" si="86"/>
        <v>Kering</v>
      </c>
      <c r="O860" t="str">
        <f t="shared" si="87"/>
        <v>Fuzzy</v>
      </c>
      <c r="P860" t="str">
        <f t="shared" si="88"/>
        <v>Fuzzy</v>
      </c>
    </row>
    <row r="861" spans="1:16" x14ac:dyDescent="0.35">
      <c r="A861" t="s">
        <v>864</v>
      </c>
      <c r="B861">
        <v>5074</v>
      </c>
      <c r="C861">
        <v>28</v>
      </c>
      <c r="D861">
        <v>71</v>
      </c>
      <c r="E861">
        <v>717</v>
      </c>
      <c r="F861">
        <v>4</v>
      </c>
      <c r="K861" s="1">
        <f t="shared" si="89"/>
        <v>717</v>
      </c>
      <c r="L861" s="1" t="str">
        <f t="shared" si="84"/>
        <v>Normal</v>
      </c>
      <c r="M861" s="2">
        <f t="shared" si="85"/>
        <v>5.2631578947368416</v>
      </c>
      <c r="N861" s="1" t="str">
        <f t="shared" si="86"/>
        <v>Kering</v>
      </c>
      <c r="O861" t="str">
        <f t="shared" si="87"/>
        <v>Fuzzy</v>
      </c>
      <c r="P861" t="str">
        <f t="shared" si="88"/>
        <v>Fuzzy</v>
      </c>
    </row>
    <row r="862" spans="1:16" x14ac:dyDescent="0.35">
      <c r="A862" t="s">
        <v>865</v>
      </c>
      <c r="B862">
        <v>5075</v>
      </c>
      <c r="C862">
        <v>28</v>
      </c>
      <c r="D862">
        <v>71</v>
      </c>
      <c r="E862">
        <v>722</v>
      </c>
      <c r="F862">
        <v>3</v>
      </c>
      <c r="K862" s="1">
        <f t="shared" si="89"/>
        <v>722</v>
      </c>
      <c r="L862" s="1" t="str">
        <f t="shared" si="84"/>
        <v>Normal</v>
      </c>
      <c r="M862" s="2">
        <f t="shared" si="85"/>
        <v>6.8111455108359129</v>
      </c>
      <c r="N862" s="1" t="str">
        <f t="shared" si="86"/>
        <v>Kering</v>
      </c>
      <c r="O862" t="str">
        <f t="shared" si="87"/>
        <v>Fuzzy</v>
      </c>
      <c r="P862" t="str">
        <f t="shared" si="88"/>
        <v>Fuzzy</v>
      </c>
    </row>
    <row r="863" spans="1:16" x14ac:dyDescent="0.35">
      <c r="A863" t="s">
        <v>866</v>
      </c>
      <c r="B863">
        <v>5076</v>
      </c>
      <c r="C863">
        <v>28</v>
      </c>
      <c r="D863">
        <v>71</v>
      </c>
      <c r="E863">
        <v>685</v>
      </c>
      <c r="F863">
        <v>4</v>
      </c>
      <c r="K863" s="1">
        <f t="shared" si="89"/>
        <v>685</v>
      </c>
      <c r="L863" s="1" t="str">
        <f t="shared" si="84"/>
        <v>Normal</v>
      </c>
      <c r="M863" s="2">
        <f t="shared" si="85"/>
        <v>96.25</v>
      </c>
      <c r="N863" s="1" t="str">
        <f t="shared" si="86"/>
        <v>Basah</v>
      </c>
      <c r="O863" t="str">
        <f t="shared" si="87"/>
        <v>Fuzzy</v>
      </c>
      <c r="P863" t="str">
        <f t="shared" si="88"/>
        <v>Fuzzy</v>
      </c>
    </row>
    <row r="864" spans="1:16" x14ac:dyDescent="0.35">
      <c r="A864" t="s">
        <v>867</v>
      </c>
      <c r="B864">
        <v>5077</v>
      </c>
      <c r="C864">
        <v>28</v>
      </c>
      <c r="D864">
        <v>71</v>
      </c>
      <c r="E864">
        <v>526</v>
      </c>
      <c r="F864">
        <v>4</v>
      </c>
      <c r="K864" s="1">
        <f t="shared" si="89"/>
        <v>526</v>
      </c>
      <c r="L864" s="1" t="str">
        <f t="shared" si="84"/>
        <v>Normal</v>
      </c>
      <c r="M864" s="2">
        <f t="shared" si="85"/>
        <v>56.499999999999993</v>
      </c>
      <c r="N864" s="1" t="str">
        <f t="shared" si="86"/>
        <v>Lembab</v>
      </c>
      <c r="O864" t="str">
        <f t="shared" si="87"/>
        <v>Fuzzy</v>
      </c>
      <c r="P864" t="str">
        <f t="shared" si="88"/>
        <v>Fuzzy</v>
      </c>
    </row>
    <row r="865" spans="1:16" x14ac:dyDescent="0.35">
      <c r="A865" t="s">
        <v>868</v>
      </c>
      <c r="B865">
        <v>5078</v>
      </c>
      <c r="C865">
        <v>28</v>
      </c>
      <c r="D865">
        <v>72</v>
      </c>
      <c r="E865">
        <v>689</v>
      </c>
      <c r="F865">
        <v>4</v>
      </c>
      <c r="K865" s="1">
        <f t="shared" si="89"/>
        <v>689</v>
      </c>
      <c r="L865" s="1" t="str">
        <f t="shared" si="84"/>
        <v>Normal</v>
      </c>
      <c r="M865" s="2">
        <f t="shared" si="85"/>
        <v>97.25</v>
      </c>
      <c r="N865" s="1" t="str">
        <f t="shared" si="86"/>
        <v>Basah</v>
      </c>
      <c r="O865" t="str">
        <f t="shared" si="87"/>
        <v>Fuzzy</v>
      </c>
      <c r="P865" t="str">
        <f t="shared" si="88"/>
        <v>Fuzzy</v>
      </c>
    </row>
    <row r="866" spans="1:16" x14ac:dyDescent="0.35">
      <c r="A866" t="s">
        <v>869</v>
      </c>
      <c r="B866">
        <v>5079</v>
      </c>
      <c r="C866">
        <v>28</v>
      </c>
      <c r="D866">
        <v>72</v>
      </c>
      <c r="E866">
        <v>827</v>
      </c>
      <c r="F866">
        <v>3</v>
      </c>
      <c r="K866" s="1">
        <f t="shared" si="89"/>
        <v>827</v>
      </c>
      <c r="L866" s="1" t="str">
        <f t="shared" si="84"/>
        <v>Normal</v>
      </c>
      <c r="M866" s="2">
        <f t="shared" si="85"/>
        <v>39.318885448916404</v>
      </c>
      <c r="N866" s="1" t="str">
        <f t="shared" si="86"/>
        <v>Lembab</v>
      </c>
      <c r="O866" t="str">
        <f t="shared" si="87"/>
        <v>Fuzzy</v>
      </c>
      <c r="P866" t="str">
        <f t="shared" si="88"/>
        <v>Fuzzy</v>
      </c>
    </row>
    <row r="867" spans="1:16" x14ac:dyDescent="0.35">
      <c r="A867" t="s">
        <v>870</v>
      </c>
      <c r="B867">
        <v>5080</v>
      </c>
      <c r="C867">
        <v>28</v>
      </c>
      <c r="D867">
        <v>72</v>
      </c>
      <c r="E867">
        <v>695</v>
      </c>
      <c r="F867">
        <v>4</v>
      </c>
      <c r="K867" s="1">
        <f t="shared" si="89"/>
        <v>695</v>
      </c>
      <c r="L867" s="1" t="str">
        <f t="shared" si="84"/>
        <v>Normal</v>
      </c>
      <c r="M867" s="2">
        <f t="shared" si="85"/>
        <v>98.75</v>
      </c>
      <c r="N867" s="1" t="str">
        <f t="shared" si="86"/>
        <v>Basah</v>
      </c>
      <c r="O867" t="str">
        <f t="shared" si="87"/>
        <v>Fuzzy</v>
      </c>
      <c r="P867" t="str">
        <f t="shared" si="88"/>
        <v>Fuzzy</v>
      </c>
    </row>
    <row r="868" spans="1:16" x14ac:dyDescent="0.35">
      <c r="A868" t="s">
        <v>871</v>
      </c>
      <c r="B868">
        <v>5081</v>
      </c>
      <c r="C868">
        <v>28</v>
      </c>
      <c r="D868">
        <v>72</v>
      </c>
      <c r="E868">
        <v>677</v>
      </c>
      <c r="F868">
        <v>4</v>
      </c>
      <c r="K868" s="1">
        <f t="shared" si="89"/>
        <v>677</v>
      </c>
      <c r="L868" s="1" t="str">
        <f t="shared" si="84"/>
        <v>Normal</v>
      </c>
      <c r="M868" s="2">
        <f t="shared" si="85"/>
        <v>94.25</v>
      </c>
      <c r="N868" s="1" t="str">
        <f t="shared" si="86"/>
        <v>Basah</v>
      </c>
      <c r="O868" t="str">
        <f t="shared" si="87"/>
        <v>Fuzzy</v>
      </c>
      <c r="P868" t="str">
        <f t="shared" si="88"/>
        <v>Fuzzy</v>
      </c>
    </row>
    <row r="869" spans="1:16" x14ac:dyDescent="0.35">
      <c r="A869" t="s">
        <v>872</v>
      </c>
      <c r="B869">
        <v>5082</v>
      </c>
      <c r="C869">
        <v>28</v>
      </c>
      <c r="D869">
        <v>72</v>
      </c>
      <c r="E869">
        <v>689</v>
      </c>
      <c r="F869">
        <v>4</v>
      </c>
      <c r="K869" s="1">
        <f t="shared" si="89"/>
        <v>689</v>
      </c>
      <c r="L869" s="1" t="str">
        <f t="shared" si="84"/>
        <v>Normal</v>
      </c>
      <c r="M869" s="2">
        <f t="shared" si="85"/>
        <v>97.25</v>
      </c>
      <c r="N869" s="1" t="str">
        <f t="shared" si="86"/>
        <v>Basah</v>
      </c>
      <c r="O869" t="str">
        <f t="shared" si="87"/>
        <v>Fuzzy</v>
      </c>
      <c r="P869" t="str">
        <f t="shared" si="88"/>
        <v>Fuzzy</v>
      </c>
    </row>
    <row r="870" spans="1:16" x14ac:dyDescent="0.35">
      <c r="A870" t="s">
        <v>873</v>
      </c>
      <c r="B870">
        <v>5083</v>
      </c>
      <c r="C870">
        <v>28</v>
      </c>
      <c r="D870">
        <v>71</v>
      </c>
      <c r="E870">
        <v>721</v>
      </c>
      <c r="F870">
        <v>4</v>
      </c>
      <c r="K870" s="1">
        <f t="shared" si="89"/>
        <v>721</v>
      </c>
      <c r="L870" s="1" t="str">
        <f t="shared" si="84"/>
        <v>Normal</v>
      </c>
      <c r="M870" s="2">
        <f t="shared" si="85"/>
        <v>6.5015479876160995</v>
      </c>
      <c r="N870" s="1" t="str">
        <f t="shared" si="86"/>
        <v>Kering</v>
      </c>
      <c r="O870" t="str">
        <f t="shared" si="87"/>
        <v>Fuzzy</v>
      </c>
      <c r="P870" t="str">
        <f t="shared" si="88"/>
        <v>Fuzzy</v>
      </c>
    </row>
    <row r="871" spans="1:16" x14ac:dyDescent="0.35">
      <c r="A871" t="s">
        <v>874</v>
      </c>
      <c r="B871">
        <v>5084</v>
      </c>
      <c r="C871">
        <v>28</v>
      </c>
      <c r="D871">
        <v>71</v>
      </c>
      <c r="E871">
        <v>725</v>
      </c>
      <c r="F871">
        <v>4</v>
      </c>
      <c r="K871" s="1">
        <f t="shared" si="89"/>
        <v>725</v>
      </c>
      <c r="L871" s="1" t="str">
        <f t="shared" si="84"/>
        <v>Normal</v>
      </c>
      <c r="M871" s="2">
        <f t="shared" si="85"/>
        <v>7.7399380804953566</v>
      </c>
      <c r="N871" s="1" t="str">
        <f t="shared" si="86"/>
        <v>Kering</v>
      </c>
      <c r="O871" t="str">
        <f t="shared" si="87"/>
        <v>Fuzzy</v>
      </c>
      <c r="P871" t="str">
        <f t="shared" si="88"/>
        <v>Fuzzy</v>
      </c>
    </row>
    <row r="872" spans="1:16" x14ac:dyDescent="0.35">
      <c r="A872" t="s">
        <v>875</v>
      </c>
      <c r="B872">
        <v>5085</v>
      </c>
      <c r="C872">
        <v>28</v>
      </c>
      <c r="D872">
        <v>71</v>
      </c>
      <c r="E872">
        <v>606</v>
      </c>
      <c r="F872">
        <v>4</v>
      </c>
      <c r="K872" s="1">
        <f t="shared" si="89"/>
        <v>606</v>
      </c>
      <c r="L872" s="1" t="str">
        <f t="shared" si="84"/>
        <v>Normal</v>
      </c>
      <c r="M872" s="2">
        <f t="shared" si="85"/>
        <v>76.5</v>
      </c>
      <c r="N872" s="1" t="str">
        <f t="shared" si="86"/>
        <v>Basah</v>
      </c>
      <c r="O872" t="str">
        <f t="shared" si="87"/>
        <v>Fuzzy</v>
      </c>
      <c r="P872" t="str">
        <f t="shared" si="88"/>
        <v>Fuzzy</v>
      </c>
    </row>
    <row r="873" spans="1:16" x14ac:dyDescent="0.35">
      <c r="A873" t="s">
        <v>876</v>
      </c>
      <c r="B873">
        <v>5086</v>
      </c>
      <c r="C873">
        <v>28</v>
      </c>
      <c r="D873">
        <v>72</v>
      </c>
      <c r="E873">
        <v>709</v>
      </c>
      <c r="F873">
        <v>4</v>
      </c>
      <c r="K873" s="1">
        <f t="shared" si="89"/>
        <v>709</v>
      </c>
      <c r="L873" s="1" t="str">
        <f t="shared" si="84"/>
        <v>Normal</v>
      </c>
      <c r="M873" s="2">
        <f t="shared" si="85"/>
        <v>2.7863777089783279</v>
      </c>
      <c r="N873" s="1" t="str">
        <f t="shared" si="86"/>
        <v>Kering</v>
      </c>
      <c r="O873" t="str">
        <f t="shared" si="87"/>
        <v>Fuzzy</v>
      </c>
      <c r="P873" t="str">
        <f t="shared" si="88"/>
        <v>Fuzzy</v>
      </c>
    </row>
    <row r="874" spans="1:16" x14ac:dyDescent="0.35">
      <c r="A874" t="s">
        <v>877</v>
      </c>
      <c r="B874">
        <v>5087</v>
      </c>
      <c r="C874">
        <v>28</v>
      </c>
      <c r="D874">
        <v>71</v>
      </c>
      <c r="E874">
        <v>713</v>
      </c>
      <c r="F874">
        <v>4</v>
      </c>
      <c r="K874" s="1">
        <f t="shared" si="89"/>
        <v>713</v>
      </c>
      <c r="L874" s="1" t="str">
        <f t="shared" si="84"/>
        <v>Normal</v>
      </c>
      <c r="M874" s="2">
        <f t="shared" si="85"/>
        <v>4.0247678018575854</v>
      </c>
      <c r="N874" s="1" t="str">
        <f t="shared" si="86"/>
        <v>Kering</v>
      </c>
      <c r="O874" t="str">
        <f t="shared" si="87"/>
        <v>Fuzzy</v>
      </c>
      <c r="P874" t="str">
        <f t="shared" si="88"/>
        <v>Fuzzy</v>
      </c>
    </row>
    <row r="875" spans="1:16" x14ac:dyDescent="0.35">
      <c r="A875" t="s">
        <v>878</v>
      </c>
      <c r="B875">
        <v>5088</v>
      </c>
      <c r="C875">
        <v>28</v>
      </c>
      <c r="D875">
        <v>69</v>
      </c>
      <c r="E875">
        <v>787</v>
      </c>
      <c r="F875">
        <v>4</v>
      </c>
      <c r="K875" s="1">
        <f t="shared" si="89"/>
        <v>787</v>
      </c>
      <c r="L875" s="1" t="str">
        <f t="shared" si="84"/>
        <v>Normal</v>
      </c>
      <c r="M875" s="2">
        <f t="shared" si="85"/>
        <v>26.934984520123841</v>
      </c>
      <c r="N875" s="1" t="str">
        <f t="shared" si="86"/>
        <v>Kering</v>
      </c>
      <c r="O875" t="str">
        <f t="shared" si="87"/>
        <v>Fuzzy</v>
      </c>
      <c r="P875" t="str">
        <f t="shared" si="88"/>
        <v>Fuzzy</v>
      </c>
    </row>
    <row r="876" spans="1:16" x14ac:dyDescent="0.35">
      <c r="A876" t="s">
        <v>879</v>
      </c>
      <c r="B876">
        <v>5089</v>
      </c>
      <c r="C876">
        <v>28</v>
      </c>
      <c r="D876">
        <v>69</v>
      </c>
      <c r="E876">
        <v>696</v>
      </c>
      <c r="F876">
        <v>4</v>
      </c>
      <c r="K876" s="1">
        <f t="shared" si="89"/>
        <v>696</v>
      </c>
      <c r="L876" s="1" t="str">
        <f t="shared" si="84"/>
        <v>Normal</v>
      </c>
      <c r="M876" s="2">
        <f t="shared" si="85"/>
        <v>99</v>
      </c>
      <c r="N876" s="1" t="str">
        <f t="shared" si="86"/>
        <v>Basah</v>
      </c>
      <c r="O876" t="str">
        <f t="shared" si="87"/>
        <v>Fuzzy</v>
      </c>
      <c r="P876" t="str">
        <f t="shared" si="88"/>
        <v>Fuzzy</v>
      </c>
    </row>
    <row r="877" spans="1:16" x14ac:dyDescent="0.35">
      <c r="A877" t="s">
        <v>880</v>
      </c>
      <c r="B877">
        <v>5090</v>
      </c>
      <c r="C877">
        <v>28</v>
      </c>
      <c r="D877">
        <v>69</v>
      </c>
      <c r="E877">
        <v>749</v>
      </c>
      <c r="F877">
        <v>4</v>
      </c>
      <c r="K877" s="1">
        <f t="shared" si="89"/>
        <v>749</v>
      </c>
      <c r="L877" s="1" t="str">
        <f t="shared" si="84"/>
        <v>Normal</v>
      </c>
      <c r="M877" s="2">
        <f t="shared" si="85"/>
        <v>15.170278637770899</v>
      </c>
      <c r="N877" s="1" t="str">
        <f t="shared" si="86"/>
        <v>Kering</v>
      </c>
      <c r="O877" t="str">
        <f t="shared" si="87"/>
        <v>Fuzzy</v>
      </c>
      <c r="P877" t="str">
        <f t="shared" si="88"/>
        <v>Fuzzy</v>
      </c>
    </row>
    <row r="878" spans="1:16" x14ac:dyDescent="0.35">
      <c r="A878" t="s">
        <v>881</v>
      </c>
      <c r="B878">
        <v>5091</v>
      </c>
      <c r="C878">
        <v>28</v>
      </c>
      <c r="D878">
        <v>69</v>
      </c>
      <c r="E878">
        <v>713</v>
      </c>
      <c r="F878">
        <v>4</v>
      </c>
      <c r="K878" s="1">
        <f t="shared" si="89"/>
        <v>713</v>
      </c>
      <c r="L878" s="1" t="str">
        <f t="shared" si="84"/>
        <v>Normal</v>
      </c>
      <c r="M878" s="2">
        <f t="shared" si="85"/>
        <v>4.0247678018575854</v>
      </c>
      <c r="N878" s="1" t="str">
        <f t="shared" si="86"/>
        <v>Kering</v>
      </c>
      <c r="O878" t="str">
        <f t="shared" si="87"/>
        <v>Fuzzy</v>
      </c>
      <c r="P878" t="str">
        <f t="shared" si="88"/>
        <v>Fuzzy</v>
      </c>
    </row>
    <row r="879" spans="1:16" x14ac:dyDescent="0.35">
      <c r="A879" t="s">
        <v>882</v>
      </c>
      <c r="B879">
        <v>5092</v>
      </c>
      <c r="C879">
        <v>28</v>
      </c>
      <c r="D879">
        <v>69</v>
      </c>
      <c r="E879">
        <v>693</v>
      </c>
      <c r="F879">
        <v>4</v>
      </c>
      <c r="K879" s="1">
        <f t="shared" si="89"/>
        <v>693</v>
      </c>
      <c r="L879" s="1" t="str">
        <f t="shared" si="84"/>
        <v>Normal</v>
      </c>
      <c r="M879" s="2">
        <f t="shared" si="85"/>
        <v>98.25</v>
      </c>
      <c r="N879" s="1" t="str">
        <f t="shared" si="86"/>
        <v>Basah</v>
      </c>
      <c r="O879" t="str">
        <f t="shared" si="87"/>
        <v>Fuzzy</v>
      </c>
      <c r="P879" t="str">
        <f t="shared" si="88"/>
        <v>Fuzzy</v>
      </c>
    </row>
    <row r="880" spans="1:16" x14ac:dyDescent="0.35">
      <c r="A880" t="s">
        <v>883</v>
      </c>
      <c r="B880">
        <v>5093</v>
      </c>
      <c r="C880">
        <v>28</v>
      </c>
      <c r="D880">
        <v>69</v>
      </c>
      <c r="E880">
        <v>607</v>
      </c>
      <c r="F880">
        <v>4</v>
      </c>
      <c r="K880" s="1">
        <f t="shared" si="89"/>
        <v>607</v>
      </c>
      <c r="L880" s="1" t="str">
        <f t="shared" si="84"/>
        <v>Normal</v>
      </c>
      <c r="M880" s="2">
        <f t="shared" si="85"/>
        <v>76.75</v>
      </c>
      <c r="N880" s="1" t="str">
        <f t="shared" si="86"/>
        <v>Basah</v>
      </c>
      <c r="O880" t="str">
        <f t="shared" si="87"/>
        <v>Fuzzy</v>
      </c>
      <c r="P880" t="str">
        <f t="shared" si="88"/>
        <v>Fuzzy</v>
      </c>
    </row>
    <row r="881" spans="1:16" x14ac:dyDescent="0.35">
      <c r="A881" t="s">
        <v>884</v>
      </c>
      <c r="B881">
        <v>5094</v>
      </c>
      <c r="C881">
        <v>28</v>
      </c>
      <c r="D881">
        <v>70</v>
      </c>
      <c r="E881">
        <v>577</v>
      </c>
      <c r="F881">
        <v>3</v>
      </c>
      <c r="K881" s="1">
        <f t="shared" si="89"/>
        <v>577</v>
      </c>
      <c r="L881" s="1" t="str">
        <f t="shared" si="84"/>
        <v>Normal</v>
      </c>
      <c r="M881" s="2">
        <f t="shared" si="85"/>
        <v>69.25</v>
      </c>
      <c r="N881" s="1" t="str">
        <f t="shared" si="86"/>
        <v>Basah</v>
      </c>
      <c r="O881" t="str">
        <f t="shared" si="87"/>
        <v>Fuzzy</v>
      </c>
      <c r="P881" t="str">
        <f t="shared" si="88"/>
        <v>Fuzzy</v>
      </c>
    </row>
    <row r="882" spans="1:16" x14ac:dyDescent="0.35">
      <c r="A882" t="s">
        <v>885</v>
      </c>
      <c r="B882">
        <v>5095</v>
      </c>
      <c r="C882">
        <v>28</v>
      </c>
      <c r="D882">
        <v>71</v>
      </c>
      <c r="E882">
        <v>659</v>
      </c>
      <c r="F882">
        <v>4</v>
      </c>
      <c r="K882" s="1">
        <f t="shared" si="89"/>
        <v>659</v>
      </c>
      <c r="L882" s="1" t="str">
        <f t="shared" si="84"/>
        <v>Normal</v>
      </c>
      <c r="M882" s="2">
        <f t="shared" si="85"/>
        <v>89.75</v>
      </c>
      <c r="N882" s="1" t="str">
        <f t="shared" si="86"/>
        <v>Basah</v>
      </c>
      <c r="O882" t="str">
        <f t="shared" si="87"/>
        <v>Fuzzy</v>
      </c>
      <c r="P882" t="str">
        <f t="shared" si="88"/>
        <v>Fuzzy</v>
      </c>
    </row>
    <row r="883" spans="1:16" x14ac:dyDescent="0.35">
      <c r="A883" t="s">
        <v>886</v>
      </c>
      <c r="B883">
        <v>5096</v>
      </c>
      <c r="C883">
        <v>28</v>
      </c>
      <c r="D883">
        <v>71</v>
      </c>
      <c r="E883">
        <v>695</v>
      </c>
      <c r="F883">
        <v>4</v>
      </c>
      <c r="K883" s="1">
        <f t="shared" si="89"/>
        <v>695</v>
      </c>
      <c r="L883" s="1" t="str">
        <f t="shared" si="84"/>
        <v>Normal</v>
      </c>
      <c r="M883" s="2">
        <f t="shared" si="85"/>
        <v>98.75</v>
      </c>
      <c r="N883" s="1" t="str">
        <f t="shared" si="86"/>
        <v>Basah</v>
      </c>
      <c r="O883" t="str">
        <f t="shared" si="87"/>
        <v>Fuzzy</v>
      </c>
      <c r="P883" t="str">
        <f t="shared" si="88"/>
        <v>Fuzzy</v>
      </c>
    </row>
    <row r="884" spans="1:16" x14ac:dyDescent="0.35">
      <c r="A884" t="s">
        <v>887</v>
      </c>
      <c r="B884">
        <v>5097</v>
      </c>
      <c r="C884">
        <v>28</v>
      </c>
      <c r="D884">
        <v>71</v>
      </c>
      <c r="E884">
        <v>711</v>
      </c>
      <c r="F884">
        <v>4</v>
      </c>
      <c r="K884" s="1">
        <f t="shared" si="89"/>
        <v>711</v>
      </c>
      <c r="L884" s="1" t="str">
        <f t="shared" si="84"/>
        <v>Normal</v>
      </c>
      <c r="M884" s="2">
        <f t="shared" si="85"/>
        <v>3.4055727554179565</v>
      </c>
      <c r="N884" s="1" t="str">
        <f t="shared" si="86"/>
        <v>Kering</v>
      </c>
      <c r="O884" t="str">
        <f t="shared" si="87"/>
        <v>Fuzzy</v>
      </c>
      <c r="P884" t="str">
        <f t="shared" si="88"/>
        <v>Fuzzy</v>
      </c>
    </row>
    <row r="885" spans="1:16" x14ac:dyDescent="0.35">
      <c r="A885" t="s">
        <v>888</v>
      </c>
      <c r="B885">
        <v>5098</v>
      </c>
      <c r="C885">
        <v>28</v>
      </c>
      <c r="D885">
        <v>70</v>
      </c>
      <c r="E885">
        <v>695</v>
      </c>
      <c r="F885">
        <v>4</v>
      </c>
      <c r="K885" s="1">
        <f t="shared" si="89"/>
        <v>695</v>
      </c>
      <c r="L885" s="1" t="str">
        <f t="shared" si="84"/>
        <v>Normal</v>
      </c>
      <c r="M885" s="2">
        <f t="shared" si="85"/>
        <v>98.75</v>
      </c>
      <c r="N885" s="1" t="str">
        <f t="shared" si="86"/>
        <v>Basah</v>
      </c>
      <c r="O885" t="str">
        <f t="shared" si="87"/>
        <v>Fuzzy</v>
      </c>
      <c r="P885" t="str">
        <f t="shared" si="88"/>
        <v>Fuzzy</v>
      </c>
    </row>
    <row r="886" spans="1:16" x14ac:dyDescent="0.35">
      <c r="A886" t="s">
        <v>889</v>
      </c>
      <c r="B886">
        <v>5099</v>
      </c>
      <c r="C886">
        <v>28</v>
      </c>
      <c r="D886">
        <v>70</v>
      </c>
      <c r="E886">
        <v>721</v>
      </c>
      <c r="F886">
        <v>4</v>
      </c>
      <c r="K886" s="1">
        <f t="shared" si="89"/>
        <v>721</v>
      </c>
      <c r="L886" s="1" t="str">
        <f t="shared" si="84"/>
        <v>Normal</v>
      </c>
      <c r="M886" s="2">
        <f t="shared" si="85"/>
        <v>6.5015479876160995</v>
      </c>
      <c r="N886" s="1" t="str">
        <f t="shared" si="86"/>
        <v>Kering</v>
      </c>
      <c r="O886" t="str">
        <f t="shared" si="87"/>
        <v>Fuzzy</v>
      </c>
      <c r="P886" t="str">
        <f t="shared" si="88"/>
        <v>Fuzzy</v>
      </c>
    </row>
    <row r="887" spans="1:16" x14ac:dyDescent="0.35">
      <c r="A887" t="s">
        <v>890</v>
      </c>
      <c r="B887">
        <v>5100</v>
      </c>
      <c r="C887">
        <v>28</v>
      </c>
      <c r="D887">
        <v>70</v>
      </c>
      <c r="E887">
        <v>702</v>
      </c>
      <c r="F887">
        <v>4</v>
      </c>
      <c r="K887" s="1">
        <f t="shared" si="89"/>
        <v>702</v>
      </c>
      <c r="L887" s="1" t="str">
        <f t="shared" si="84"/>
        <v>Normal</v>
      </c>
      <c r="M887" s="2">
        <f t="shared" si="85"/>
        <v>0.61919504643962853</v>
      </c>
      <c r="N887" s="1" t="str">
        <f t="shared" si="86"/>
        <v>Kering</v>
      </c>
      <c r="O887" t="str">
        <f t="shared" si="87"/>
        <v>Fuzzy</v>
      </c>
      <c r="P887" t="str">
        <f t="shared" si="88"/>
        <v>Fuzzy</v>
      </c>
    </row>
    <row r="888" spans="1:16" x14ac:dyDescent="0.35">
      <c r="A888" t="s">
        <v>891</v>
      </c>
      <c r="B888">
        <v>5101</v>
      </c>
      <c r="C888">
        <v>28</v>
      </c>
      <c r="D888">
        <v>71</v>
      </c>
      <c r="E888">
        <v>630</v>
      </c>
      <c r="F888">
        <v>4</v>
      </c>
      <c r="K888" s="1">
        <f t="shared" si="89"/>
        <v>630</v>
      </c>
      <c r="L888" s="1" t="str">
        <f t="shared" si="84"/>
        <v>Normal</v>
      </c>
      <c r="M888" s="2">
        <f t="shared" si="85"/>
        <v>82.5</v>
      </c>
      <c r="N888" s="1" t="str">
        <f t="shared" si="86"/>
        <v>Basah</v>
      </c>
      <c r="O888" t="str">
        <f t="shared" si="87"/>
        <v>Fuzzy</v>
      </c>
      <c r="P888" t="str">
        <f t="shared" si="88"/>
        <v>Fuzzy</v>
      </c>
    </row>
    <row r="889" spans="1:16" x14ac:dyDescent="0.35">
      <c r="A889" t="s">
        <v>892</v>
      </c>
      <c r="B889">
        <v>5102</v>
      </c>
      <c r="C889">
        <v>28</v>
      </c>
      <c r="D889">
        <v>71</v>
      </c>
      <c r="E889">
        <v>677</v>
      </c>
      <c r="F889">
        <v>4</v>
      </c>
      <c r="K889" s="1">
        <f t="shared" si="89"/>
        <v>677</v>
      </c>
      <c r="L889" s="1" t="str">
        <f t="shared" si="84"/>
        <v>Normal</v>
      </c>
      <c r="M889" s="2">
        <f t="shared" si="85"/>
        <v>94.25</v>
      </c>
      <c r="N889" s="1" t="str">
        <f t="shared" si="86"/>
        <v>Basah</v>
      </c>
      <c r="O889" t="str">
        <f t="shared" si="87"/>
        <v>Fuzzy</v>
      </c>
      <c r="P889" t="str">
        <f t="shared" si="88"/>
        <v>Fuzzy</v>
      </c>
    </row>
    <row r="890" spans="1:16" x14ac:dyDescent="0.35">
      <c r="A890" t="s">
        <v>893</v>
      </c>
      <c r="B890">
        <v>5103</v>
      </c>
      <c r="C890">
        <v>28</v>
      </c>
      <c r="D890">
        <v>72</v>
      </c>
      <c r="E890">
        <v>729</v>
      </c>
      <c r="F890">
        <v>4</v>
      </c>
      <c r="K890" s="1">
        <f t="shared" si="89"/>
        <v>729</v>
      </c>
      <c r="L890" s="1" t="str">
        <f t="shared" si="84"/>
        <v>Normal</v>
      </c>
      <c r="M890" s="2">
        <f t="shared" si="85"/>
        <v>8.9783281733746119</v>
      </c>
      <c r="N890" s="1" t="str">
        <f t="shared" si="86"/>
        <v>Kering</v>
      </c>
      <c r="O890" t="str">
        <f t="shared" si="87"/>
        <v>Fuzzy</v>
      </c>
      <c r="P890" t="str">
        <f t="shared" si="88"/>
        <v>Fuzzy</v>
      </c>
    </row>
    <row r="891" spans="1:16" x14ac:dyDescent="0.35">
      <c r="A891" t="s">
        <v>894</v>
      </c>
      <c r="B891">
        <v>5104</v>
      </c>
      <c r="C891">
        <v>28</v>
      </c>
      <c r="D891">
        <v>71</v>
      </c>
      <c r="E891">
        <v>705</v>
      </c>
      <c r="F891">
        <v>4</v>
      </c>
      <c r="K891" s="1">
        <f t="shared" si="89"/>
        <v>705</v>
      </c>
      <c r="L891" s="1" t="str">
        <f t="shared" si="84"/>
        <v>Normal</v>
      </c>
      <c r="M891" s="2">
        <f t="shared" si="85"/>
        <v>1.5479876160990713</v>
      </c>
      <c r="N891" s="1" t="str">
        <f t="shared" si="86"/>
        <v>Kering</v>
      </c>
      <c r="O891" t="str">
        <f t="shared" si="87"/>
        <v>Fuzzy</v>
      </c>
      <c r="P891" t="str">
        <f t="shared" si="88"/>
        <v>Fuzzy</v>
      </c>
    </row>
    <row r="892" spans="1:16" x14ac:dyDescent="0.35">
      <c r="A892" t="s">
        <v>895</v>
      </c>
      <c r="B892">
        <v>5105</v>
      </c>
      <c r="C892">
        <v>28</v>
      </c>
      <c r="D892">
        <v>71</v>
      </c>
      <c r="E892">
        <v>640</v>
      </c>
      <c r="F892">
        <v>4</v>
      </c>
      <c r="K892" s="1">
        <f t="shared" si="89"/>
        <v>640</v>
      </c>
      <c r="L892" s="1" t="str">
        <f t="shared" si="84"/>
        <v>Normal</v>
      </c>
      <c r="M892" s="2">
        <f t="shared" si="85"/>
        <v>85</v>
      </c>
      <c r="N892" s="1" t="str">
        <f t="shared" si="86"/>
        <v>Basah</v>
      </c>
      <c r="O892" t="str">
        <f t="shared" si="87"/>
        <v>Fuzzy</v>
      </c>
      <c r="P892" t="str">
        <f t="shared" si="88"/>
        <v>Fuzzy</v>
      </c>
    </row>
    <row r="893" spans="1:16" x14ac:dyDescent="0.35">
      <c r="A893" t="s">
        <v>896</v>
      </c>
      <c r="B893">
        <v>5106</v>
      </c>
      <c r="C893">
        <v>28</v>
      </c>
      <c r="D893">
        <v>71</v>
      </c>
      <c r="E893">
        <v>704</v>
      </c>
      <c r="F893">
        <v>4</v>
      </c>
      <c r="K893" s="1">
        <f t="shared" si="89"/>
        <v>704</v>
      </c>
      <c r="L893" s="1" t="str">
        <f t="shared" si="84"/>
        <v>Normal</v>
      </c>
      <c r="M893" s="2">
        <f t="shared" si="85"/>
        <v>1.2383900928792571</v>
      </c>
      <c r="N893" s="1" t="str">
        <f t="shared" si="86"/>
        <v>Kering</v>
      </c>
      <c r="O893" t="str">
        <f t="shared" si="87"/>
        <v>Fuzzy</v>
      </c>
      <c r="P893" t="str">
        <f t="shared" si="88"/>
        <v>Fuzzy</v>
      </c>
    </row>
    <row r="894" spans="1:16" x14ac:dyDescent="0.35">
      <c r="A894" t="s">
        <v>897</v>
      </c>
      <c r="B894">
        <v>5107</v>
      </c>
      <c r="C894">
        <v>28</v>
      </c>
      <c r="D894">
        <v>71</v>
      </c>
      <c r="E894">
        <v>716</v>
      </c>
      <c r="F894">
        <v>3</v>
      </c>
      <c r="K894" s="1">
        <f t="shared" si="89"/>
        <v>716</v>
      </c>
      <c r="L894" s="1" t="str">
        <f t="shared" si="84"/>
        <v>Normal</v>
      </c>
      <c r="M894" s="2">
        <f t="shared" si="85"/>
        <v>4.9535603715170282</v>
      </c>
      <c r="N894" s="1" t="str">
        <f t="shared" si="86"/>
        <v>Kering</v>
      </c>
      <c r="O894" t="str">
        <f t="shared" si="87"/>
        <v>Fuzzy</v>
      </c>
      <c r="P894" t="str">
        <f t="shared" si="88"/>
        <v>Fuzzy</v>
      </c>
    </row>
    <row r="895" spans="1:16" x14ac:dyDescent="0.35">
      <c r="A895" t="s">
        <v>898</v>
      </c>
      <c r="B895">
        <v>5108</v>
      </c>
      <c r="C895">
        <v>28</v>
      </c>
      <c r="D895">
        <v>70</v>
      </c>
      <c r="E895">
        <v>621</v>
      </c>
      <c r="F895">
        <v>4</v>
      </c>
      <c r="K895" s="1">
        <f t="shared" si="89"/>
        <v>621</v>
      </c>
      <c r="L895" s="1" t="str">
        <f t="shared" si="84"/>
        <v>Normal</v>
      </c>
      <c r="M895" s="2">
        <f t="shared" si="85"/>
        <v>80.25</v>
      </c>
      <c r="N895" s="1" t="str">
        <f t="shared" si="86"/>
        <v>Basah</v>
      </c>
      <c r="O895" t="str">
        <f t="shared" si="87"/>
        <v>Fuzzy</v>
      </c>
      <c r="P895" t="str">
        <f t="shared" si="88"/>
        <v>Fuzzy</v>
      </c>
    </row>
    <row r="896" spans="1:16" x14ac:dyDescent="0.35">
      <c r="A896" t="s">
        <v>899</v>
      </c>
      <c r="B896">
        <v>5109</v>
      </c>
      <c r="C896">
        <v>28</v>
      </c>
      <c r="D896">
        <v>70</v>
      </c>
      <c r="E896">
        <v>692</v>
      </c>
      <c r="F896">
        <v>4</v>
      </c>
      <c r="K896" s="1">
        <f t="shared" si="89"/>
        <v>692</v>
      </c>
      <c r="L896" s="1" t="str">
        <f t="shared" si="84"/>
        <v>Normal</v>
      </c>
      <c r="M896" s="2">
        <f t="shared" si="85"/>
        <v>98</v>
      </c>
      <c r="N896" s="1" t="str">
        <f t="shared" si="86"/>
        <v>Basah</v>
      </c>
      <c r="O896" t="str">
        <f t="shared" si="87"/>
        <v>Fuzzy</v>
      </c>
      <c r="P896" t="str">
        <f t="shared" si="88"/>
        <v>Fuzzy</v>
      </c>
    </row>
    <row r="897" spans="1:16" x14ac:dyDescent="0.35">
      <c r="A897" t="s">
        <v>900</v>
      </c>
      <c r="B897">
        <v>5110</v>
      </c>
      <c r="C897">
        <v>28</v>
      </c>
      <c r="D897">
        <v>70</v>
      </c>
      <c r="E897">
        <v>497</v>
      </c>
      <c r="F897">
        <v>4</v>
      </c>
      <c r="K897" s="1">
        <f t="shared" si="89"/>
        <v>497</v>
      </c>
      <c r="L897" s="1" t="str">
        <f t="shared" si="84"/>
        <v>Normal</v>
      </c>
      <c r="M897" s="2">
        <f t="shared" si="85"/>
        <v>49.25</v>
      </c>
      <c r="N897" s="1" t="str">
        <f t="shared" si="86"/>
        <v>Lembab</v>
      </c>
      <c r="O897" t="str">
        <f t="shared" si="87"/>
        <v>Fuzzy</v>
      </c>
      <c r="P897" t="str">
        <f t="shared" si="88"/>
        <v>Fuzzy</v>
      </c>
    </row>
    <row r="898" spans="1:16" x14ac:dyDescent="0.35">
      <c r="A898" t="s">
        <v>901</v>
      </c>
      <c r="B898">
        <v>5111</v>
      </c>
      <c r="C898">
        <v>28</v>
      </c>
      <c r="D898">
        <v>71</v>
      </c>
      <c r="E898">
        <v>667</v>
      </c>
      <c r="F898">
        <v>4</v>
      </c>
      <c r="K898" s="1">
        <f t="shared" si="89"/>
        <v>667</v>
      </c>
      <c r="L898" s="1" t="str">
        <f t="shared" si="84"/>
        <v>Normal</v>
      </c>
      <c r="M898" s="2">
        <f t="shared" si="85"/>
        <v>91.75</v>
      </c>
      <c r="N898" s="1" t="str">
        <f t="shared" si="86"/>
        <v>Basah</v>
      </c>
      <c r="O898" t="str">
        <f t="shared" si="87"/>
        <v>Fuzzy</v>
      </c>
      <c r="P898" t="str">
        <f t="shared" si="88"/>
        <v>Fuzzy</v>
      </c>
    </row>
    <row r="899" spans="1:16" x14ac:dyDescent="0.35">
      <c r="A899" t="s">
        <v>902</v>
      </c>
      <c r="B899">
        <v>5112</v>
      </c>
      <c r="C899">
        <v>28</v>
      </c>
      <c r="D899">
        <v>69</v>
      </c>
      <c r="E899">
        <v>734</v>
      </c>
      <c r="F899">
        <v>4</v>
      </c>
      <c r="K899" s="1">
        <f t="shared" si="89"/>
        <v>734</v>
      </c>
      <c r="L899" s="1" t="str">
        <f t="shared" ref="L899:L962" si="90">IF(A898 &lt;= 10, "Dingin", IF(OR(A898 &gt;= 10, A898 &lt; 35), "Normal", "Panas"))</f>
        <v>Normal</v>
      </c>
      <c r="M899" s="2">
        <f t="shared" ref="M899:M962" si="91">IF(K899&lt;=300, K899/1023*100, IF(K899&lt;=700, (K899-300)/(700-301+1)*100, (K899-700)/(1023-701+1)*100))</f>
        <v>10.526315789473683</v>
      </c>
      <c r="N899" s="1" t="str">
        <f t="shared" ref="N899:N962" si="92">IF(M899&lt;=29.32, "Kering", IF(M899&lt;=68.53, "Lembab", "Basah"))</f>
        <v>Kering</v>
      </c>
      <c r="O899" t="str">
        <f t="shared" ref="O899:O962" si="93">IF(OR(AND(C899 &gt; 10, C899 &lt; 22.5), AND(C899 &gt;= 22.5, C899 &lt; 35)), "Fuzzy", "")</f>
        <v>Fuzzy</v>
      </c>
      <c r="P899" t="str">
        <f t="shared" ref="P899:P962" si="94">IF(OR(AND(M899 &gt;= 0, M899 &lt; 50), AND(M899 &gt;= 50, M899 &lt; 100)), "Fuzzy", "")</f>
        <v>Fuzzy</v>
      </c>
    </row>
    <row r="900" spans="1:16" x14ac:dyDescent="0.35">
      <c r="A900" t="s">
        <v>903</v>
      </c>
      <c r="B900">
        <v>5113</v>
      </c>
      <c r="C900">
        <v>28</v>
      </c>
      <c r="D900">
        <v>68</v>
      </c>
      <c r="E900">
        <v>523</v>
      </c>
      <c r="F900">
        <v>4</v>
      </c>
      <c r="K900" s="1">
        <f t="shared" si="89"/>
        <v>523</v>
      </c>
      <c r="L900" s="1" t="str">
        <f t="shared" si="90"/>
        <v>Normal</v>
      </c>
      <c r="M900" s="2">
        <f t="shared" si="91"/>
        <v>55.75</v>
      </c>
      <c r="N900" s="1" t="str">
        <f t="shared" si="92"/>
        <v>Lembab</v>
      </c>
      <c r="O900" t="str">
        <f t="shared" si="93"/>
        <v>Fuzzy</v>
      </c>
      <c r="P900" t="str">
        <f t="shared" si="94"/>
        <v>Fuzzy</v>
      </c>
    </row>
    <row r="901" spans="1:16" x14ac:dyDescent="0.35">
      <c r="A901" t="s">
        <v>904</v>
      </c>
      <c r="B901">
        <v>5114</v>
      </c>
      <c r="C901">
        <v>28</v>
      </c>
      <c r="D901">
        <v>68</v>
      </c>
      <c r="E901">
        <v>729</v>
      </c>
      <c r="F901">
        <v>4</v>
      </c>
      <c r="K901" s="1">
        <f t="shared" si="89"/>
        <v>729</v>
      </c>
      <c r="L901" s="1" t="str">
        <f t="shared" si="90"/>
        <v>Normal</v>
      </c>
      <c r="M901" s="2">
        <f t="shared" si="91"/>
        <v>8.9783281733746119</v>
      </c>
      <c r="N901" s="1" t="str">
        <f t="shared" si="92"/>
        <v>Kering</v>
      </c>
      <c r="O901" t="str">
        <f t="shared" si="93"/>
        <v>Fuzzy</v>
      </c>
      <c r="P901" t="str">
        <f t="shared" si="94"/>
        <v>Fuzzy</v>
      </c>
    </row>
    <row r="902" spans="1:16" x14ac:dyDescent="0.35">
      <c r="A902" t="s">
        <v>905</v>
      </c>
      <c r="B902">
        <v>5115</v>
      </c>
      <c r="C902">
        <v>28</v>
      </c>
      <c r="D902">
        <v>68</v>
      </c>
      <c r="E902">
        <v>650</v>
      </c>
      <c r="F902">
        <v>3</v>
      </c>
      <c r="K902" s="1">
        <f t="shared" si="89"/>
        <v>650</v>
      </c>
      <c r="L902" s="1" t="str">
        <f t="shared" si="90"/>
        <v>Normal</v>
      </c>
      <c r="M902" s="2">
        <f t="shared" si="91"/>
        <v>87.5</v>
      </c>
      <c r="N902" s="1" t="str">
        <f t="shared" si="92"/>
        <v>Basah</v>
      </c>
      <c r="O902" t="str">
        <f t="shared" si="93"/>
        <v>Fuzzy</v>
      </c>
      <c r="P902" t="str">
        <f t="shared" si="94"/>
        <v>Fuzzy</v>
      </c>
    </row>
    <row r="903" spans="1:16" x14ac:dyDescent="0.35">
      <c r="A903" t="s">
        <v>906</v>
      </c>
      <c r="B903">
        <v>5116</v>
      </c>
      <c r="C903">
        <v>28</v>
      </c>
      <c r="D903">
        <v>68</v>
      </c>
      <c r="E903">
        <v>574</v>
      </c>
      <c r="F903">
        <v>4</v>
      </c>
      <c r="K903" s="1">
        <f t="shared" si="89"/>
        <v>574</v>
      </c>
      <c r="L903" s="1" t="str">
        <f t="shared" si="90"/>
        <v>Normal</v>
      </c>
      <c r="M903" s="2">
        <f t="shared" si="91"/>
        <v>68.5</v>
      </c>
      <c r="N903" s="1" t="str">
        <f t="shared" si="92"/>
        <v>Lembab</v>
      </c>
      <c r="O903" t="str">
        <f t="shared" si="93"/>
        <v>Fuzzy</v>
      </c>
      <c r="P903" t="str">
        <f t="shared" si="94"/>
        <v>Fuzzy</v>
      </c>
    </row>
    <row r="904" spans="1:16" x14ac:dyDescent="0.35">
      <c r="A904" t="s">
        <v>907</v>
      </c>
      <c r="B904">
        <v>5117</v>
      </c>
      <c r="C904">
        <v>28</v>
      </c>
      <c r="D904">
        <v>68</v>
      </c>
      <c r="E904">
        <v>749</v>
      </c>
      <c r="F904">
        <v>4</v>
      </c>
      <c r="K904" s="1">
        <f t="shared" si="89"/>
        <v>749</v>
      </c>
      <c r="L904" s="1" t="str">
        <f t="shared" si="90"/>
        <v>Normal</v>
      </c>
      <c r="M904" s="2">
        <f t="shared" si="91"/>
        <v>15.170278637770899</v>
      </c>
      <c r="N904" s="1" t="str">
        <f t="shared" si="92"/>
        <v>Kering</v>
      </c>
      <c r="O904" t="str">
        <f t="shared" si="93"/>
        <v>Fuzzy</v>
      </c>
      <c r="P904" t="str">
        <f t="shared" si="94"/>
        <v>Fuzzy</v>
      </c>
    </row>
    <row r="905" spans="1:16" x14ac:dyDescent="0.35">
      <c r="A905" t="s">
        <v>908</v>
      </c>
      <c r="B905">
        <v>5118</v>
      </c>
      <c r="C905">
        <v>28</v>
      </c>
      <c r="D905">
        <v>69</v>
      </c>
      <c r="E905">
        <v>714</v>
      </c>
      <c r="F905">
        <v>4</v>
      </c>
      <c r="K905" s="1">
        <f t="shared" si="89"/>
        <v>714</v>
      </c>
      <c r="L905" s="1" t="str">
        <f t="shared" si="90"/>
        <v>Normal</v>
      </c>
      <c r="M905" s="2">
        <f t="shared" si="91"/>
        <v>4.3343653250773997</v>
      </c>
      <c r="N905" s="1" t="str">
        <f t="shared" si="92"/>
        <v>Kering</v>
      </c>
      <c r="O905" t="str">
        <f t="shared" si="93"/>
        <v>Fuzzy</v>
      </c>
      <c r="P905" t="str">
        <f t="shared" si="94"/>
        <v>Fuzzy</v>
      </c>
    </row>
    <row r="906" spans="1:16" x14ac:dyDescent="0.35">
      <c r="A906" t="s">
        <v>909</v>
      </c>
      <c r="B906">
        <v>5119</v>
      </c>
      <c r="C906">
        <v>28</v>
      </c>
      <c r="D906">
        <v>69</v>
      </c>
      <c r="E906">
        <v>655</v>
      </c>
      <c r="F906">
        <v>5</v>
      </c>
      <c r="K906" s="1">
        <f t="shared" si="89"/>
        <v>655</v>
      </c>
      <c r="L906" s="1" t="str">
        <f t="shared" si="90"/>
        <v>Normal</v>
      </c>
      <c r="M906" s="2">
        <f t="shared" si="91"/>
        <v>88.75</v>
      </c>
      <c r="N906" s="1" t="str">
        <f t="shared" si="92"/>
        <v>Basah</v>
      </c>
      <c r="O906" t="str">
        <f t="shared" si="93"/>
        <v>Fuzzy</v>
      </c>
      <c r="P906" t="str">
        <f t="shared" si="94"/>
        <v>Fuzzy</v>
      </c>
    </row>
    <row r="907" spans="1:16" x14ac:dyDescent="0.35">
      <c r="A907" t="s">
        <v>910</v>
      </c>
      <c r="B907">
        <v>5120</v>
      </c>
      <c r="C907">
        <v>28</v>
      </c>
      <c r="D907">
        <v>70</v>
      </c>
      <c r="E907">
        <v>596</v>
      </c>
      <c r="F907">
        <v>4</v>
      </c>
      <c r="K907" s="1">
        <f t="shared" si="89"/>
        <v>596</v>
      </c>
      <c r="L907" s="1" t="str">
        <f t="shared" si="90"/>
        <v>Normal</v>
      </c>
      <c r="M907" s="2">
        <f t="shared" si="91"/>
        <v>74</v>
      </c>
      <c r="N907" s="1" t="str">
        <f t="shared" si="92"/>
        <v>Basah</v>
      </c>
      <c r="O907" t="str">
        <f t="shared" si="93"/>
        <v>Fuzzy</v>
      </c>
      <c r="P907" t="str">
        <f t="shared" si="94"/>
        <v>Fuzzy</v>
      </c>
    </row>
    <row r="908" spans="1:16" x14ac:dyDescent="0.35">
      <c r="A908" t="s">
        <v>911</v>
      </c>
      <c r="B908">
        <v>5121</v>
      </c>
      <c r="C908">
        <v>28</v>
      </c>
      <c r="D908">
        <v>71</v>
      </c>
      <c r="E908">
        <v>721</v>
      </c>
      <c r="F908">
        <v>4</v>
      </c>
      <c r="K908" s="1">
        <f t="shared" si="89"/>
        <v>721</v>
      </c>
      <c r="L908" s="1" t="str">
        <f t="shared" si="90"/>
        <v>Normal</v>
      </c>
      <c r="M908" s="2">
        <f t="shared" si="91"/>
        <v>6.5015479876160995</v>
      </c>
      <c r="N908" s="1" t="str">
        <f t="shared" si="92"/>
        <v>Kering</v>
      </c>
      <c r="O908" t="str">
        <f t="shared" si="93"/>
        <v>Fuzzy</v>
      </c>
      <c r="P908" t="str">
        <f t="shared" si="94"/>
        <v>Fuzzy</v>
      </c>
    </row>
    <row r="909" spans="1:16" x14ac:dyDescent="0.35">
      <c r="A909" t="s">
        <v>912</v>
      </c>
      <c r="B909">
        <v>5122</v>
      </c>
      <c r="C909">
        <v>28</v>
      </c>
      <c r="D909">
        <v>71</v>
      </c>
      <c r="E909">
        <v>684</v>
      </c>
      <c r="F909">
        <v>4</v>
      </c>
      <c r="K909" s="1">
        <f t="shared" ref="K909:K972" si="95">IF(E909&lt;=1023, E909, "")</f>
        <v>684</v>
      </c>
      <c r="L909" s="1" t="str">
        <f t="shared" si="90"/>
        <v>Normal</v>
      </c>
      <c r="M909" s="2">
        <f t="shared" si="91"/>
        <v>96</v>
      </c>
      <c r="N909" s="1" t="str">
        <f t="shared" si="92"/>
        <v>Basah</v>
      </c>
      <c r="O909" t="str">
        <f t="shared" si="93"/>
        <v>Fuzzy</v>
      </c>
      <c r="P909" t="str">
        <f t="shared" si="94"/>
        <v>Fuzzy</v>
      </c>
    </row>
    <row r="910" spans="1:16" x14ac:dyDescent="0.35">
      <c r="A910" t="s">
        <v>913</v>
      </c>
      <c r="B910">
        <v>5123</v>
      </c>
      <c r="C910">
        <v>28</v>
      </c>
      <c r="D910">
        <v>71</v>
      </c>
      <c r="E910">
        <v>696</v>
      </c>
      <c r="F910">
        <v>4</v>
      </c>
      <c r="K910" s="1">
        <f t="shared" si="95"/>
        <v>696</v>
      </c>
      <c r="L910" s="1" t="str">
        <f t="shared" si="90"/>
        <v>Normal</v>
      </c>
      <c r="M910" s="2">
        <f t="shared" si="91"/>
        <v>99</v>
      </c>
      <c r="N910" s="1" t="str">
        <f t="shared" si="92"/>
        <v>Basah</v>
      </c>
      <c r="O910" t="str">
        <f t="shared" si="93"/>
        <v>Fuzzy</v>
      </c>
      <c r="P910" t="str">
        <f t="shared" si="94"/>
        <v>Fuzzy</v>
      </c>
    </row>
    <row r="911" spans="1:16" x14ac:dyDescent="0.35">
      <c r="A911" t="s">
        <v>914</v>
      </c>
      <c r="B911">
        <v>5124</v>
      </c>
      <c r="C911">
        <v>28</v>
      </c>
      <c r="D911">
        <v>71</v>
      </c>
      <c r="E911">
        <v>665</v>
      </c>
      <c r="F911">
        <v>4</v>
      </c>
      <c r="K911" s="1">
        <f t="shared" si="95"/>
        <v>665</v>
      </c>
      <c r="L911" s="1" t="str">
        <f t="shared" si="90"/>
        <v>Normal</v>
      </c>
      <c r="M911" s="2">
        <f t="shared" si="91"/>
        <v>91.25</v>
      </c>
      <c r="N911" s="1" t="str">
        <f t="shared" si="92"/>
        <v>Basah</v>
      </c>
      <c r="O911" t="str">
        <f t="shared" si="93"/>
        <v>Fuzzy</v>
      </c>
      <c r="P911" t="str">
        <f t="shared" si="94"/>
        <v>Fuzzy</v>
      </c>
    </row>
    <row r="912" spans="1:16" x14ac:dyDescent="0.35">
      <c r="A912" t="s">
        <v>915</v>
      </c>
      <c r="B912">
        <v>5125</v>
      </c>
      <c r="C912">
        <v>28</v>
      </c>
      <c r="D912">
        <v>71</v>
      </c>
      <c r="E912">
        <v>758</v>
      </c>
      <c r="F912">
        <v>3</v>
      </c>
      <c r="K912" s="1">
        <f t="shared" si="95"/>
        <v>758</v>
      </c>
      <c r="L912" s="1" t="str">
        <f t="shared" si="90"/>
        <v>Normal</v>
      </c>
      <c r="M912" s="2">
        <f t="shared" si="91"/>
        <v>17.956656346749224</v>
      </c>
      <c r="N912" s="1" t="str">
        <f t="shared" si="92"/>
        <v>Kering</v>
      </c>
      <c r="O912" t="str">
        <f t="shared" si="93"/>
        <v>Fuzzy</v>
      </c>
      <c r="P912" t="str">
        <f t="shared" si="94"/>
        <v>Fuzzy</v>
      </c>
    </row>
    <row r="913" spans="1:16" x14ac:dyDescent="0.35">
      <c r="A913" t="s">
        <v>916</v>
      </c>
      <c r="B913">
        <v>5126</v>
      </c>
      <c r="C913">
        <v>28</v>
      </c>
      <c r="D913">
        <v>71</v>
      </c>
      <c r="E913">
        <v>704</v>
      </c>
      <c r="F913">
        <v>4</v>
      </c>
      <c r="K913" s="1">
        <f t="shared" si="95"/>
        <v>704</v>
      </c>
      <c r="L913" s="1" t="str">
        <f t="shared" si="90"/>
        <v>Normal</v>
      </c>
      <c r="M913" s="2">
        <f t="shared" si="91"/>
        <v>1.2383900928792571</v>
      </c>
      <c r="N913" s="1" t="str">
        <f t="shared" si="92"/>
        <v>Kering</v>
      </c>
      <c r="O913" t="str">
        <f t="shared" si="93"/>
        <v>Fuzzy</v>
      </c>
      <c r="P913" t="str">
        <f t="shared" si="94"/>
        <v>Fuzzy</v>
      </c>
    </row>
    <row r="914" spans="1:16" x14ac:dyDescent="0.35">
      <c r="A914" t="s">
        <v>917</v>
      </c>
      <c r="B914">
        <v>5127</v>
      </c>
      <c r="C914">
        <v>28</v>
      </c>
      <c r="D914">
        <v>72</v>
      </c>
      <c r="E914">
        <v>697</v>
      </c>
      <c r="F914">
        <v>4</v>
      </c>
      <c r="K914" s="1">
        <f t="shared" si="95"/>
        <v>697</v>
      </c>
      <c r="L914" s="1" t="str">
        <f t="shared" si="90"/>
        <v>Normal</v>
      </c>
      <c r="M914" s="2">
        <f t="shared" si="91"/>
        <v>99.25</v>
      </c>
      <c r="N914" s="1" t="str">
        <f t="shared" si="92"/>
        <v>Basah</v>
      </c>
      <c r="O914" t="str">
        <f t="shared" si="93"/>
        <v>Fuzzy</v>
      </c>
      <c r="P914" t="str">
        <f t="shared" si="94"/>
        <v>Fuzzy</v>
      </c>
    </row>
    <row r="915" spans="1:16" x14ac:dyDescent="0.35">
      <c r="A915" t="s">
        <v>918</v>
      </c>
      <c r="B915">
        <v>5128</v>
      </c>
      <c r="C915">
        <v>28</v>
      </c>
      <c r="D915">
        <v>71</v>
      </c>
      <c r="E915">
        <v>703</v>
      </c>
      <c r="F915">
        <v>4</v>
      </c>
      <c r="K915" s="1">
        <f t="shared" si="95"/>
        <v>703</v>
      </c>
      <c r="L915" s="1" t="str">
        <f t="shared" si="90"/>
        <v>Normal</v>
      </c>
      <c r="M915" s="2">
        <f t="shared" si="91"/>
        <v>0.92879256965944268</v>
      </c>
      <c r="N915" s="1" t="str">
        <f t="shared" si="92"/>
        <v>Kering</v>
      </c>
      <c r="O915" t="str">
        <f t="shared" si="93"/>
        <v>Fuzzy</v>
      </c>
      <c r="P915" t="str">
        <f t="shared" si="94"/>
        <v>Fuzzy</v>
      </c>
    </row>
    <row r="916" spans="1:16" x14ac:dyDescent="0.35">
      <c r="A916" t="s">
        <v>919</v>
      </c>
      <c r="B916">
        <v>5129</v>
      </c>
      <c r="C916">
        <v>28</v>
      </c>
      <c r="D916">
        <v>72</v>
      </c>
      <c r="E916">
        <v>751</v>
      </c>
      <c r="F916">
        <v>4</v>
      </c>
      <c r="K916" s="1">
        <f t="shared" si="95"/>
        <v>751</v>
      </c>
      <c r="L916" s="1" t="str">
        <f t="shared" si="90"/>
        <v>Normal</v>
      </c>
      <c r="M916" s="2">
        <f t="shared" si="91"/>
        <v>15.789473684210526</v>
      </c>
      <c r="N916" s="1" t="str">
        <f t="shared" si="92"/>
        <v>Kering</v>
      </c>
      <c r="O916" t="str">
        <f t="shared" si="93"/>
        <v>Fuzzy</v>
      </c>
      <c r="P916" t="str">
        <f t="shared" si="94"/>
        <v>Fuzzy</v>
      </c>
    </row>
    <row r="917" spans="1:16" x14ac:dyDescent="0.35">
      <c r="A917" t="s">
        <v>920</v>
      </c>
      <c r="B917">
        <v>5130</v>
      </c>
      <c r="C917">
        <v>28</v>
      </c>
      <c r="D917">
        <v>71</v>
      </c>
      <c r="E917">
        <v>646</v>
      </c>
      <c r="F917">
        <v>4</v>
      </c>
      <c r="K917" s="1">
        <f t="shared" si="95"/>
        <v>646</v>
      </c>
      <c r="L917" s="1" t="str">
        <f t="shared" si="90"/>
        <v>Normal</v>
      </c>
      <c r="M917" s="2">
        <f t="shared" si="91"/>
        <v>86.5</v>
      </c>
      <c r="N917" s="1" t="str">
        <f t="shared" si="92"/>
        <v>Basah</v>
      </c>
      <c r="O917" t="str">
        <f t="shared" si="93"/>
        <v>Fuzzy</v>
      </c>
      <c r="P917" t="str">
        <f t="shared" si="94"/>
        <v>Fuzzy</v>
      </c>
    </row>
    <row r="918" spans="1:16" x14ac:dyDescent="0.35">
      <c r="A918" t="s">
        <v>921</v>
      </c>
      <c r="B918">
        <v>5131</v>
      </c>
      <c r="C918">
        <v>28</v>
      </c>
      <c r="D918">
        <v>71</v>
      </c>
      <c r="E918">
        <v>735</v>
      </c>
      <c r="F918">
        <v>4</v>
      </c>
      <c r="K918" s="1">
        <f t="shared" si="95"/>
        <v>735</v>
      </c>
      <c r="L918" s="1" t="str">
        <f t="shared" si="90"/>
        <v>Normal</v>
      </c>
      <c r="M918" s="2">
        <f t="shared" si="91"/>
        <v>10.835913312693499</v>
      </c>
      <c r="N918" s="1" t="str">
        <f t="shared" si="92"/>
        <v>Kering</v>
      </c>
      <c r="O918" t="str">
        <f t="shared" si="93"/>
        <v>Fuzzy</v>
      </c>
      <c r="P918" t="str">
        <f t="shared" si="94"/>
        <v>Fuzzy</v>
      </c>
    </row>
    <row r="919" spans="1:16" x14ac:dyDescent="0.35">
      <c r="A919" t="s">
        <v>922</v>
      </c>
      <c r="B919">
        <v>5132</v>
      </c>
      <c r="C919">
        <v>28</v>
      </c>
      <c r="D919">
        <v>71</v>
      </c>
      <c r="E919">
        <v>742</v>
      </c>
      <c r="F919">
        <v>3</v>
      </c>
      <c r="K919" s="1">
        <f t="shared" si="95"/>
        <v>742</v>
      </c>
      <c r="L919" s="1" t="str">
        <f t="shared" si="90"/>
        <v>Normal</v>
      </c>
      <c r="M919" s="2">
        <f t="shared" si="91"/>
        <v>13.003095975232199</v>
      </c>
      <c r="N919" s="1" t="str">
        <f t="shared" si="92"/>
        <v>Kering</v>
      </c>
      <c r="O919" t="str">
        <f t="shared" si="93"/>
        <v>Fuzzy</v>
      </c>
      <c r="P919" t="str">
        <f t="shared" si="94"/>
        <v>Fuzzy</v>
      </c>
    </row>
    <row r="920" spans="1:16" x14ac:dyDescent="0.35">
      <c r="A920" t="s">
        <v>923</v>
      </c>
      <c r="B920">
        <v>5133</v>
      </c>
      <c r="C920">
        <v>28</v>
      </c>
      <c r="D920">
        <v>71</v>
      </c>
      <c r="E920">
        <v>715</v>
      </c>
      <c r="F920">
        <v>4</v>
      </c>
      <c r="K920" s="1">
        <f t="shared" si="95"/>
        <v>715</v>
      </c>
      <c r="L920" s="1" t="str">
        <f t="shared" si="90"/>
        <v>Normal</v>
      </c>
      <c r="M920" s="2">
        <f t="shared" si="91"/>
        <v>4.643962848297214</v>
      </c>
      <c r="N920" s="1" t="str">
        <f t="shared" si="92"/>
        <v>Kering</v>
      </c>
      <c r="O920" t="str">
        <f t="shared" si="93"/>
        <v>Fuzzy</v>
      </c>
      <c r="P920" t="str">
        <f t="shared" si="94"/>
        <v>Fuzzy</v>
      </c>
    </row>
    <row r="921" spans="1:16" x14ac:dyDescent="0.35">
      <c r="A921" t="s">
        <v>924</v>
      </c>
      <c r="B921">
        <v>5134</v>
      </c>
      <c r="C921">
        <v>28</v>
      </c>
      <c r="D921">
        <v>70</v>
      </c>
      <c r="E921">
        <v>705</v>
      </c>
      <c r="F921">
        <v>4</v>
      </c>
      <c r="K921" s="1">
        <f t="shared" si="95"/>
        <v>705</v>
      </c>
      <c r="L921" s="1" t="str">
        <f t="shared" si="90"/>
        <v>Normal</v>
      </c>
      <c r="M921" s="2">
        <f t="shared" si="91"/>
        <v>1.5479876160990713</v>
      </c>
      <c r="N921" s="1" t="str">
        <f t="shared" si="92"/>
        <v>Kering</v>
      </c>
      <c r="O921" t="str">
        <f t="shared" si="93"/>
        <v>Fuzzy</v>
      </c>
      <c r="P921" t="str">
        <f t="shared" si="94"/>
        <v>Fuzzy</v>
      </c>
    </row>
    <row r="922" spans="1:16" x14ac:dyDescent="0.35">
      <c r="A922" t="s">
        <v>925</v>
      </c>
      <c r="B922">
        <v>5135</v>
      </c>
      <c r="C922">
        <v>28</v>
      </c>
      <c r="D922">
        <v>70</v>
      </c>
      <c r="E922">
        <v>625</v>
      </c>
      <c r="F922">
        <v>3</v>
      </c>
      <c r="K922" s="1">
        <f t="shared" si="95"/>
        <v>625</v>
      </c>
      <c r="L922" s="1" t="str">
        <f t="shared" si="90"/>
        <v>Normal</v>
      </c>
      <c r="M922" s="2">
        <f t="shared" si="91"/>
        <v>81.25</v>
      </c>
      <c r="N922" s="1" t="str">
        <f t="shared" si="92"/>
        <v>Basah</v>
      </c>
      <c r="O922" t="str">
        <f t="shared" si="93"/>
        <v>Fuzzy</v>
      </c>
      <c r="P922" t="str">
        <f t="shared" si="94"/>
        <v>Fuzzy</v>
      </c>
    </row>
    <row r="923" spans="1:16" x14ac:dyDescent="0.35">
      <c r="A923" t="s">
        <v>926</v>
      </c>
      <c r="B923">
        <v>5136</v>
      </c>
      <c r="C923">
        <v>28</v>
      </c>
      <c r="D923">
        <v>70</v>
      </c>
      <c r="E923">
        <v>625</v>
      </c>
      <c r="F923">
        <v>4</v>
      </c>
      <c r="K923" s="1">
        <f t="shared" si="95"/>
        <v>625</v>
      </c>
      <c r="L923" s="1" t="str">
        <f t="shared" si="90"/>
        <v>Normal</v>
      </c>
      <c r="M923" s="2">
        <f t="shared" si="91"/>
        <v>81.25</v>
      </c>
      <c r="N923" s="1" t="str">
        <f t="shared" si="92"/>
        <v>Basah</v>
      </c>
      <c r="O923" t="str">
        <f t="shared" si="93"/>
        <v>Fuzzy</v>
      </c>
      <c r="P923" t="str">
        <f t="shared" si="94"/>
        <v>Fuzzy</v>
      </c>
    </row>
    <row r="924" spans="1:16" x14ac:dyDescent="0.35">
      <c r="A924" t="s">
        <v>927</v>
      </c>
      <c r="B924">
        <v>5137</v>
      </c>
      <c r="C924">
        <v>28</v>
      </c>
      <c r="D924">
        <v>70</v>
      </c>
      <c r="E924">
        <v>692</v>
      </c>
      <c r="F924">
        <v>4</v>
      </c>
      <c r="K924" s="1">
        <f t="shared" si="95"/>
        <v>692</v>
      </c>
      <c r="L924" s="1" t="str">
        <f t="shared" si="90"/>
        <v>Normal</v>
      </c>
      <c r="M924" s="2">
        <f t="shared" si="91"/>
        <v>98</v>
      </c>
      <c r="N924" s="1" t="str">
        <f t="shared" si="92"/>
        <v>Basah</v>
      </c>
      <c r="O924" t="str">
        <f t="shared" si="93"/>
        <v>Fuzzy</v>
      </c>
      <c r="P924" t="str">
        <f t="shared" si="94"/>
        <v>Fuzzy</v>
      </c>
    </row>
    <row r="925" spans="1:16" x14ac:dyDescent="0.35">
      <c r="A925" t="s">
        <v>928</v>
      </c>
      <c r="B925">
        <v>5138</v>
      </c>
      <c r="C925">
        <v>28</v>
      </c>
      <c r="D925">
        <v>68</v>
      </c>
      <c r="E925">
        <v>732</v>
      </c>
      <c r="F925">
        <v>4</v>
      </c>
      <c r="K925" s="1">
        <f t="shared" si="95"/>
        <v>732</v>
      </c>
      <c r="L925" s="1" t="str">
        <f t="shared" si="90"/>
        <v>Normal</v>
      </c>
      <c r="M925" s="2">
        <f t="shared" si="91"/>
        <v>9.9071207430340564</v>
      </c>
      <c r="N925" s="1" t="str">
        <f t="shared" si="92"/>
        <v>Kering</v>
      </c>
      <c r="O925" t="str">
        <f t="shared" si="93"/>
        <v>Fuzzy</v>
      </c>
      <c r="P925" t="str">
        <f t="shared" si="94"/>
        <v>Fuzzy</v>
      </c>
    </row>
    <row r="926" spans="1:16" x14ac:dyDescent="0.35">
      <c r="A926" t="s">
        <v>929</v>
      </c>
      <c r="B926">
        <v>5139</v>
      </c>
      <c r="C926">
        <v>28</v>
      </c>
      <c r="D926">
        <v>68</v>
      </c>
      <c r="E926">
        <v>747</v>
      </c>
      <c r="F926">
        <v>4</v>
      </c>
      <c r="K926" s="1">
        <f t="shared" si="95"/>
        <v>747</v>
      </c>
      <c r="L926" s="1" t="str">
        <f t="shared" si="90"/>
        <v>Normal</v>
      </c>
      <c r="M926" s="2">
        <f t="shared" si="91"/>
        <v>14.551083591331269</v>
      </c>
      <c r="N926" s="1" t="str">
        <f t="shared" si="92"/>
        <v>Kering</v>
      </c>
      <c r="O926" t="str">
        <f t="shared" si="93"/>
        <v>Fuzzy</v>
      </c>
      <c r="P926" t="str">
        <f t="shared" si="94"/>
        <v>Fuzzy</v>
      </c>
    </row>
    <row r="927" spans="1:16" x14ac:dyDescent="0.35">
      <c r="A927" t="s">
        <v>930</v>
      </c>
      <c r="B927">
        <v>5140</v>
      </c>
      <c r="C927">
        <v>28</v>
      </c>
      <c r="D927">
        <v>68</v>
      </c>
      <c r="E927">
        <v>675</v>
      </c>
      <c r="F927">
        <v>4</v>
      </c>
      <c r="K927" s="1">
        <f t="shared" si="95"/>
        <v>675</v>
      </c>
      <c r="L927" s="1" t="str">
        <f t="shared" si="90"/>
        <v>Normal</v>
      </c>
      <c r="M927" s="2">
        <f t="shared" si="91"/>
        <v>93.75</v>
      </c>
      <c r="N927" s="1" t="str">
        <f t="shared" si="92"/>
        <v>Basah</v>
      </c>
      <c r="O927" t="str">
        <f t="shared" si="93"/>
        <v>Fuzzy</v>
      </c>
      <c r="P927" t="str">
        <f t="shared" si="94"/>
        <v>Fuzzy</v>
      </c>
    </row>
    <row r="928" spans="1:16" x14ac:dyDescent="0.35">
      <c r="A928" t="s">
        <v>931</v>
      </c>
      <c r="B928">
        <v>5141</v>
      </c>
      <c r="C928">
        <v>28</v>
      </c>
      <c r="D928">
        <v>68</v>
      </c>
      <c r="E928">
        <v>674</v>
      </c>
      <c r="F928">
        <v>4</v>
      </c>
      <c r="K928" s="1">
        <f t="shared" si="95"/>
        <v>674</v>
      </c>
      <c r="L928" s="1" t="str">
        <f t="shared" si="90"/>
        <v>Normal</v>
      </c>
      <c r="M928" s="2">
        <f t="shared" si="91"/>
        <v>93.5</v>
      </c>
      <c r="N928" s="1" t="str">
        <f t="shared" si="92"/>
        <v>Basah</v>
      </c>
      <c r="O928" t="str">
        <f t="shared" si="93"/>
        <v>Fuzzy</v>
      </c>
      <c r="P928" t="str">
        <f t="shared" si="94"/>
        <v>Fuzzy</v>
      </c>
    </row>
    <row r="929" spans="1:16" x14ac:dyDescent="0.35">
      <c r="A929" t="s">
        <v>932</v>
      </c>
      <c r="B929">
        <v>5142</v>
      </c>
      <c r="C929">
        <v>28</v>
      </c>
      <c r="D929">
        <v>68</v>
      </c>
      <c r="E929">
        <v>771</v>
      </c>
      <c r="F929">
        <v>3</v>
      </c>
      <c r="K929" s="1">
        <f t="shared" si="95"/>
        <v>771</v>
      </c>
      <c r="L929" s="1" t="str">
        <f t="shared" si="90"/>
        <v>Normal</v>
      </c>
      <c r="M929" s="2">
        <f t="shared" si="91"/>
        <v>21.981424148606813</v>
      </c>
      <c r="N929" s="1" t="str">
        <f t="shared" si="92"/>
        <v>Kering</v>
      </c>
      <c r="O929" t="str">
        <f t="shared" si="93"/>
        <v>Fuzzy</v>
      </c>
      <c r="P929" t="str">
        <f t="shared" si="94"/>
        <v>Fuzzy</v>
      </c>
    </row>
    <row r="930" spans="1:16" x14ac:dyDescent="0.35">
      <c r="A930" t="s">
        <v>933</v>
      </c>
      <c r="B930">
        <v>5143</v>
      </c>
      <c r="C930">
        <v>28</v>
      </c>
      <c r="D930">
        <v>69</v>
      </c>
      <c r="E930">
        <v>651</v>
      </c>
      <c r="F930">
        <v>4</v>
      </c>
      <c r="K930" s="1">
        <f t="shared" si="95"/>
        <v>651</v>
      </c>
      <c r="L930" s="1" t="str">
        <f t="shared" si="90"/>
        <v>Normal</v>
      </c>
      <c r="M930" s="2">
        <f t="shared" si="91"/>
        <v>87.75</v>
      </c>
      <c r="N930" s="1" t="str">
        <f t="shared" si="92"/>
        <v>Basah</v>
      </c>
      <c r="O930" t="str">
        <f t="shared" si="93"/>
        <v>Fuzzy</v>
      </c>
      <c r="P930" t="str">
        <f t="shared" si="94"/>
        <v>Fuzzy</v>
      </c>
    </row>
    <row r="931" spans="1:16" x14ac:dyDescent="0.35">
      <c r="A931" t="s">
        <v>934</v>
      </c>
      <c r="B931">
        <v>5144</v>
      </c>
      <c r="C931">
        <v>28</v>
      </c>
      <c r="D931">
        <v>70</v>
      </c>
      <c r="E931">
        <v>641</v>
      </c>
      <c r="F931">
        <v>4</v>
      </c>
      <c r="K931" s="1">
        <f t="shared" si="95"/>
        <v>641</v>
      </c>
      <c r="L931" s="1" t="str">
        <f t="shared" si="90"/>
        <v>Normal</v>
      </c>
      <c r="M931" s="2">
        <f t="shared" si="91"/>
        <v>85.25</v>
      </c>
      <c r="N931" s="1" t="str">
        <f t="shared" si="92"/>
        <v>Basah</v>
      </c>
      <c r="O931" t="str">
        <f t="shared" si="93"/>
        <v>Fuzzy</v>
      </c>
      <c r="P931" t="str">
        <f t="shared" si="94"/>
        <v>Fuzzy</v>
      </c>
    </row>
    <row r="932" spans="1:16" x14ac:dyDescent="0.35">
      <c r="A932" t="s">
        <v>935</v>
      </c>
      <c r="B932">
        <v>5145</v>
      </c>
      <c r="C932">
        <v>28</v>
      </c>
      <c r="D932">
        <v>69</v>
      </c>
      <c r="E932">
        <v>721</v>
      </c>
      <c r="F932">
        <v>4</v>
      </c>
      <c r="K932" s="1">
        <f t="shared" si="95"/>
        <v>721</v>
      </c>
      <c r="L932" s="1" t="str">
        <f t="shared" si="90"/>
        <v>Normal</v>
      </c>
      <c r="M932" s="2">
        <f t="shared" si="91"/>
        <v>6.5015479876160995</v>
      </c>
      <c r="N932" s="1" t="str">
        <f t="shared" si="92"/>
        <v>Kering</v>
      </c>
      <c r="O932" t="str">
        <f t="shared" si="93"/>
        <v>Fuzzy</v>
      </c>
      <c r="P932" t="str">
        <f t="shared" si="94"/>
        <v>Fuzzy</v>
      </c>
    </row>
    <row r="933" spans="1:16" x14ac:dyDescent="0.35">
      <c r="A933" t="s">
        <v>936</v>
      </c>
      <c r="B933">
        <v>5146</v>
      </c>
      <c r="C933">
        <v>28</v>
      </c>
      <c r="D933">
        <v>69</v>
      </c>
      <c r="E933">
        <v>679</v>
      </c>
      <c r="F933">
        <v>4</v>
      </c>
      <c r="K933" s="1">
        <f t="shared" si="95"/>
        <v>679</v>
      </c>
      <c r="L933" s="1" t="str">
        <f t="shared" si="90"/>
        <v>Normal</v>
      </c>
      <c r="M933" s="2">
        <f t="shared" si="91"/>
        <v>94.75</v>
      </c>
      <c r="N933" s="1" t="str">
        <f t="shared" si="92"/>
        <v>Basah</v>
      </c>
      <c r="O933" t="str">
        <f t="shared" si="93"/>
        <v>Fuzzy</v>
      </c>
      <c r="P933" t="str">
        <f t="shared" si="94"/>
        <v>Fuzzy</v>
      </c>
    </row>
    <row r="934" spans="1:16" x14ac:dyDescent="0.35">
      <c r="A934" t="s">
        <v>937</v>
      </c>
      <c r="B934">
        <v>5147</v>
      </c>
      <c r="C934">
        <v>28</v>
      </c>
      <c r="D934">
        <v>69</v>
      </c>
      <c r="E934">
        <v>702</v>
      </c>
      <c r="F934">
        <v>4</v>
      </c>
      <c r="K934" s="1">
        <f t="shared" si="95"/>
        <v>702</v>
      </c>
      <c r="L934" s="1" t="str">
        <f t="shared" si="90"/>
        <v>Normal</v>
      </c>
      <c r="M934" s="2">
        <f t="shared" si="91"/>
        <v>0.61919504643962853</v>
      </c>
      <c r="N934" s="1" t="str">
        <f t="shared" si="92"/>
        <v>Kering</v>
      </c>
      <c r="O934" t="str">
        <f t="shared" si="93"/>
        <v>Fuzzy</v>
      </c>
      <c r="P934" t="str">
        <f t="shared" si="94"/>
        <v>Fuzzy</v>
      </c>
    </row>
    <row r="935" spans="1:16" x14ac:dyDescent="0.35">
      <c r="A935" t="s">
        <v>938</v>
      </c>
      <c r="B935">
        <v>5148</v>
      </c>
      <c r="C935">
        <v>28</v>
      </c>
      <c r="D935">
        <v>68</v>
      </c>
      <c r="E935">
        <v>754</v>
      </c>
      <c r="F935">
        <v>4</v>
      </c>
      <c r="K935" s="1">
        <f t="shared" si="95"/>
        <v>754</v>
      </c>
      <c r="L935" s="1" t="str">
        <f t="shared" si="90"/>
        <v>Normal</v>
      </c>
      <c r="M935" s="2">
        <f t="shared" si="91"/>
        <v>16.718266253869967</v>
      </c>
      <c r="N935" s="1" t="str">
        <f t="shared" si="92"/>
        <v>Kering</v>
      </c>
      <c r="O935" t="str">
        <f t="shared" si="93"/>
        <v>Fuzzy</v>
      </c>
      <c r="P935" t="str">
        <f t="shared" si="94"/>
        <v>Fuzzy</v>
      </c>
    </row>
    <row r="936" spans="1:16" x14ac:dyDescent="0.35">
      <c r="A936" t="s">
        <v>939</v>
      </c>
      <c r="B936">
        <v>5149</v>
      </c>
      <c r="C936">
        <v>28</v>
      </c>
      <c r="D936">
        <v>70</v>
      </c>
      <c r="E936">
        <v>648</v>
      </c>
      <c r="F936">
        <v>3</v>
      </c>
      <c r="K936" s="1">
        <f t="shared" si="95"/>
        <v>648</v>
      </c>
      <c r="L936" s="1" t="str">
        <f t="shared" si="90"/>
        <v>Normal</v>
      </c>
      <c r="M936" s="2">
        <f t="shared" si="91"/>
        <v>87</v>
      </c>
      <c r="N936" s="1" t="str">
        <f t="shared" si="92"/>
        <v>Basah</v>
      </c>
      <c r="O936" t="str">
        <f t="shared" si="93"/>
        <v>Fuzzy</v>
      </c>
      <c r="P936" t="str">
        <f t="shared" si="94"/>
        <v>Fuzzy</v>
      </c>
    </row>
    <row r="937" spans="1:16" x14ac:dyDescent="0.35">
      <c r="A937" t="s">
        <v>940</v>
      </c>
      <c r="B937">
        <v>5150</v>
      </c>
      <c r="C937">
        <v>28</v>
      </c>
      <c r="D937">
        <v>71</v>
      </c>
      <c r="E937">
        <v>650</v>
      </c>
      <c r="F937">
        <v>4</v>
      </c>
      <c r="K937" s="1">
        <f t="shared" si="95"/>
        <v>650</v>
      </c>
      <c r="L937" s="1" t="str">
        <f t="shared" si="90"/>
        <v>Normal</v>
      </c>
      <c r="M937" s="2">
        <f t="shared" si="91"/>
        <v>87.5</v>
      </c>
      <c r="N937" s="1" t="str">
        <f t="shared" si="92"/>
        <v>Basah</v>
      </c>
      <c r="O937" t="str">
        <f t="shared" si="93"/>
        <v>Fuzzy</v>
      </c>
      <c r="P937" t="str">
        <f t="shared" si="94"/>
        <v>Fuzzy</v>
      </c>
    </row>
    <row r="938" spans="1:16" x14ac:dyDescent="0.35">
      <c r="A938" t="s">
        <v>941</v>
      </c>
      <c r="B938">
        <v>5151</v>
      </c>
      <c r="C938">
        <v>28</v>
      </c>
      <c r="D938">
        <v>71</v>
      </c>
      <c r="E938">
        <v>733</v>
      </c>
      <c r="F938">
        <v>3</v>
      </c>
      <c r="K938" s="1">
        <f t="shared" si="95"/>
        <v>733</v>
      </c>
      <c r="L938" s="1" t="str">
        <f t="shared" si="90"/>
        <v>Normal</v>
      </c>
      <c r="M938" s="2">
        <f t="shared" si="91"/>
        <v>10.216718266253871</v>
      </c>
      <c r="N938" s="1" t="str">
        <f t="shared" si="92"/>
        <v>Kering</v>
      </c>
      <c r="O938" t="str">
        <f t="shared" si="93"/>
        <v>Fuzzy</v>
      </c>
      <c r="P938" t="str">
        <f t="shared" si="94"/>
        <v>Fuzzy</v>
      </c>
    </row>
    <row r="939" spans="1:16" x14ac:dyDescent="0.35">
      <c r="A939" t="s">
        <v>942</v>
      </c>
      <c r="B939">
        <v>5152</v>
      </c>
      <c r="C939">
        <v>28</v>
      </c>
      <c r="D939">
        <v>71</v>
      </c>
      <c r="E939">
        <v>725</v>
      </c>
      <c r="F939">
        <v>3</v>
      </c>
      <c r="K939" s="1">
        <f t="shared" si="95"/>
        <v>725</v>
      </c>
      <c r="L939" s="1" t="str">
        <f t="shared" si="90"/>
        <v>Normal</v>
      </c>
      <c r="M939" s="2">
        <f t="shared" si="91"/>
        <v>7.7399380804953566</v>
      </c>
      <c r="N939" s="1" t="str">
        <f t="shared" si="92"/>
        <v>Kering</v>
      </c>
      <c r="O939" t="str">
        <f t="shared" si="93"/>
        <v>Fuzzy</v>
      </c>
      <c r="P939" t="str">
        <f t="shared" si="94"/>
        <v>Fuzzy</v>
      </c>
    </row>
    <row r="940" spans="1:16" x14ac:dyDescent="0.35">
      <c r="A940" t="s">
        <v>943</v>
      </c>
      <c r="B940">
        <v>5153</v>
      </c>
      <c r="C940">
        <v>28</v>
      </c>
      <c r="D940">
        <v>71</v>
      </c>
      <c r="E940">
        <v>655</v>
      </c>
      <c r="F940">
        <v>4</v>
      </c>
      <c r="K940" s="1">
        <f t="shared" si="95"/>
        <v>655</v>
      </c>
      <c r="L940" s="1" t="str">
        <f t="shared" si="90"/>
        <v>Normal</v>
      </c>
      <c r="M940" s="2">
        <f t="shared" si="91"/>
        <v>88.75</v>
      </c>
      <c r="N940" s="1" t="str">
        <f t="shared" si="92"/>
        <v>Basah</v>
      </c>
      <c r="O940" t="str">
        <f t="shared" si="93"/>
        <v>Fuzzy</v>
      </c>
      <c r="P940" t="str">
        <f t="shared" si="94"/>
        <v>Fuzzy</v>
      </c>
    </row>
    <row r="941" spans="1:16" x14ac:dyDescent="0.35">
      <c r="A941" t="s">
        <v>944</v>
      </c>
      <c r="B941">
        <v>5154</v>
      </c>
      <c r="C941">
        <v>28</v>
      </c>
      <c r="D941">
        <v>71</v>
      </c>
      <c r="E941">
        <v>639</v>
      </c>
      <c r="F941">
        <v>4</v>
      </c>
      <c r="K941" s="1">
        <f t="shared" si="95"/>
        <v>639</v>
      </c>
      <c r="L941" s="1" t="str">
        <f t="shared" si="90"/>
        <v>Normal</v>
      </c>
      <c r="M941" s="2">
        <f t="shared" si="91"/>
        <v>84.75</v>
      </c>
      <c r="N941" s="1" t="str">
        <f t="shared" si="92"/>
        <v>Basah</v>
      </c>
      <c r="O941" t="str">
        <f t="shared" si="93"/>
        <v>Fuzzy</v>
      </c>
      <c r="P941" t="str">
        <f t="shared" si="94"/>
        <v>Fuzzy</v>
      </c>
    </row>
    <row r="942" spans="1:16" x14ac:dyDescent="0.35">
      <c r="A942" t="s">
        <v>945</v>
      </c>
      <c r="B942">
        <v>5155</v>
      </c>
      <c r="C942">
        <v>28</v>
      </c>
      <c r="D942">
        <v>71</v>
      </c>
      <c r="E942">
        <v>704</v>
      </c>
      <c r="F942">
        <v>4</v>
      </c>
      <c r="K942" s="1">
        <f t="shared" si="95"/>
        <v>704</v>
      </c>
      <c r="L942" s="1" t="str">
        <f t="shared" si="90"/>
        <v>Normal</v>
      </c>
      <c r="M942" s="2">
        <f t="shared" si="91"/>
        <v>1.2383900928792571</v>
      </c>
      <c r="N942" s="1" t="str">
        <f t="shared" si="92"/>
        <v>Kering</v>
      </c>
      <c r="O942" t="str">
        <f t="shared" si="93"/>
        <v>Fuzzy</v>
      </c>
      <c r="P942" t="str">
        <f t="shared" si="94"/>
        <v>Fuzzy</v>
      </c>
    </row>
    <row r="943" spans="1:16" x14ac:dyDescent="0.35">
      <c r="A943" t="s">
        <v>946</v>
      </c>
      <c r="B943">
        <v>5156</v>
      </c>
      <c r="C943">
        <v>28</v>
      </c>
      <c r="D943">
        <v>71</v>
      </c>
      <c r="E943">
        <v>715</v>
      </c>
      <c r="F943">
        <v>4</v>
      </c>
      <c r="K943" s="1">
        <f t="shared" si="95"/>
        <v>715</v>
      </c>
      <c r="L943" s="1" t="str">
        <f t="shared" si="90"/>
        <v>Normal</v>
      </c>
      <c r="M943" s="2">
        <f t="shared" si="91"/>
        <v>4.643962848297214</v>
      </c>
      <c r="N943" s="1" t="str">
        <f t="shared" si="92"/>
        <v>Kering</v>
      </c>
      <c r="O943" t="str">
        <f t="shared" si="93"/>
        <v>Fuzzy</v>
      </c>
      <c r="P943" t="str">
        <f t="shared" si="94"/>
        <v>Fuzzy</v>
      </c>
    </row>
    <row r="944" spans="1:16" x14ac:dyDescent="0.35">
      <c r="A944" t="s">
        <v>947</v>
      </c>
      <c r="B944">
        <v>5157</v>
      </c>
      <c r="C944">
        <v>28</v>
      </c>
      <c r="D944">
        <v>70</v>
      </c>
      <c r="E944">
        <v>709</v>
      </c>
      <c r="F944">
        <v>4</v>
      </c>
      <c r="K944" s="1">
        <f t="shared" si="95"/>
        <v>709</v>
      </c>
      <c r="L944" s="1" t="str">
        <f t="shared" si="90"/>
        <v>Normal</v>
      </c>
      <c r="M944" s="2">
        <f t="shared" si="91"/>
        <v>2.7863777089783279</v>
      </c>
      <c r="N944" s="1" t="str">
        <f t="shared" si="92"/>
        <v>Kering</v>
      </c>
      <c r="O944" t="str">
        <f t="shared" si="93"/>
        <v>Fuzzy</v>
      </c>
      <c r="P944" t="str">
        <f t="shared" si="94"/>
        <v>Fuzzy</v>
      </c>
    </row>
    <row r="945" spans="1:16" x14ac:dyDescent="0.35">
      <c r="A945" t="s">
        <v>948</v>
      </c>
      <c r="B945">
        <v>5158</v>
      </c>
      <c r="C945">
        <v>28</v>
      </c>
      <c r="D945">
        <v>70</v>
      </c>
      <c r="E945">
        <v>857</v>
      </c>
      <c r="F945">
        <v>4</v>
      </c>
      <c r="K945" s="1">
        <f t="shared" si="95"/>
        <v>857</v>
      </c>
      <c r="L945" s="1" t="str">
        <f t="shared" si="90"/>
        <v>Normal</v>
      </c>
      <c r="M945" s="2">
        <f t="shared" si="91"/>
        <v>48.606811145510839</v>
      </c>
      <c r="N945" s="1" t="str">
        <f t="shared" si="92"/>
        <v>Lembab</v>
      </c>
      <c r="O945" t="str">
        <f t="shared" si="93"/>
        <v>Fuzzy</v>
      </c>
      <c r="P945" t="str">
        <f t="shared" si="94"/>
        <v>Fuzzy</v>
      </c>
    </row>
    <row r="946" spans="1:16" x14ac:dyDescent="0.35">
      <c r="A946" t="s">
        <v>949</v>
      </c>
      <c r="B946">
        <v>5159</v>
      </c>
      <c r="C946">
        <v>28</v>
      </c>
      <c r="D946">
        <v>70</v>
      </c>
      <c r="E946">
        <v>663</v>
      </c>
      <c r="F946">
        <v>4</v>
      </c>
      <c r="K946" s="1">
        <f t="shared" si="95"/>
        <v>663</v>
      </c>
      <c r="L946" s="1" t="str">
        <f t="shared" si="90"/>
        <v>Normal</v>
      </c>
      <c r="M946" s="2">
        <f t="shared" si="91"/>
        <v>90.75</v>
      </c>
      <c r="N946" s="1" t="str">
        <f t="shared" si="92"/>
        <v>Basah</v>
      </c>
      <c r="O946" t="str">
        <f t="shared" si="93"/>
        <v>Fuzzy</v>
      </c>
      <c r="P946" t="str">
        <f t="shared" si="94"/>
        <v>Fuzzy</v>
      </c>
    </row>
    <row r="947" spans="1:16" x14ac:dyDescent="0.35">
      <c r="A947" t="s">
        <v>950</v>
      </c>
      <c r="B947">
        <v>5160</v>
      </c>
      <c r="C947">
        <v>28</v>
      </c>
      <c r="D947">
        <v>70</v>
      </c>
      <c r="E947">
        <v>710</v>
      </c>
      <c r="F947">
        <v>3</v>
      </c>
      <c r="K947" s="1">
        <f t="shared" si="95"/>
        <v>710</v>
      </c>
      <c r="L947" s="1" t="str">
        <f t="shared" si="90"/>
        <v>Normal</v>
      </c>
      <c r="M947" s="2">
        <f t="shared" si="91"/>
        <v>3.0959752321981426</v>
      </c>
      <c r="N947" s="1" t="str">
        <f t="shared" si="92"/>
        <v>Kering</v>
      </c>
      <c r="O947" t="str">
        <f t="shared" si="93"/>
        <v>Fuzzy</v>
      </c>
      <c r="P947" t="str">
        <f t="shared" si="94"/>
        <v>Fuzzy</v>
      </c>
    </row>
    <row r="948" spans="1:16" x14ac:dyDescent="0.35">
      <c r="A948" t="s">
        <v>951</v>
      </c>
      <c r="B948">
        <v>5161</v>
      </c>
      <c r="C948">
        <v>28</v>
      </c>
      <c r="D948">
        <v>70</v>
      </c>
      <c r="E948">
        <v>601</v>
      </c>
      <c r="F948">
        <v>3</v>
      </c>
      <c r="K948" s="1">
        <f t="shared" si="95"/>
        <v>601</v>
      </c>
      <c r="L948" s="1" t="str">
        <f t="shared" si="90"/>
        <v>Normal</v>
      </c>
      <c r="M948" s="2">
        <f t="shared" si="91"/>
        <v>75.25</v>
      </c>
      <c r="N948" s="1" t="str">
        <f t="shared" si="92"/>
        <v>Basah</v>
      </c>
      <c r="O948" t="str">
        <f t="shared" si="93"/>
        <v>Fuzzy</v>
      </c>
      <c r="P948" t="str">
        <f t="shared" si="94"/>
        <v>Fuzzy</v>
      </c>
    </row>
    <row r="949" spans="1:16" x14ac:dyDescent="0.35">
      <c r="A949" t="s">
        <v>952</v>
      </c>
      <c r="B949">
        <v>5162</v>
      </c>
      <c r="C949">
        <v>28</v>
      </c>
      <c r="D949">
        <v>69</v>
      </c>
      <c r="E949">
        <v>730</v>
      </c>
      <c r="F949">
        <v>4</v>
      </c>
      <c r="K949" s="1">
        <f t="shared" si="95"/>
        <v>730</v>
      </c>
      <c r="L949" s="1" t="str">
        <f t="shared" si="90"/>
        <v>Normal</v>
      </c>
      <c r="M949" s="2">
        <f t="shared" si="91"/>
        <v>9.2879256965944279</v>
      </c>
      <c r="N949" s="1" t="str">
        <f t="shared" si="92"/>
        <v>Kering</v>
      </c>
      <c r="O949" t="str">
        <f t="shared" si="93"/>
        <v>Fuzzy</v>
      </c>
      <c r="P949" t="str">
        <f t="shared" si="94"/>
        <v>Fuzzy</v>
      </c>
    </row>
    <row r="950" spans="1:16" x14ac:dyDescent="0.35">
      <c r="A950" t="s">
        <v>953</v>
      </c>
      <c r="B950">
        <v>5163</v>
      </c>
      <c r="C950">
        <v>28</v>
      </c>
      <c r="D950">
        <v>68</v>
      </c>
      <c r="E950">
        <v>623</v>
      </c>
      <c r="F950">
        <v>4</v>
      </c>
      <c r="K950" s="1">
        <f t="shared" si="95"/>
        <v>623</v>
      </c>
      <c r="L950" s="1" t="str">
        <f t="shared" si="90"/>
        <v>Normal</v>
      </c>
      <c r="M950" s="2">
        <f t="shared" si="91"/>
        <v>80.75</v>
      </c>
      <c r="N950" s="1" t="str">
        <f t="shared" si="92"/>
        <v>Basah</v>
      </c>
      <c r="O950" t="str">
        <f t="shared" si="93"/>
        <v>Fuzzy</v>
      </c>
      <c r="P950" t="str">
        <f t="shared" si="94"/>
        <v>Fuzzy</v>
      </c>
    </row>
    <row r="951" spans="1:16" x14ac:dyDescent="0.35">
      <c r="A951" t="s">
        <v>954</v>
      </c>
      <c r="B951">
        <v>5164</v>
      </c>
      <c r="C951">
        <v>28</v>
      </c>
      <c r="D951">
        <v>68</v>
      </c>
      <c r="E951">
        <v>625</v>
      </c>
      <c r="F951">
        <v>4</v>
      </c>
      <c r="K951" s="1">
        <f t="shared" si="95"/>
        <v>625</v>
      </c>
      <c r="L951" s="1" t="str">
        <f t="shared" si="90"/>
        <v>Normal</v>
      </c>
      <c r="M951" s="2">
        <f t="shared" si="91"/>
        <v>81.25</v>
      </c>
      <c r="N951" s="1" t="str">
        <f t="shared" si="92"/>
        <v>Basah</v>
      </c>
      <c r="O951" t="str">
        <f t="shared" si="93"/>
        <v>Fuzzy</v>
      </c>
      <c r="P951" t="str">
        <f t="shared" si="94"/>
        <v>Fuzzy</v>
      </c>
    </row>
    <row r="952" spans="1:16" x14ac:dyDescent="0.35">
      <c r="A952" t="s">
        <v>955</v>
      </c>
      <c r="B952">
        <v>5165</v>
      </c>
      <c r="C952">
        <v>28</v>
      </c>
      <c r="D952">
        <v>68</v>
      </c>
      <c r="E952">
        <v>744</v>
      </c>
      <c r="F952">
        <v>3</v>
      </c>
      <c r="K952" s="1">
        <f t="shared" si="95"/>
        <v>744</v>
      </c>
      <c r="L952" s="1" t="str">
        <f t="shared" si="90"/>
        <v>Normal</v>
      </c>
      <c r="M952" s="2">
        <f t="shared" si="91"/>
        <v>13.622291021671826</v>
      </c>
      <c r="N952" s="1" t="str">
        <f t="shared" si="92"/>
        <v>Kering</v>
      </c>
      <c r="O952" t="str">
        <f t="shared" si="93"/>
        <v>Fuzzy</v>
      </c>
      <c r="P952" t="str">
        <f t="shared" si="94"/>
        <v>Fuzzy</v>
      </c>
    </row>
    <row r="953" spans="1:16" x14ac:dyDescent="0.35">
      <c r="A953" t="s">
        <v>956</v>
      </c>
      <c r="B953">
        <v>5166</v>
      </c>
      <c r="C953">
        <v>28</v>
      </c>
      <c r="D953">
        <v>68</v>
      </c>
      <c r="E953">
        <v>688</v>
      </c>
      <c r="F953">
        <v>4</v>
      </c>
      <c r="K953" s="1">
        <f t="shared" si="95"/>
        <v>688</v>
      </c>
      <c r="L953" s="1" t="str">
        <f t="shared" si="90"/>
        <v>Normal</v>
      </c>
      <c r="M953" s="2">
        <f t="shared" si="91"/>
        <v>97</v>
      </c>
      <c r="N953" s="1" t="str">
        <f t="shared" si="92"/>
        <v>Basah</v>
      </c>
      <c r="O953" t="str">
        <f t="shared" si="93"/>
        <v>Fuzzy</v>
      </c>
      <c r="P953" t="str">
        <f t="shared" si="94"/>
        <v>Fuzzy</v>
      </c>
    </row>
    <row r="954" spans="1:16" x14ac:dyDescent="0.35">
      <c r="A954" t="s">
        <v>957</v>
      </c>
      <c r="B954">
        <v>5167</v>
      </c>
      <c r="C954">
        <v>28</v>
      </c>
      <c r="D954">
        <v>68</v>
      </c>
      <c r="E954">
        <v>532</v>
      </c>
      <c r="F954">
        <v>4</v>
      </c>
      <c r="K954" s="1">
        <f t="shared" si="95"/>
        <v>532</v>
      </c>
      <c r="L954" s="1" t="str">
        <f t="shared" si="90"/>
        <v>Normal</v>
      </c>
      <c r="M954" s="2">
        <f t="shared" si="91"/>
        <v>57.999999999999993</v>
      </c>
      <c r="N954" s="1" t="str">
        <f t="shared" si="92"/>
        <v>Lembab</v>
      </c>
      <c r="O954" t="str">
        <f t="shared" si="93"/>
        <v>Fuzzy</v>
      </c>
      <c r="P954" t="str">
        <f t="shared" si="94"/>
        <v>Fuzzy</v>
      </c>
    </row>
    <row r="955" spans="1:16" x14ac:dyDescent="0.35">
      <c r="A955" t="s">
        <v>958</v>
      </c>
      <c r="B955">
        <v>5168</v>
      </c>
      <c r="C955">
        <v>28</v>
      </c>
      <c r="D955">
        <v>69</v>
      </c>
      <c r="E955">
        <v>666</v>
      </c>
      <c r="F955">
        <v>4</v>
      </c>
      <c r="K955" s="1">
        <f t="shared" si="95"/>
        <v>666</v>
      </c>
      <c r="L955" s="1" t="str">
        <f t="shared" si="90"/>
        <v>Normal</v>
      </c>
      <c r="M955" s="2">
        <f t="shared" si="91"/>
        <v>91.5</v>
      </c>
      <c r="N955" s="1" t="str">
        <f t="shared" si="92"/>
        <v>Basah</v>
      </c>
      <c r="O955" t="str">
        <f t="shared" si="93"/>
        <v>Fuzzy</v>
      </c>
      <c r="P955" t="str">
        <f t="shared" si="94"/>
        <v>Fuzzy</v>
      </c>
    </row>
    <row r="956" spans="1:16" x14ac:dyDescent="0.35">
      <c r="A956" t="s">
        <v>959</v>
      </c>
      <c r="B956">
        <v>5169</v>
      </c>
      <c r="C956">
        <v>28</v>
      </c>
      <c r="D956">
        <v>70</v>
      </c>
      <c r="E956">
        <v>696</v>
      </c>
      <c r="F956">
        <v>4</v>
      </c>
      <c r="K956" s="1">
        <f t="shared" si="95"/>
        <v>696</v>
      </c>
      <c r="L956" s="1" t="str">
        <f t="shared" si="90"/>
        <v>Normal</v>
      </c>
      <c r="M956" s="2">
        <f t="shared" si="91"/>
        <v>99</v>
      </c>
      <c r="N956" s="1" t="str">
        <f t="shared" si="92"/>
        <v>Basah</v>
      </c>
      <c r="O956" t="str">
        <f t="shared" si="93"/>
        <v>Fuzzy</v>
      </c>
      <c r="P956" t="str">
        <f t="shared" si="94"/>
        <v>Fuzzy</v>
      </c>
    </row>
    <row r="957" spans="1:16" x14ac:dyDescent="0.35">
      <c r="A957" t="s">
        <v>960</v>
      </c>
      <c r="B957">
        <v>5170</v>
      </c>
      <c r="C957">
        <v>28</v>
      </c>
      <c r="D957">
        <v>70</v>
      </c>
      <c r="E957">
        <v>648</v>
      </c>
      <c r="F957">
        <v>4</v>
      </c>
      <c r="K957" s="1">
        <f t="shared" si="95"/>
        <v>648</v>
      </c>
      <c r="L957" s="1" t="str">
        <f t="shared" si="90"/>
        <v>Normal</v>
      </c>
      <c r="M957" s="2">
        <f t="shared" si="91"/>
        <v>87</v>
      </c>
      <c r="N957" s="1" t="str">
        <f t="shared" si="92"/>
        <v>Basah</v>
      </c>
      <c r="O957" t="str">
        <f t="shared" si="93"/>
        <v>Fuzzy</v>
      </c>
      <c r="P957" t="str">
        <f t="shared" si="94"/>
        <v>Fuzzy</v>
      </c>
    </row>
    <row r="958" spans="1:16" x14ac:dyDescent="0.35">
      <c r="A958" t="s">
        <v>961</v>
      </c>
      <c r="B958">
        <v>5171</v>
      </c>
      <c r="C958">
        <v>28</v>
      </c>
      <c r="D958">
        <v>70</v>
      </c>
      <c r="E958">
        <v>550</v>
      </c>
      <c r="F958">
        <v>4</v>
      </c>
      <c r="K958" s="1">
        <f t="shared" si="95"/>
        <v>550</v>
      </c>
      <c r="L958" s="1" t="str">
        <f t="shared" si="90"/>
        <v>Normal</v>
      </c>
      <c r="M958" s="2">
        <f t="shared" si="91"/>
        <v>62.5</v>
      </c>
      <c r="N958" s="1" t="str">
        <f t="shared" si="92"/>
        <v>Lembab</v>
      </c>
      <c r="O958" t="str">
        <f t="shared" si="93"/>
        <v>Fuzzy</v>
      </c>
      <c r="P958" t="str">
        <f t="shared" si="94"/>
        <v>Fuzzy</v>
      </c>
    </row>
    <row r="959" spans="1:16" x14ac:dyDescent="0.35">
      <c r="A959" t="s">
        <v>962</v>
      </c>
      <c r="B959">
        <v>5172</v>
      </c>
      <c r="C959">
        <v>28</v>
      </c>
      <c r="D959">
        <v>70</v>
      </c>
      <c r="E959">
        <v>672</v>
      </c>
      <c r="F959">
        <v>4</v>
      </c>
      <c r="K959" s="1">
        <f t="shared" si="95"/>
        <v>672</v>
      </c>
      <c r="L959" s="1" t="str">
        <f t="shared" si="90"/>
        <v>Normal</v>
      </c>
      <c r="M959" s="2">
        <f t="shared" si="91"/>
        <v>93</v>
      </c>
      <c r="N959" s="1" t="str">
        <f t="shared" si="92"/>
        <v>Basah</v>
      </c>
      <c r="O959" t="str">
        <f t="shared" si="93"/>
        <v>Fuzzy</v>
      </c>
      <c r="P959" t="str">
        <f t="shared" si="94"/>
        <v>Fuzzy</v>
      </c>
    </row>
    <row r="960" spans="1:16" x14ac:dyDescent="0.35">
      <c r="A960" t="s">
        <v>963</v>
      </c>
      <c r="B960">
        <v>5173</v>
      </c>
      <c r="C960">
        <v>28</v>
      </c>
      <c r="D960">
        <v>71</v>
      </c>
      <c r="E960">
        <v>565</v>
      </c>
      <c r="F960">
        <v>4</v>
      </c>
      <c r="K960" s="1">
        <f t="shared" si="95"/>
        <v>565</v>
      </c>
      <c r="L960" s="1" t="str">
        <f t="shared" si="90"/>
        <v>Normal</v>
      </c>
      <c r="M960" s="2">
        <f t="shared" si="91"/>
        <v>66.25</v>
      </c>
      <c r="N960" s="1" t="str">
        <f t="shared" si="92"/>
        <v>Lembab</v>
      </c>
      <c r="O960" t="str">
        <f t="shared" si="93"/>
        <v>Fuzzy</v>
      </c>
      <c r="P960" t="str">
        <f t="shared" si="94"/>
        <v>Fuzzy</v>
      </c>
    </row>
    <row r="961" spans="1:16" x14ac:dyDescent="0.35">
      <c r="A961" t="s">
        <v>964</v>
      </c>
      <c r="B961">
        <v>5174</v>
      </c>
      <c r="C961">
        <v>28</v>
      </c>
      <c r="D961">
        <v>71</v>
      </c>
      <c r="E961">
        <v>594</v>
      </c>
      <c r="F961">
        <v>4</v>
      </c>
      <c r="K961" s="1">
        <f t="shared" si="95"/>
        <v>594</v>
      </c>
      <c r="L961" s="1" t="str">
        <f t="shared" si="90"/>
        <v>Normal</v>
      </c>
      <c r="M961" s="2">
        <f t="shared" si="91"/>
        <v>73.5</v>
      </c>
      <c r="N961" s="1" t="str">
        <f t="shared" si="92"/>
        <v>Basah</v>
      </c>
      <c r="O961" t="str">
        <f t="shared" si="93"/>
        <v>Fuzzy</v>
      </c>
      <c r="P961" t="str">
        <f t="shared" si="94"/>
        <v>Fuzzy</v>
      </c>
    </row>
    <row r="962" spans="1:16" x14ac:dyDescent="0.35">
      <c r="A962" t="s">
        <v>965</v>
      </c>
      <c r="B962">
        <v>5175</v>
      </c>
      <c r="C962">
        <v>28</v>
      </c>
      <c r="D962">
        <v>71</v>
      </c>
      <c r="E962">
        <v>641</v>
      </c>
      <c r="F962">
        <v>4</v>
      </c>
      <c r="K962" s="1">
        <f t="shared" si="95"/>
        <v>641</v>
      </c>
      <c r="L962" s="1" t="str">
        <f t="shared" si="90"/>
        <v>Normal</v>
      </c>
      <c r="M962" s="2">
        <f t="shared" si="91"/>
        <v>85.25</v>
      </c>
      <c r="N962" s="1" t="str">
        <f t="shared" si="92"/>
        <v>Basah</v>
      </c>
      <c r="O962" t="str">
        <f t="shared" si="93"/>
        <v>Fuzzy</v>
      </c>
      <c r="P962" t="str">
        <f t="shared" si="94"/>
        <v>Fuzzy</v>
      </c>
    </row>
    <row r="963" spans="1:16" x14ac:dyDescent="0.35">
      <c r="A963" t="s">
        <v>966</v>
      </c>
      <c r="B963">
        <v>5176</v>
      </c>
      <c r="C963">
        <v>28</v>
      </c>
      <c r="D963">
        <v>70</v>
      </c>
      <c r="E963">
        <v>631</v>
      </c>
      <c r="F963">
        <v>4</v>
      </c>
      <c r="K963" s="1">
        <f t="shared" si="95"/>
        <v>631</v>
      </c>
      <c r="L963" s="1" t="str">
        <f t="shared" ref="L963:L1026" si="96">IF(A962 &lt;= 10, "Dingin", IF(OR(A962 &gt;= 10, A962 &lt; 35), "Normal", "Panas"))</f>
        <v>Normal</v>
      </c>
      <c r="M963" s="2">
        <f t="shared" ref="M963:M1026" si="97">IF(K963&lt;=300, K963/1023*100, IF(K963&lt;=700, (K963-300)/(700-301+1)*100, (K963-700)/(1023-701+1)*100))</f>
        <v>82.75</v>
      </c>
      <c r="N963" s="1" t="str">
        <f t="shared" ref="N963:N1026" si="98">IF(M963&lt;=29.32, "Kering", IF(M963&lt;=68.53, "Lembab", "Basah"))</f>
        <v>Basah</v>
      </c>
      <c r="O963" t="str">
        <f t="shared" ref="O963:O1026" si="99">IF(OR(AND(C963 &gt; 10, C963 &lt; 22.5), AND(C963 &gt;= 22.5, C963 &lt; 35)), "Fuzzy", "")</f>
        <v>Fuzzy</v>
      </c>
      <c r="P963" t="str">
        <f t="shared" ref="P963:P1026" si="100">IF(OR(AND(M963 &gt;= 0, M963 &lt; 50), AND(M963 &gt;= 50, M963 &lt; 100)), "Fuzzy", "")</f>
        <v>Fuzzy</v>
      </c>
    </row>
    <row r="964" spans="1:16" x14ac:dyDescent="0.35">
      <c r="A964" t="s">
        <v>967</v>
      </c>
      <c r="B964">
        <v>5177</v>
      </c>
      <c r="C964">
        <v>28</v>
      </c>
      <c r="D964">
        <v>70</v>
      </c>
      <c r="E964">
        <v>650</v>
      </c>
      <c r="F964">
        <v>4</v>
      </c>
      <c r="K964" s="1">
        <f t="shared" si="95"/>
        <v>650</v>
      </c>
      <c r="L964" s="1" t="str">
        <f t="shared" si="96"/>
        <v>Normal</v>
      </c>
      <c r="M964" s="2">
        <f t="shared" si="97"/>
        <v>87.5</v>
      </c>
      <c r="N964" s="1" t="str">
        <f t="shared" si="98"/>
        <v>Basah</v>
      </c>
      <c r="O964" t="str">
        <f t="shared" si="99"/>
        <v>Fuzzy</v>
      </c>
      <c r="P964" t="str">
        <f t="shared" si="100"/>
        <v>Fuzzy</v>
      </c>
    </row>
    <row r="965" spans="1:16" x14ac:dyDescent="0.35">
      <c r="A965" t="s">
        <v>968</v>
      </c>
      <c r="B965">
        <v>5178</v>
      </c>
      <c r="C965">
        <v>28</v>
      </c>
      <c r="D965">
        <v>70</v>
      </c>
      <c r="E965">
        <v>675</v>
      </c>
      <c r="F965">
        <v>4</v>
      </c>
      <c r="K965" s="1">
        <f t="shared" si="95"/>
        <v>675</v>
      </c>
      <c r="L965" s="1" t="str">
        <f t="shared" si="96"/>
        <v>Normal</v>
      </c>
      <c r="M965" s="2">
        <f t="shared" si="97"/>
        <v>93.75</v>
      </c>
      <c r="N965" s="1" t="str">
        <f t="shared" si="98"/>
        <v>Basah</v>
      </c>
      <c r="O965" t="str">
        <f t="shared" si="99"/>
        <v>Fuzzy</v>
      </c>
      <c r="P965" t="str">
        <f t="shared" si="100"/>
        <v>Fuzzy</v>
      </c>
    </row>
    <row r="966" spans="1:16" x14ac:dyDescent="0.35">
      <c r="A966" t="s">
        <v>969</v>
      </c>
      <c r="B966">
        <v>5179</v>
      </c>
      <c r="C966">
        <v>28</v>
      </c>
      <c r="D966">
        <v>70</v>
      </c>
      <c r="E966">
        <v>674</v>
      </c>
      <c r="F966">
        <v>4</v>
      </c>
      <c r="K966" s="1">
        <f t="shared" si="95"/>
        <v>674</v>
      </c>
      <c r="L966" s="1" t="str">
        <f t="shared" si="96"/>
        <v>Normal</v>
      </c>
      <c r="M966" s="2">
        <f t="shared" si="97"/>
        <v>93.5</v>
      </c>
      <c r="N966" s="1" t="str">
        <f t="shared" si="98"/>
        <v>Basah</v>
      </c>
      <c r="O966" t="str">
        <f t="shared" si="99"/>
        <v>Fuzzy</v>
      </c>
      <c r="P966" t="str">
        <f t="shared" si="100"/>
        <v>Fuzzy</v>
      </c>
    </row>
    <row r="967" spans="1:16" x14ac:dyDescent="0.35">
      <c r="A967" t="s">
        <v>970</v>
      </c>
      <c r="B967">
        <v>5180</v>
      </c>
      <c r="C967">
        <v>28</v>
      </c>
      <c r="D967">
        <v>70</v>
      </c>
      <c r="E967">
        <v>651</v>
      </c>
      <c r="F967">
        <v>4</v>
      </c>
      <c r="K967" s="1">
        <f t="shared" si="95"/>
        <v>651</v>
      </c>
      <c r="L967" s="1" t="str">
        <f t="shared" si="96"/>
        <v>Normal</v>
      </c>
      <c r="M967" s="2">
        <f t="shared" si="97"/>
        <v>87.75</v>
      </c>
      <c r="N967" s="1" t="str">
        <f t="shared" si="98"/>
        <v>Basah</v>
      </c>
      <c r="O967" t="str">
        <f t="shared" si="99"/>
        <v>Fuzzy</v>
      </c>
      <c r="P967" t="str">
        <f t="shared" si="100"/>
        <v>Fuzzy</v>
      </c>
    </row>
    <row r="968" spans="1:16" x14ac:dyDescent="0.35">
      <c r="A968" t="s">
        <v>971</v>
      </c>
      <c r="B968">
        <v>5181</v>
      </c>
      <c r="C968">
        <v>28</v>
      </c>
      <c r="D968">
        <v>70</v>
      </c>
      <c r="E968">
        <v>619</v>
      </c>
      <c r="F968">
        <v>4</v>
      </c>
      <c r="K968" s="1">
        <f t="shared" si="95"/>
        <v>619</v>
      </c>
      <c r="L968" s="1" t="str">
        <f t="shared" si="96"/>
        <v>Normal</v>
      </c>
      <c r="M968" s="2">
        <f t="shared" si="97"/>
        <v>79.75</v>
      </c>
      <c r="N968" s="1" t="str">
        <f t="shared" si="98"/>
        <v>Basah</v>
      </c>
      <c r="O968" t="str">
        <f t="shared" si="99"/>
        <v>Fuzzy</v>
      </c>
      <c r="P968" t="str">
        <f t="shared" si="100"/>
        <v>Fuzzy</v>
      </c>
    </row>
    <row r="969" spans="1:16" x14ac:dyDescent="0.35">
      <c r="A969" t="s">
        <v>972</v>
      </c>
      <c r="B969">
        <v>5182</v>
      </c>
      <c r="C969">
        <v>28</v>
      </c>
      <c r="D969">
        <v>70</v>
      </c>
      <c r="E969">
        <v>617</v>
      </c>
      <c r="F969">
        <v>4</v>
      </c>
      <c r="K969" s="1">
        <f t="shared" si="95"/>
        <v>617</v>
      </c>
      <c r="L969" s="1" t="str">
        <f t="shared" si="96"/>
        <v>Normal</v>
      </c>
      <c r="M969" s="2">
        <f t="shared" si="97"/>
        <v>79.25</v>
      </c>
      <c r="N969" s="1" t="str">
        <f t="shared" si="98"/>
        <v>Basah</v>
      </c>
      <c r="O969" t="str">
        <f t="shared" si="99"/>
        <v>Fuzzy</v>
      </c>
      <c r="P969" t="str">
        <f t="shared" si="100"/>
        <v>Fuzzy</v>
      </c>
    </row>
    <row r="970" spans="1:16" x14ac:dyDescent="0.35">
      <c r="A970" t="s">
        <v>973</v>
      </c>
      <c r="B970">
        <v>5183</v>
      </c>
      <c r="C970">
        <v>28</v>
      </c>
      <c r="D970">
        <v>70</v>
      </c>
      <c r="E970">
        <v>702</v>
      </c>
      <c r="F970">
        <v>4</v>
      </c>
      <c r="K970" s="1">
        <f t="shared" si="95"/>
        <v>702</v>
      </c>
      <c r="L970" s="1" t="str">
        <f t="shared" si="96"/>
        <v>Normal</v>
      </c>
      <c r="M970" s="2">
        <f t="shared" si="97"/>
        <v>0.61919504643962853</v>
      </c>
      <c r="N970" s="1" t="str">
        <f t="shared" si="98"/>
        <v>Kering</v>
      </c>
      <c r="O970" t="str">
        <f t="shared" si="99"/>
        <v>Fuzzy</v>
      </c>
      <c r="P970" t="str">
        <f t="shared" si="100"/>
        <v>Fuzzy</v>
      </c>
    </row>
    <row r="971" spans="1:16" x14ac:dyDescent="0.35">
      <c r="A971" t="s">
        <v>974</v>
      </c>
      <c r="B971">
        <v>5184</v>
      </c>
      <c r="C971">
        <v>28</v>
      </c>
      <c r="D971">
        <v>70</v>
      </c>
      <c r="E971">
        <v>630</v>
      </c>
      <c r="F971">
        <v>4</v>
      </c>
      <c r="K971" s="1">
        <f t="shared" si="95"/>
        <v>630</v>
      </c>
      <c r="L971" s="1" t="str">
        <f t="shared" si="96"/>
        <v>Normal</v>
      </c>
      <c r="M971" s="2">
        <f t="shared" si="97"/>
        <v>82.5</v>
      </c>
      <c r="N971" s="1" t="str">
        <f t="shared" si="98"/>
        <v>Basah</v>
      </c>
      <c r="O971" t="str">
        <f t="shared" si="99"/>
        <v>Fuzzy</v>
      </c>
      <c r="P971" t="str">
        <f t="shared" si="100"/>
        <v>Fuzzy</v>
      </c>
    </row>
    <row r="972" spans="1:16" x14ac:dyDescent="0.35">
      <c r="A972" t="s">
        <v>975</v>
      </c>
      <c r="B972">
        <v>5185</v>
      </c>
      <c r="C972">
        <v>28</v>
      </c>
      <c r="D972">
        <v>70</v>
      </c>
      <c r="E972">
        <v>694</v>
      </c>
      <c r="F972">
        <v>4</v>
      </c>
      <c r="K972" s="1">
        <f t="shared" si="95"/>
        <v>694</v>
      </c>
      <c r="L972" s="1" t="str">
        <f t="shared" si="96"/>
        <v>Normal</v>
      </c>
      <c r="M972" s="2">
        <f t="shared" si="97"/>
        <v>98.5</v>
      </c>
      <c r="N972" s="1" t="str">
        <f t="shared" si="98"/>
        <v>Basah</v>
      </c>
      <c r="O972" t="str">
        <f t="shared" si="99"/>
        <v>Fuzzy</v>
      </c>
      <c r="P972" t="str">
        <f t="shared" si="100"/>
        <v>Fuzzy</v>
      </c>
    </row>
    <row r="973" spans="1:16" x14ac:dyDescent="0.35">
      <c r="A973" t="s">
        <v>976</v>
      </c>
      <c r="B973">
        <v>5186</v>
      </c>
      <c r="C973">
        <v>28</v>
      </c>
      <c r="D973">
        <v>70</v>
      </c>
      <c r="E973">
        <v>698</v>
      </c>
      <c r="F973">
        <v>4</v>
      </c>
      <c r="K973" s="1">
        <f t="shared" ref="K973:K1036" si="101">IF(E973&lt;=1023, E973, "")</f>
        <v>698</v>
      </c>
      <c r="L973" s="1" t="str">
        <f t="shared" si="96"/>
        <v>Normal</v>
      </c>
      <c r="M973" s="2">
        <f t="shared" si="97"/>
        <v>99.5</v>
      </c>
      <c r="N973" s="1" t="str">
        <f t="shared" si="98"/>
        <v>Basah</v>
      </c>
      <c r="O973" t="str">
        <f t="shared" si="99"/>
        <v>Fuzzy</v>
      </c>
      <c r="P973" t="str">
        <f t="shared" si="100"/>
        <v>Fuzzy</v>
      </c>
    </row>
    <row r="974" spans="1:16" x14ac:dyDescent="0.35">
      <c r="A974" t="s">
        <v>977</v>
      </c>
      <c r="B974">
        <v>5187</v>
      </c>
      <c r="C974">
        <v>28</v>
      </c>
      <c r="D974">
        <v>69</v>
      </c>
      <c r="E974">
        <v>620</v>
      </c>
      <c r="F974">
        <v>4</v>
      </c>
      <c r="K974" s="1">
        <f t="shared" si="101"/>
        <v>620</v>
      </c>
      <c r="L974" s="1" t="str">
        <f t="shared" si="96"/>
        <v>Normal</v>
      </c>
      <c r="M974" s="2">
        <f t="shared" si="97"/>
        <v>80</v>
      </c>
      <c r="N974" s="1" t="str">
        <f t="shared" si="98"/>
        <v>Basah</v>
      </c>
      <c r="O974" t="str">
        <f t="shared" si="99"/>
        <v>Fuzzy</v>
      </c>
      <c r="P974" t="str">
        <f t="shared" si="100"/>
        <v>Fuzzy</v>
      </c>
    </row>
    <row r="975" spans="1:16" x14ac:dyDescent="0.35">
      <c r="A975" t="s">
        <v>978</v>
      </c>
      <c r="B975">
        <v>5188</v>
      </c>
      <c r="C975">
        <v>28</v>
      </c>
      <c r="D975">
        <v>68</v>
      </c>
      <c r="E975">
        <v>647</v>
      </c>
      <c r="F975">
        <v>5</v>
      </c>
      <c r="K975" s="1">
        <f t="shared" si="101"/>
        <v>647</v>
      </c>
      <c r="L975" s="1" t="str">
        <f t="shared" si="96"/>
        <v>Normal</v>
      </c>
      <c r="M975" s="2">
        <f t="shared" si="97"/>
        <v>86.75</v>
      </c>
      <c r="N975" s="1" t="str">
        <f t="shared" si="98"/>
        <v>Basah</v>
      </c>
      <c r="O975" t="str">
        <f t="shared" si="99"/>
        <v>Fuzzy</v>
      </c>
      <c r="P975" t="str">
        <f t="shared" si="100"/>
        <v>Fuzzy</v>
      </c>
    </row>
    <row r="976" spans="1:16" x14ac:dyDescent="0.35">
      <c r="A976" t="s">
        <v>979</v>
      </c>
      <c r="B976">
        <v>5189</v>
      </c>
      <c r="C976">
        <v>28</v>
      </c>
      <c r="D976">
        <v>67</v>
      </c>
      <c r="E976">
        <v>655</v>
      </c>
      <c r="F976">
        <v>4</v>
      </c>
      <c r="K976" s="1">
        <f t="shared" si="101"/>
        <v>655</v>
      </c>
      <c r="L976" s="1" t="str">
        <f t="shared" si="96"/>
        <v>Normal</v>
      </c>
      <c r="M976" s="2">
        <f t="shared" si="97"/>
        <v>88.75</v>
      </c>
      <c r="N976" s="1" t="str">
        <f t="shared" si="98"/>
        <v>Basah</v>
      </c>
      <c r="O976" t="str">
        <f t="shared" si="99"/>
        <v>Fuzzy</v>
      </c>
      <c r="P976" t="str">
        <f t="shared" si="100"/>
        <v>Fuzzy</v>
      </c>
    </row>
    <row r="977" spans="1:16" x14ac:dyDescent="0.35">
      <c r="A977" t="s">
        <v>980</v>
      </c>
      <c r="B977">
        <v>5190</v>
      </c>
      <c r="C977">
        <v>28</v>
      </c>
      <c r="D977">
        <v>68</v>
      </c>
      <c r="E977">
        <v>693</v>
      </c>
      <c r="F977">
        <v>3</v>
      </c>
      <c r="K977" s="1">
        <f t="shared" si="101"/>
        <v>693</v>
      </c>
      <c r="L977" s="1" t="str">
        <f t="shared" si="96"/>
        <v>Normal</v>
      </c>
      <c r="M977" s="2">
        <f t="shared" si="97"/>
        <v>98.25</v>
      </c>
      <c r="N977" s="1" t="str">
        <f t="shared" si="98"/>
        <v>Basah</v>
      </c>
      <c r="O977" t="str">
        <f t="shared" si="99"/>
        <v>Fuzzy</v>
      </c>
      <c r="P977" t="str">
        <f t="shared" si="100"/>
        <v>Fuzzy</v>
      </c>
    </row>
    <row r="978" spans="1:16" x14ac:dyDescent="0.35">
      <c r="A978" t="s">
        <v>981</v>
      </c>
      <c r="B978">
        <v>5191</v>
      </c>
      <c r="C978">
        <v>28</v>
      </c>
      <c r="D978">
        <v>68</v>
      </c>
      <c r="E978">
        <v>609</v>
      </c>
      <c r="F978">
        <v>4</v>
      </c>
      <c r="K978" s="1">
        <f t="shared" si="101"/>
        <v>609</v>
      </c>
      <c r="L978" s="1" t="str">
        <f t="shared" si="96"/>
        <v>Normal</v>
      </c>
      <c r="M978" s="2">
        <f t="shared" si="97"/>
        <v>77.25</v>
      </c>
      <c r="N978" s="1" t="str">
        <f t="shared" si="98"/>
        <v>Basah</v>
      </c>
      <c r="O978" t="str">
        <f t="shared" si="99"/>
        <v>Fuzzy</v>
      </c>
      <c r="P978" t="str">
        <f t="shared" si="100"/>
        <v>Fuzzy</v>
      </c>
    </row>
    <row r="979" spans="1:16" x14ac:dyDescent="0.35">
      <c r="A979" t="s">
        <v>982</v>
      </c>
      <c r="B979">
        <v>5192</v>
      </c>
      <c r="C979">
        <v>28</v>
      </c>
      <c r="D979">
        <v>68</v>
      </c>
      <c r="E979">
        <v>603</v>
      </c>
      <c r="F979">
        <v>4</v>
      </c>
      <c r="K979" s="1">
        <f t="shared" si="101"/>
        <v>603</v>
      </c>
      <c r="L979" s="1" t="str">
        <f t="shared" si="96"/>
        <v>Normal</v>
      </c>
      <c r="M979" s="2">
        <f t="shared" si="97"/>
        <v>75.75</v>
      </c>
      <c r="N979" s="1" t="str">
        <f t="shared" si="98"/>
        <v>Basah</v>
      </c>
      <c r="O979" t="str">
        <f t="shared" si="99"/>
        <v>Fuzzy</v>
      </c>
      <c r="P979" t="str">
        <f t="shared" si="100"/>
        <v>Fuzzy</v>
      </c>
    </row>
    <row r="980" spans="1:16" x14ac:dyDescent="0.35">
      <c r="A980" t="s">
        <v>983</v>
      </c>
      <c r="B980">
        <v>5193</v>
      </c>
      <c r="C980">
        <v>28</v>
      </c>
      <c r="D980">
        <v>69</v>
      </c>
      <c r="E980">
        <v>635</v>
      </c>
      <c r="F980">
        <v>4</v>
      </c>
      <c r="K980" s="1">
        <f t="shared" si="101"/>
        <v>635</v>
      </c>
      <c r="L980" s="1" t="str">
        <f t="shared" si="96"/>
        <v>Normal</v>
      </c>
      <c r="M980" s="2">
        <f t="shared" si="97"/>
        <v>83.75</v>
      </c>
      <c r="N980" s="1" t="str">
        <f t="shared" si="98"/>
        <v>Basah</v>
      </c>
      <c r="O980" t="str">
        <f t="shared" si="99"/>
        <v>Fuzzy</v>
      </c>
      <c r="P980" t="str">
        <f t="shared" si="100"/>
        <v>Fuzzy</v>
      </c>
    </row>
    <row r="981" spans="1:16" x14ac:dyDescent="0.35">
      <c r="A981" t="s">
        <v>984</v>
      </c>
      <c r="B981">
        <v>5194</v>
      </c>
      <c r="C981">
        <v>28</v>
      </c>
      <c r="D981">
        <v>70</v>
      </c>
      <c r="E981">
        <v>667</v>
      </c>
      <c r="F981">
        <v>5</v>
      </c>
      <c r="K981" s="1">
        <f t="shared" si="101"/>
        <v>667</v>
      </c>
      <c r="L981" s="1" t="str">
        <f t="shared" si="96"/>
        <v>Normal</v>
      </c>
      <c r="M981" s="2">
        <f t="shared" si="97"/>
        <v>91.75</v>
      </c>
      <c r="N981" s="1" t="str">
        <f t="shared" si="98"/>
        <v>Basah</v>
      </c>
      <c r="O981" t="str">
        <f t="shared" si="99"/>
        <v>Fuzzy</v>
      </c>
      <c r="P981" t="str">
        <f t="shared" si="100"/>
        <v>Fuzzy</v>
      </c>
    </row>
    <row r="982" spans="1:16" x14ac:dyDescent="0.35">
      <c r="A982" t="s">
        <v>985</v>
      </c>
      <c r="B982">
        <v>5195</v>
      </c>
      <c r="C982">
        <v>28</v>
      </c>
      <c r="D982">
        <v>70</v>
      </c>
      <c r="E982">
        <v>641</v>
      </c>
      <c r="F982">
        <v>4</v>
      </c>
      <c r="K982" s="1">
        <f t="shared" si="101"/>
        <v>641</v>
      </c>
      <c r="L982" s="1" t="str">
        <f t="shared" si="96"/>
        <v>Normal</v>
      </c>
      <c r="M982" s="2">
        <f t="shared" si="97"/>
        <v>85.25</v>
      </c>
      <c r="N982" s="1" t="str">
        <f t="shared" si="98"/>
        <v>Basah</v>
      </c>
      <c r="O982" t="str">
        <f t="shared" si="99"/>
        <v>Fuzzy</v>
      </c>
      <c r="P982" t="str">
        <f t="shared" si="100"/>
        <v>Fuzzy</v>
      </c>
    </row>
    <row r="983" spans="1:16" x14ac:dyDescent="0.35">
      <c r="A983" t="s">
        <v>986</v>
      </c>
      <c r="B983">
        <v>5196</v>
      </c>
      <c r="C983">
        <v>28</v>
      </c>
      <c r="D983">
        <v>70</v>
      </c>
      <c r="E983">
        <v>642</v>
      </c>
      <c r="F983">
        <v>4</v>
      </c>
      <c r="K983" s="1">
        <f t="shared" si="101"/>
        <v>642</v>
      </c>
      <c r="L983" s="1" t="str">
        <f t="shared" si="96"/>
        <v>Normal</v>
      </c>
      <c r="M983" s="2">
        <f t="shared" si="97"/>
        <v>85.5</v>
      </c>
      <c r="N983" s="1" t="str">
        <f t="shared" si="98"/>
        <v>Basah</v>
      </c>
      <c r="O983" t="str">
        <f t="shared" si="99"/>
        <v>Fuzzy</v>
      </c>
      <c r="P983" t="str">
        <f t="shared" si="100"/>
        <v>Fuzzy</v>
      </c>
    </row>
    <row r="984" spans="1:16" x14ac:dyDescent="0.35">
      <c r="A984" t="s">
        <v>987</v>
      </c>
      <c r="B984">
        <v>5197</v>
      </c>
      <c r="C984">
        <v>28</v>
      </c>
      <c r="D984">
        <v>70</v>
      </c>
      <c r="E984">
        <v>676</v>
      </c>
      <c r="F984">
        <v>4</v>
      </c>
      <c r="K984" s="1">
        <f t="shared" si="101"/>
        <v>676</v>
      </c>
      <c r="L984" s="1" t="str">
        <f t="shared" si="96"/>
        <v>Normal</v>
      </c>
      <c r="M984" s="2">
        <f t="shared" si="97"/>
        <v>94</v>
      </c>
      <c r="N984" s="1" t="str">
        <f t="shared" si="98"/>
        <v>Basah</v>
      </c>
      <c r="O984" t="str">
        <f t="shared" si="99"/>
        <v>Fuzzy</v>
      </c>
      <c r="P984" t="str">
        <f t="shared" si="100"/>
        <v>Fuzzy</v>
      </c>
    </row>
    <row r="985" spans="1:16" x14ac:dyDescent="0.35">
      <c r="A985" t="s">
        <v>988</v>
      </c>
      <c r="B985">
        <v>5198</v>
      </c>
      <c r="C985">
        <v>28</v>
      </c>
      <c r="D985">
        <v>70</v>
      </c>
      <c r="E985">
        <v>728</v>
      </c>
      <c r="F985">
        <v>4</v>
      </c>
      <c r="K985" s="1">
        <f t="shared" si="101"/>
        <v>728</v>
      </c>
      <c r="L985" s="1" t="str">
        <f t="shared" si="96"/>
        <v>Normal</v>
      </c>
      <c r="M985" s="2">
        <f t="shared" si="97"/>
        <v>8.6687306501547994</v>
      </c>
      <c r="N985" s="1" t="str">
        <f t="shared" si="98"/>
        <v>Kering</v>
      </c>
      <c r="O985" t="str">
        <f t="shared" si="99"/>
        <v>Fuzzy</v>
      </c>
      <c r="P985" t="str">
        <f t="shared" si="100"/>
        <v>Fuzzy</v>
      </c>
    </row>
    <row r="986" spans="1:16" x14ac:dyDescent="0.35">
      <c r="A986" t="s">
        <v>989</v>
      </c>
      <c r="B986">
        <v>5199</v>
      </c>
      <c r="C986">
        <v>28</v>
      </c>
      <c r="D986">
        <v>71</v>
      </c>
      <c r="E986">
        <v>712</v>
      </c>
      <c r="F986">
        <v>3</v>
      </c>
      <c r="K986" s="1">
        <f t="shared" si="101"/>
        <v>712</v>
      </c>
      <c r="L986" s="1" t="str">
        <f t="shared" si="96"/>
        <v>Normal</v>
      </c>
      <c r="M986" s="2">
        <f t="shared" si="97"/>
        <v>3.7151702786377707</v>
      </c>
      <c r="N986" s="1" t="str">
        <f t="shared" si="98"/>
        <v>Kering</v>
      </c>
      <c r="O986" t="str">
        <f t="shared" si="99"/>
        <v>Fuzzy</v>
      </c>
      <c r="P986" t="str">
        <f t="shared" si="100"/>
        <v>Fuzzy</v>
      </c>
    </row>
    <row r="987" spans="1:16" x14ac:dyDescent="0.35">
      <c r="A987" t="s">
        <v>990</v>
      </c>
      <c r="B987">
        <v>5200</v>
      </c>
      <c r="C987">
        <v>28</v>
      </c>
      <c r="D987">
        <v>71</v>
      </c>
      <c r="E987">
        <v>617</v>
      </c>
      <c r="F987">
        <v>4</v>
      </c>
      <c r="K987" s="1">
        <f t="shared" si="101"/>
        <v>617</v>
      </c>
      <c r="L987" s="1" t="str">
        <f t="shared" si="96"/>
        <v>Normal</v>
      </c>
      <c r="M987" s="2">
        <f t="shared" si="97"/>
        <v>79.25</v>
      </c>
      <c r="N987" s="1" t="str">
        <f t="shared" si="98"/>
        <v>Basah</v>
      </c>
      <c r="O987" t="str">
        <f t="shared" si="99"/>
        <v>Fuzzy</v>
      </c>
      <c r="P987" t="str">
        <f t="shared" si="100"/>
        <v>Fuzzy</v>
      </c>
    </row>
    <row r="988" spans="1:16" x14ac:dyDescent="0.35">
      <c r="A988" t="s">
        <v>991</v>
      </c>
      <c r="B988">
        <v>5201</v>
      </c>
      <c r="C988">
        <v>28</v>
      </c>
      <c r="D988">
        <v>71</v>
      </c>
      <c r="E988">
        <v>677</v>
      </c>
      <c r="F988">
        <v>4</v>
      </c>
      <c r="K988" s="1">
        <f t="shared" si="101"/>
        <v>677</v>
      </c>
      <c r="L988" s="1" t="str">
        <f t="shared" si="96"/>
        <v>Normal</v>
      </c>
      <c r="M988" s="2">
        <f t="shared" si="97"/>
        <v>94.25</v>
      </c>
      <c r="N988" s="1" t="str">
        <f t="shared" si="98"/>
        <v>Basah</v>
      </c>
      <c r="O988" t="str">
        <f t="shared" si="99"/>
        <v>Fuzzy</v>
      </c>
      <c r="P988" t="str">
        <f t="shared" si="100"/>
        <v>Fuzzy</v>
      </c>
    </row>
    <row r="989" spans="1:16" x14ac:dyDescent="0.35">
      <c r="A989" t="s">
        <v>992</v>
      </c>
      <c r="B989">
        <v>5202</v>
      </c>
      <c r="C989">
        <v>28</v>
      </c>
      <c r="D989">
        <v>71</v>
      </c>
      <c r="E989">
        <v>659</v>
      </c>
      <c r="F989">
        <v>4</v>
      </c>
      <c r="K989" s="1">
        <f t="shared" si="101"/>
        <v>659</v>
      </c>
      <c r="L989" s="1" t="str">
        <f t="shared" si="96"/>
        <v>Normal</v>
      </c>
      <c r="M989" s="2">
        <f t="shared" si="97"/>
        <v>89.75</v>
      </c>
      <c r="N989" s="1" t="str">
        <f t="shared" si="98"/>
        <v>Basah</v>
      </c>
      <c r="O989" t="str">
        <f t="shared" si="99"/>
        <v>Fuzzy</v>
      </c>
      <c r="P989" t="str">
        <f t="shared" si="100"/>
        <v>Fuzzy</v>
      </c>
    </row>
    <row r="990" spans="1:16" x14ac:dyDescent="0.35">
      <c r="A990" t="s">
        <v>993</v>
      </c>
      <c r="B990">
        <v>5203</v>
      </c>
      <c r="C990">
        <v>28</v>
      </c>
      <c r="D990">
        <v>70</v>
      </c>
      <c r="E990">
        <v>660</v>
      </c>
      <c r="F990">
        <v>4</v>
      </c>
      <c r="K990" s="1">
        <f t="shared" si="101"/>
        <v>660</v>
      </c>
      <c r="L990" s="1" t="str">
        <f t="shared" si="96"/>
        <v>Normal</v>
      </c>
      <c r="M990" s="2">
        <f t="shared" si="97"/>
        <v>90</v>
      </c>
      <c r="N990" s="1" t="str">
        <f t="shared" si="98"/>
        <v>Basah</v>
      </c>
      <c r="O990" t="str">
        <f t="shared" si="99"/>
        <v>Fuzzy</v>
      </c>
      <c r="P990" t="str">
        <f t="shared" si="100"/>
        <v>Fuzzy</v>
      </c>
    </row>
    <row r="991" spans="1:16" x14ac:dyDescent="0.35">
      <c r="A991" t="s">
        <v>994</v>
      </c>
      <c r="B991">
        <v>5204</v>
      </c>
      <c r="C991">
        <v>28</v>
      </c>
      <c r="D991">
        <v>70</v>
      </c>
      <c r="E991">
        <v>548</v>
      </c>
      <c r="F991">
        <v>4</v>
      </c>
      <c r="K991" s="1">
        <f t="shared" si="101"/>
        <v>548</v>
      </c>
      <c r="L991" s="1" t="str">
        <f t="shared" si="96"/>
        <v>Normal</v>
      </c>
      <c r="M991" s="2">
        <f t="shared" si="97"/>
        <v>62</v>
      </c>
      <c r="N991" s="1" t="str">
        <f t="shared" si="98"/>
        <v>Lembab</v>
      </c>
      <c r="O991" t="str">
        <f t="shared" si="99"/>
        <v>Fuzzy</v>
      </c>
      <c r="P991" t="str">
        <f t="shared" si="100"/>
        <v>Fuzzy</v>
      </c>
    </row>
    <row r="992" spans="1:16" x14ac:dyDescent="0.35">
      <c r="A992" t="s">
        <v>995</v>
      </c>
      <c r="B992">
        <v>5205</v>
      </c>
      <c r="C992">
        <v>28</v>
      </c>
      <c r="D992">
        <v>71</v>
      </c>
      <c r="E992">
        <v>694</v>
      </c>
      <c r="F992">
        <v>4</v>
      </c>
      <c r="K992" s="1">
        <f t="shared" si="101"/>
        <v>694</v>
      </c>
      <c r="L992" s="1" t="str">
        <f t="shared" si="96"/>
        <v>Normal</v>
      </c>
      <c r="M992" s="2">
        <f t="shared" si="97"/>
        <v>98.5</v>
      </c>
      <c r="N992" s="1" t="str">
        <f t="shared" si="98"/>
        <v>Basah</v>
      </c>
      <c r="O992" t="str">
        <f t="shared" si="99"/>
        <v>Fuzzy</v>
      </c>
      <c r="P992" t="str">
        <f t="shared" si="100"/>
        <v>Fuzzy</v>
      </c>
    </row>
    <row r="993" spans="1:16" x14ac:dyDescent="0.35">
      <c r="A993" t="s">
        <v>996</v>
      </c>
      <c r="B993">
        <v>5206</v>
      </c>
      <c r="C993">
        <v>28</v>
      </c>
      <c r="D993">
        <v>71</v>
      </c>
      <c r="E993">
        <v>662</v>
      </c>
      <c r="F993">
        <v>4</v>
      </c>
      <c r="K993" s="1">
        <f t="shared" si="101"/>
        <v>662</v>
      </c>
      <c r="L993" s="1" t="str">
        <f t="shared" si="96"/>
        <v>Normal</v>
      </c>
      <c r="M993" s="2">
        <f t="shared" si="97"/>
        <v>90.5</v>
      </c>
      <c r="N993" s="1" t="str">
        <f t="shared" si="98"/>
        <v>Basah</v>
      </c>
      <c r="O993" t="str">
        <f t="shared" si="99"/>
        <v>Fuzzy</v>
      </c>
      <c r="P993" t="str">
        <f t="shared" si="100"/>
        <v>Fuzzy</v>
      </c>
    </row>
    <row r="994" spans="1:16" x14ac:dyDescent="0.35">
      <c r="A994" t="s">
        <v>997</v>
      </c>
      <c r="B994">
        <v>5207</v>
      </c>
      <c r="C994">
        <v>28</v>
      </c>
      <c r="D994">
        <v>70</v>
      </c>
      <c r="E994">
        <v>642</v>
      </c>
      <c r="F994">
        <v>4</v>
      </c>
      <c r="K994" s="1">
        <f t="shared" si="101"/>
        <v>642</v>
      </c>
      <c r="L994" s="1" t="str">
        <f t="shared" si="96"/>
        <v>Normal</v>
      </c>
      <c r="M994" s="2">
        <f t="shared" si="97"/>
        <v>85.5</v>
      </c>
      <c r="N994" s="1" t="str">
        <f t="shared" si="98"/>
        <v>Basah</v>
      </c>
      <c r="O994" t="str">
        <f t="shared" si="99"/>
        <v>Fuzzy</v>
      </c>
      <c r="P994" t="str">
        <f t="shared" si="100"/>
        <v>Fuzzy</v>
      </c>
    </row>
    <row r="995" spans="1:16" x14ac:dyDescent="0.35">
      <c r="A995" t="s">
        <v>998</v>
      </c>
      <c r="B995">
        <v>5208</v>
      </c>
      <c r="C995">
        <v>28</v>
      </c>
      <c r="D995">
        <v>70</v>
      </c>
      <c r="E995">
        <v>907</v>
      </c>
      <c r="F995">
        <v>4</v>
      </c>
      <c r="K995" s="1">
        <f t="shared" si="101"/>
        <v>907</v>
      </c>
      <c r="L995" s="1" t="str">
        <f t="shared" si="96"/>
        <v>Normal</v>
      </c>
      <c r="M995" s="2">
        <f t="shared" si="97"/>
        <v>64.086687306501545</v>
      </c>
      <c r="N995" s="1" t="str">
        <f t="shared" si="98"/>
        <v>Lembab</v>
      </c>
      <c r="O995" t="str">
        <f t="shared" si="99"/>
        <v>Fuzzy</v>
      </c>
      <c r="P995" t="str">
        <f t="shared" si="100"/>
        <v>Fuzzy</v>
      </c>
    </row>
    <row r="996" spans="1:16" x14ac:dyDescent="0.35">
      <c r="A996" t="s">
        <v>999</v>
      </c>
      <c r="B996">
        <v>5209</v>
      </c>
      <c r="C996">
        <v>28</v>
      </c>
      <c r="D996">
        <v>70</v>
      </c>
      <c r="E996">
        <v>595</v>
      </c>
      <c r="F996">
        <v>4</v>
      </c>
      <c r="K996" s="1">
        <f t="shared" si="101"/>
        <v>595</v>
      </c>
      <c r="L996" s="1" t="str">
        <f t="shared" si="96"/>
        <v>Normal</v>
      </c>
      <c r="M996" s="2">
        <f t="shared" si="97"/>
        <v>73.75</v>
      </c>
      <c r="N996" s="1" t="str">
        <f t="shared" si="98"/>
        <v>Basah</v>
      </c>
      <c r="O996" t="str">
        <f t="shared" si="99"/>
        <v>Fuzzy</v>
      </c>
      <c r="P996" t="str">
        <f t="shared" si="100"/>
        <v>Fuzzy</v>
      </c>
    </row>
    <row r="997" spans="1:16" x14ac:dyDescent="0.35">
      <c r="A997" t="s">
        <v>1000</v>
      </c>
      <c r="B997">
        <v>5210</v>
      </c>
      <c r="C997">
        <v>28</v>
      </c>
      <c r="D997">
        <v>70</v>
      </c>
      <c r="E997">
        <v>652</v>
      </c>
      <c r="F997">
        <v>4</v>
      </c>
      <c r="K997" s="1">
        <f t="shared" si="101"/>
        <v>652</v>
      </c>
      <c r="L997" s="1" t="str">
        <f t="shared" si="96"/>
        <v>Normal</v>
      </c>
      <c r="M997" s="2">
        <f t="shared" si="97"/>
        <v>88</v>
      </c>
      <c r="N997" s="1" t="str">
        <f t="shared" si="98"/>
        <v>Basah</v>
      </c>
      <c r="O997" t="str">
        <f t="shared" si="99"/>
        <v>Fuzzy</v>
      </c>
      <c r="P997" t="str">
        <f t="shared" si="100"/>
        <v>Fuzzy</v>
      </c>
    </row>
    <row r="998" spans="1:16" x14ac:dyDescent="0.35">
      <c r="A998" t="s">
        <v>1001</v>
      </c>
      <c r="B998">
        <v>5211</v>
      </c>
      <c r="C998">
        <v>28</v>
      </c>
      <c r="D998">
        <v>70</v>
      </c>
      <c r="E998">
        <v>659</v>
      </c>
      <c r="F998">
        <v>4</v>
      </c>
      <c r="K998" s="1">
        <f t="shared" si="101"/>
        <v>659</v>
      </c>
      <c r="L998" s="1" t="str">
        <f t="shared" si="96"/>
        <v>Normal</v>
      </c>
      <c r="M998" s="2">
        <f t="shared" si="97"/>
        <v>89.75</v>
      </c>
      <c r="N998" s="1" t="str">
        <f t="shared" si="98"/>
        <v>Basah</v>
      </c>
      <c r="O998" t="str">
        <f t="shared" si="99"/>
        <v>Fuzzy</v>
      </c>
      <c r="P998" t="str">
        <f t="shared" si="100"/>
        <v>Fuzzy</v>
      </c>
    </row>
    <row r="999" spans="1:16" x14ac:dyDescent="0.35">
      <c r="A999" t="s">
        <v>1002</v>
      </c>
      <c r="B999">
        <v>5212</v>
      </c>
      <c r="C999">
        <v>28</v>
      </c>
      <c r="D999">
        <v>69</v>
      </c>
      <c r="E999">
        <v>650</v>
      </c>
      <c r="F999">
        <v>4</v>
      </c>
      <c r="K999" s="1">
        <f t="shared" si="101"/>
        <v>650</v>
      </c>
      <c r="L999" s="1" t="str">
        <f t="shared" si="96"/>
        <v>Normal</v>
      </c>
      <c r="M999" s="2">
        <f t="shared" si="97"/>
        <v>87.5</v>
      </c>
      <c r="N999" s="1" t="str">
        <f t="shared" si="98"/>
        <v>Basah</v>
      </c>
      <c r="O999" t="str">
        <f t="shared" si="99"/>
        <v>Fuzzy</v>
      </c>
      <c r="P999" t="str">
        <f t="shared" si="100"/>
        <v>Fuzzy</v>
      </c>
    </row>
    <row r="1000" spans="1:16" x14ac:dyDescent="0.35">
      <c r="A1000" t="s">
        <v>1003</v>
      </c>
      <c r="B1000">
        <v>5213</v>
      </c>
      <c r="C1000">
        <v>28</v>
      </c>
      <c r="D1000">
        <v>68</v>
      </c>
      <c r="E1000">
        <v>650</v>
      </c>
      <c r="F1000">
        <v>4</v>
      </c>
      <c r="K1000" s="1">
        <f t="shared" si="101"/>
        <v>650</v>
      </c>
      <c r="L1000" s="1" t="str">
        <f t="shared" si="96"/>
        <v>Normal</v>
      </c>
      <c r="M1000" s="2">
        <f t="shared" si="97"/>
        <v>87.5</v>
      </c>
      <c r="N1000" s="1" t="str">
        <f t="shared" si="98"/>
        <v>Basah</v>
      </c>
      <c r="O1000" t="str">
        <f t="shared" si="99"/>
        <v>Fuzzy</v>
      </c>
      <c r="P1000" t="str">
        <f t="shared" si="100"/>
        <v>Fuzzy</v>
      </c>
    </row>
    <row r="1001" spans="1:16" x14ac:dyDescent="0.35">
      <c r="A1001" t="s">
        <v>1004</v>
      </c>
      <c r="B1001">
        <v>5214</v>
      </c>
      <c r="C1001">
        <v>28</v>
      </c>
      <c r="D1001">
        <v>67</v>
      </c>
      <c r="E1001">
        <v>563</v>
      </c>
      <c r="F1001">
        <v>4</v>
      </c>
      <c r="K1001" s="1">
        <f t="shared" si="101"/>
        <v>563</v>
      </c>
      <c r="L1001" s="1" t="str">
        <f t="shared" si="96"/>
        <v>Normal</v>
      </c>
      <c r="M1001" s="2">
        <f t="shared" si="97"/>
        <v>65.75</v>
      </c>
      <c r="N1001" s="1" t="str">
        <f t="shared" si="98"/>
        <v>Lembab</v>
      </c>
      <c r="O1001" t="str">
        <f t="shared" si="99"/>
        <v>Fuzzy</v>
      </c>
      <c r="P1001" t="str">
        <f t="shared" si="100"/>
        <v>Fuzzy</v>
      </c>
    </row>
    <row r="1002" spans="1:16" x14ac:dyDescent="0.35">
      <c r="A1002" t="s">
        <v>1005</v>
      </c>
      <c r="B1002">
        <v>5215</v>
      </c>
      <c r="C1002">
        <v>28</v>
      </c>
      <c r="D1002">
        <v>67</v>
      </c>
      <c r="E1002">
        <v>644</v>
      </c>
      <c r="F1002">
        <v>3</v>
      </c>
      <c r="K1002" s="1">
        <f t="shared" si="101"/>
        <v>644</v>
      </c>
      <c r="L1002" s="1" t="str">
        <f t="shared" si="96"/>
        <v>Normal</v>
      </c>
      <c r="M1002" s="2">
        <f t="shared" si="97"/>
        <v>86</v>
      </c>
      <c r="N1002" s="1" t="str">
        <f t="shared" si="98"/>
        <v>Basah</v>
      </c>
      <c r="O1002" t="str">
        <f t="shared" si="99"/>
        <v>Fuzzy</v>
      </c>
      <c r="P1002" t="str">
        <f t="shared" si="100"/>
        <v>Fuzzy</v>
      </c>
    </row>
    <row r="1003" spans="1:16" x14ac:dyDescent="0.35">
      <c r="A1003" t="s">
        <v>1006</v>
      </c>
      <c r="B1003">
        <v>5216</v>
      </c>
      <c r="C1003">
        <v>28</v>
      </c>
      <c r="D1003">
        <v>68</v>
      </c>
      <c r="E1003">
        <v>613</v>
      </c>
      <c r="F1003">
        <v>4</v>
      </c>
      <c r="K1003" s="1">
        <f t="shared" si="101"/>
        <v>613</v>
      </c>
      <c r="L1003" s="1" t="str">
        <f t="shared" si="96"/>
        <v>Normal</v>
      </c>
      <c r="M1003" s="2">
        <f t="shared" si="97"/>
        <v>78.25</v>
      </c>
      <c r="N1003" s="1" t="str">
        <f t="shared" si="98"/>
        <v>Basah</v>
      </c>
      <c r="O1003" t="str">
        <f t="shared" si="99"/>
        <v>Fuzzy</v>
      </c>
      <c r="P1003" t="str">
        <f t="shared" si="100"/>
        <v>Fuzzy</v>
      </c>
    </row>
    <row r="1004" spans="1:16" x14ac:dyDescent="0.35">
      <c r="A1004" t="s">
        <v>1007</v>
      </c>
      <c r="B1004">
        <v>5217</v>
      </c>
      <c r="C1004">
        <v>28</v>
      </c>
      <c r="D1004">
        <v>68</v>
      </c>
      <c r="E1004">
        <v>636</v>
      </c>
      <c r="F1004">
        <v>4</v>
      </c>
      <c r="K1004" s="1">
        <f t="shared" si="101"/>
        <v>636</v>
      </c>
      <c r="L1004" s="1" t="str">
        <f t="shared" si="96"/>
        <v>Normal</v>
      </c>
      <c r="M1004" s="2">
        <f t="shared" si="97"/>
        <v>84</v>
      </c>
      <c r="N1004" s="1" t="str">
        <f t="shared" si="98"/>
        <v>Basah</v>
      </c>
      <c r="O1004" t="str">
        <f t="shared" si="99"/>
        <v>Fuzzy</v>
      </c>
      <c r="P1004" t="str">
        <f t="shared" si="100"/>
        <v>Fuzzy</v>
      </c>
    </row>
    <row r="1005" spans="1:16" x14ac:dyDescent="0.35">
      <c r="A1005" t="s">
        <v>1008</v>
      </c>
      <c r="B1005">
        <v>5218</v>
      </c>
      <c r="C1005">
        <v>28</v>
      </c>
      <c r="D1005">
        <v>68</v>
      </c>
      <c r="E1005">
        <v>638</v>
      </c>
      <c r="F1005">
        <v>4</v>
      </c>
      <c r="K1005" s="1">
        <f t="shared" si="101"/>
        <v>638</v>
      </c>
      <c r="L1005" s="1" t="str">
        <f t="shared" si="96"/>
        <v>Normal</v>
      </c>
      <c r="M1005" s="2">
        <f t="shared" si="97"/>
        <v>84.5</v>
      </c>
      <c r="N1005" s="1" t="str">
        <f t="shared" si="98"/>
        <v>Basah</v>
      </c>
      <c r="O1005" t="str">
        <f t="shared" si="99"/>
        <v>Fuzzy</v>
      </c>
      <c r="P1005" t="str">
        <f t="shared" si="100"/>
        <v>Fuzzy</v>
      </c>
    </row>
    <row r="1006" spans="1:16" x14ac:dyDescent="0.35">
      <c r="A1006" t="s">
        <v>1009</v>
      </c>
      <c r="B1006">
        <v>5219</v>
      </c>
      <c r="C1006">
        <v>28</v>
      </c>
      <c r="D1006">
        <v>69</v>
      </c>
      <c r="E1006">
        <v>658</v>
      </c>
      <c r="F1006">
        <v>4</v>
      </c>
      <c r="K1006" s="1">
        <f t="shared" si="101"/>
        <v>658</v>
      </c>
      <c r="L1006" s="1" t="str">
        <f t="shared" si="96"/>
        <v>Normal</v>
      </c>
      <c r="M1006" s="2">
        <f t="shared" si="97"/>
        <v>89.5</v>
      </c>
      <c r="N1006" s="1" t="str">
        <f t="shared" si="98"/>
        <v>Basah</v>
      </c>
      <c r="O1006" t="str">
        <f t="shared" si="99"/>
        <v>Fuzzy</v>
      </c>
      <c r="P1006" t="str">
        <f t="shared" si="100"/>
        <v>Fuzzy</v>
      </c>
    </row>
    <row r="1007" spans="1:16" x14ac:dyDescent="0.35">
      <c r="A1007" t="s">
        <v>1010</v>
      </c>
      <c r="B1007">
        <v>5220</v>
      </c>
      <c r="C1007">
        <v>28</v>
      </c>
      <c r="D1007">
        <v>70</v>
      </c>
      <c r="E1007">
        <v>663</v>
      </c>
      <c r="F1007">
        <v>4</v>
      </c>
      <c r="K1007" s="1">
        <f t="shared" si="101"/>
        <v>663</v>
      </c>
      <c r="L1007" s="1" t="str">
        <f t="shared" si="96"/>
        <v>Normal</v>
      </c>
      <c r="M1007" s="2">
        <f t="shared" si="97"/>
        <v>90.75</v>
      </c>
      <c r="N1007" s="1" t="str">
        <f t="shared" si="98"/>
        <v>Basah</v>
      </c>
      <c r="O1007" t="str">
        <f t="shared" si="99"/>
        <v>Fuzzy</v>
      </c>
      <c r="P1007" t="str">
        <f t="shared" si="100"/>
        <v>Fuzzy</v>
      </c>
    </row>
    <row r="1008" spans="1:16" x14ac:dyDescent="0.35">
      <c r="A1008" t="s">
        <v>1011</v>
      </c>
      <c r="B1008">
        <v>5221</v>
      </c>
      <c r="C1008">
        <v>28</v>
      </c>
      <c r="D1008">
        <v>71</v>
      </c>
      <c r="E1008">
        <v>646</v>
      </c>
      <c r="F1008">
        <v>4</v>
      </c>
      <c r="K1008" s="1">
        <f t="shared" si="101"/>
        <v>646</v>
      </c>
      <c r="L1008" s="1" t="str">
        <f t="shared" si="96"/>
        <v>Normal</v>
      </c>
      <c r="M1008" s="2">
        <f t="shared" si="97"/>
        <v>86.5</v>
      </c>
      <c r="N1008" s="1" t="str">
        <f t="shared" si="98"/>
        <v>Basah</v>
      </c>
      <c r="O1008" t="str">
        <f t="shared" si="99"/>
        <v>Fuzzy</v>
      </c>
      <c r="P1008" t="str">
        <f t="shared" si="100"/>
        <v>Fuzzy</v>
      </c>
    </row>
    <row r="1009" spans="1:16" x14ac:dyDescent="0.35">
      <c r="A1009" t="s">
        <v>1012</v>
      </c>
      <c r="B1009">
        <v>5222</v>
      </c>
      <c r="C1009">
        <v>28</v>
      </c>
      <c r="D1009">
        <v>70</v>
      </c>
      <c r="E1009">
        <v>604</v>
      </c>
      <c r="F1009">
        <v>4</v>
      </c>
      <c r="K1009" s="1">
        <f t="shared" si="101"/>
        <v>604</v>
      </c>
      <c r="L1009" s="1" t="str">
        <f t="shared" si="96"/>
        <v>Normal</v>
      </c>
      <c r="M1009" s="2">
        <f t="shared" si="97"/>
        <v>76</v>
      </c>
      <c r="N1009" s="1" t="str">
        <f t="shared" si="98"/>
        <v>Basah</v>
      </c>
      <c r="O1009" t="str">
        <f t="shared" si="99"/>
        <v>Fuzzy</v>
      </c>
      <c r="P1009" t="str">
        <f t="shared" si="100"/>
        <v>Fuzzy</v>
      </c>
    </row>
    <row r="1010" spans="1:16" x14ac:dyDescent="0.35">
      <c r="A1010" t="s">
        <v>1013</v>
      </c>
      <c r="B1010">
        <v>5223</v>
      </c>
      <c r="C1010">
        <v>28</v>
      </c>
      <c r="D1010">
        <v>71</v>
      </c>
      <c r="E1010">
        <v>443</v>
      </c>
      <c r="F1010">
        <v>4</v>
      </c>
      <c r="K1010" s="1">
        <f t="shared" si="101"/>
        <v>443</v>
      </c>
      <c r="L1010" s="1" t="str">
        <f t="shared" si="96"/>
        <v>Normal</v>
      </c>
      <c r="M1010" s="2">
        <f t="shared" si="97"/>
        <v>35.75</v>
      </c>
      <c r="N1010" s="1" t="str">
        <f t="shared" si="98"/>
        <v>Lembab</v>
      </c>
      <c r="O1010" t="str">
        <f t="shared" si="99"/>
        <v>Fuzzy</v>
      </c>
      <c r="P1010" t="str">
        <f t="shared" si="100"/>
        <v>Fuzzy</v>
      </c>
    </row>
    <row r="1011" spans="1:16" x14ac:dyDescent="0.35">
      <c r="A1011" t="s">
        <v>1014</v>
      </c>
      <c r="B1011">
        <v>5224</v>
      </c>
      <c r="C1011">
        <v>28</v>
      </c>
      <c r="D1011">
        <v>70</v>
      </c>
      <c r="E1011">
        <v>672</v>
      </c>
      <c r="F1011">
        <v>4</v>
      </c>
      <c r="K1011" s="1">
        <f t="shared" si="101"/>
        <v>672</v>
      </c>
      <c r="L1011" s="1" t="str">
        <f t="shared" si="96"/>
        <v>Normal</v>
      </c>
      <c r="M1011" s="2">
        <f t="shared" si="97"/>
        <v>93</v>
      </c>
      <c r="N1011" s="1" t="str">
        <f t="shared" si="98"/>
        <v>Basah</v>
      </c>
      <c r="O1011" t="str">
        <f t="shared" si="99"/>
        <v>Fuzzy</v>
      </c>
      <c r="P1011" t="str">
        <f t="shared" si="100"/>
        <v>Fuzzy</v>
      </c>
    </row>
    <row r="1012" spans="1:16" x14ac:dyDescent="0.35">
      <c r="A1012" t="s">
        <v>1015</v>
      </c>
      <c r="B1012">
        <v>5225</v>
      </c>
      <c r="C1012">
        <v>28</v>
      </c>
      <c r="D1012">
        <v>71</v>
      </c>
      <c r="E1012">
        <v>686</v>
      </c>
      <c r="F1012">
        <v>3</v>
      </c>
      <c r="K1012" s="1">
        <f t="shared" si="101"/>
        <v>686</v>
      </c>
      <c r="L1012" s="1" t="str">
        <f t="shared" si="96"/>
        <v>Normal</v>
      </c>
      <c r="M1012" s="2">
        <f t="shared" si="97"/>
        <v>96.5</v>
      </c>
      <c r="N1012" s="1" t="str">
        <f t="shared" si="98"/>
        <v>Basah</v>
      </c>
      <c r="O1012" t="str">
        <f t="shared" si="99"/>
        <v>Fuzzy</v>
      </c>
      <c r="P1012" t="str">
        <f t="shared" si="100"/>
        <v>Fuzzy</v>
      </c>
    </row>
    <row r="1013" spans="1:16" x14ac:dyDescent="0.35">
      <c r="A1013" t="s">
        <v>1016</v>
      </c>
      <c r="B1013">
        <v>5226</v>
      </c>
      <c r="C1013">
        <v>28</v>
      </c>
      <c r="D1013">
        <v>71</v>
      </c>
      <c r="E1013">
        <v>622</v>
      </c>
      <c r="F1013">
        <v>3</v>
      </c>
      <c r="K1013" s="1">
        <f t="shared" si="101"/>
        <v>622</v>
      </c>
      <c r="L1013" s="1" t="str">
        <f t="shared" si="96"/>
        <v>Normal</v>
      </c>
      <c r="M1013" s="2">
        <f t="shared" si="97"/>
        <v>80.5</v>
      </c>
      <c r="N1013" s="1" t="str">
        <f t="shared" si="98"/>
        <v>Basah</v>
      </c>
      <c r="O1013" t="str">
        <f t="shared" si="99"/>
        <v>Fuzzy</v>
      </c>
      <c r="P1013" t="str">
        <f t="shared" si="100"/>
        <v>Fuzzy</v>
      </c>
    </row>
    <row r="1014" spans="1:16" x14ac:dyDescent="0.35">
      <c r="A1014" t="s">
        <v>1017</v>
      </c>
      <c r="B1014">
        <v>5227</v>
      </c>
      <c r="C1014">
        <v>28</v>
      </c>
      <c r="D1014">
        <v>71</v>
      </c>
      <c r="E1014">
        <v>642</v>
      </c>
      <c r="F1014">
        <v>4</v>
      </c>
      <c r="K1014" s="1">
        <f t="shared" si="101"/>
        <v>642</v>
      </c>
      <c r="L1014" s="1" t="str">
        <f t="shared" si="96"/>
        <v>Normal</v>
      </c>
      <c r="M1014" s="2">
        <f t="shared" si="97"/>
        <v>85.5</v>
      </c>
      <c r="N1014" s="1" t="str">
        <f t="shared" si="98"/>
        <v>Basah</v>
      </c>
      <c r="O1014" t="str">
        <f t="shared" si="99"/>
        <v>Fuzzy</v>
      </c>
      <c r="P1014" t="str">
        <f t="shared" si="100"/>
        <v>Fuzzy</v>
      </c>
    </row>
    <row r="1015" spans="1:16" x14ac:dyDescent="0.35">
      <c r="A1015" t="s">
        <v>1018</v>
      </c>
      <c r="B1015">
        <v>5228</v>
      </c>
      <c r="C1015">
        <v>28</v>
      </c>
      <c r="D1015">
        <v>71</v>
      </c>
      <c r="E1015">
        <v>631</v>
      </c>
      <c r="F1015">
        <v>4</v>
      </c>
      <c r="K1015" s="1">
        <f t="shared" si="101"/>
        <v>631</v>
      </c>
      <c r="L1015" s="1" t="str">
        <f t="shared" si="96"/>
        <v>Normal</v>
      </c>
      <c r="M1015" s="2">
        <f t="shared" si="97"/>
        <v>82.75</v>
      </c>
      <c r="N1015" s="1" t="str">
        <f t="shared" si="98"/>
        <v>Basah</v>
      </c>
      <c r="O1015" t="str">
        <f t="shared" si="99"/>
        <v>Fuzzy</v>
      </c>
      <c r="P1015" t="str">
        <f t="shared" si="100"/>
        <v>Fuzzy</v>
      </c>
    </row>
    <row r="1016" spans="1:16" x14ac:dyDescent="0.35">
      <c r="A1016" t="s">
        <v>1019</v>
      </c>
      <c r="B1016">
        <v>5229</v>
      </c>
      <c r="C1016">
        <v>28</v>
      </c>
      <c r="D1016">
        <v>70</v>
      </c>
      <c r="E1016">
        <v>697</v>
      </c>
      <c r="F1016">
        <v>3</v>
      </c>
      <c r="K1016" s="1">
        <f t="shared" si="101"/>
        <v>697</v>
      </c>
      <c r="L1016" s="1" t="str">
        <f t="shared" si="96"/>
        <v>Normal</v>
      </c>
      <c r="M1016" s="2">
        <f t="shared" si="97"/>
        <v>99.25</v>
      </c>
      <c r="N1016" s="1" t="str">
        <f t="shared" si="98"/>
        <v>Basah</v>
      </c>
      <c r="O1016" t="str">
        <f t="shared" si="99"/>
        <v>Fuzzy</v>
      </c>
      <c r="P1016" t="str">
        <f t="shared" si="100"/>
        <v>Fuzzy</v>
      </c>
    </row>
    <row r="1017" spans="1:16" x14ac:dyDescent="0.35">
      <c r="A1017" t="s">
        <v>1020</v>
      </c>
      <c r="B1017">
        <v>5230</v>
      </c>
      <c r="C1017">
        <v>28</v>
      </c>
      <c r="D1017">
        <v>70</v>
      </c>
      <c r="E1017">
        <v>570</v>
      </c>
      <c r="F1017">
        <v>4</v>
      </c>
      <c r="K1017" s="1">
        <f t="shared" si="101"/>
        <v>570</v>
      </c>
      <c r="L1017" s="1" t="str">
        <f t="shared" si="96"/>
        <v>Normal</v>
      </c>
      <c r="M1017" s="2">
        <f t="shared" si="97"/>
        <v>67.5</v>
      </c>
      <c r="N1017" s="1" t="str">
        <f t="shared" si="98"/>
        <v>Lembab</v>
      </c>
      <c r="O1017" t="str">
        <f t="shared" si="99"/>
        <v>Fuzzy</v>
      </c>
      <c r="P1017" t="str">
        <f t="shared" si="100"/>
        <v>Fuzzy</v>
      </c>
    </row>
    <row r="1018" spans="1:16" x14ac:dyDescent="0.35">
      <c r="A1018" t="s">
        <v>1021</v>
      </c>
      <c r="B1018">
        <v>5231</v>
      </c>
      <c r="C1018">
        <v>28</v>
      </c>
      <c r="D1018">
        <v>70</v>
      </c>
      <c r="E1018">
        <v>528</v>
      </c>
      <c r="F1018">
        <v>4</v>
      </c>
      <c r="K1018" s="1">
        <f t="shared" si="101"/>
        <v>528</v>
      </c>
      <c r="L1018" s="1" t="str">
        <f t="shared" si="96"/>
        <v>Normal</v>
      </c>
      <c r="M1018" s="2">
        <f t="shared" si="97"/>
        <v>56.999999999999993</v>
      </c>
      <c r="N1018" s="1" t="str">
        <f t="shared" si="98"/>
        <v>Lembab</v>
      </c>
      <c r="O1018" t="str">
        <f t="shared" si="99"/>
        <v>Fuzzy</v>
      </c>
      <c r="P1018" t="str">
        <f t="shared" si="100"/>
        <v>Fuzzy</v>
      </c>
    </row>
    <row r="1019" spans="1:16" x14ac:dyDescent="0.35">
      <c r="A1019" t="s">
        <v>1022</v>
      </c>
      <c r="B1019">
        <v>5232</v>
      </c>
      <c r="C1019">
        <v>28</v>
      </c>
      <c r="D1019">
        <v>70</v>
      </c>
      <c r="E1019">
        <v>613</v>
      </c>
      <c r="F1019">
        <v>4</v>
      </c>
      <c r="K1019" s="1">
        <f t="shared" si="101"/>
        <v>613</v>
      </c>
      <c r="L1019" s="1" t="str">
        <f t="shared" si="96"/>
        <v>Normal</v>
      </c>
      <c r="M1019" s="2">
        <f t="shared" si="97"/>
        <v>78.25</v>
      </c>
      <c r="N1019" s="1" t="str">
        <f t="shared" si="98"/>
        <v>Basah</v>
      </c>
      <c r="O1019" t="str">
        <f t="shared" si="99"/>
        <v>Fuzzy</v>
      </c>
      <c r="P1019" t="str">
        <f t="shared" si="100"/>
        <v>Fuzzy</v>
      </c>
    </row>
    <row r="1020" spans="1:16" x14ac:dyDescent="0.35">
      <c r="A1020" t="s">
        <v>1023</v>
      </c>
      <c r="B1020">
        <v>5233</v>
      </c>
      <c r="C1020">
        <v>28</v>
      </c>
      <c r="D1020">
        <v>70</v>
      </c>
      <c r="E1020">
        <v>604</v>
      </c>
      <c r="F1020">
        <v>4</v>
      </c>
      <c r="K1020" s="1">
        <f t="shared" si="101"/>
        <v>604</v>
      </c>
      <c r="L1020" s="1" t="str">
        <f t="shared" si="96"/>
        <v>Normal</v>
      </c>
      <c r="M1020" s="2">
        <f t="shared" si="97"/>
        <v>76</v>
      </c>
      <c r="N1020" s="1" t="str">
        <f t="shared" si="98"/>
        <v>Basah</v>
      </c>
      <c r="O1020" t="str">
        <f t="shared" si="99"/>
        <v>Fuzzy</v>
      </c>
      <c r="P1020" t="str">
        <f t="shared" si="100"/>
        <v>Fuzzy</v>
      </c>
    </row>
    <row r="1021" spans="1:16" x14ac:dyDescent="0.35">
      <c r="A1021" t="s">
        <v>1024</v>
      </c>
      <c r="B1021">
        <v>5234</v>
      </c>
      <c r="C1021">
        <v>28</v>
      </c>
      <c r="D1021">
        <v>70</v>
      </c>
      <c r="E1021">
        <v>575</v>
      </c>
      <c r="F1021">
        <v>4</v>
      </c>
      <c r="K1021" s="1">
        <f t="shared" si="101"/>
        <v>575</v>
      </c>
      <c r="L1021" s="1" t="str">
        <f t="shared" si="96"/>
        <v>Normal</v>
      </c>
      <c r="M1021" s="2">
        <f t="shared" si="97"/>
        <v>68.75</v>
      </c>
      <c r="N1021" s="1" t="str">
        <f t="shared" si="98"/>
        <v>Basah</v>
      </c>
      <c r="O1021" t="str">
        <f t="shared" si="99"/>
        <v>Fuzzy</v>
      </c>
      <c r="P1021" t="str">
        <f t="shared" si="100"/>
        <v>Fuzzy</v>
      </c>
    </row>
    <row r="1022" spans="1:16" x14ac:dyDescent="0.35">
      <c r="A1022" t="s">
        <v>1025</v>
      </c>
      <c r="B1022">
        <v>5235</v>
      </c>
      <c r="C1022">
        <v>28</v>
      </c>
      <c r="D1022">
        <v>70</v>
      </c>
      <c r="E1022">
        <v>680</v>
      </c>
      <c r="F1022">
        <v>3</v>
      </c>
      <c r="K1022" s="1">
        <f t="shared" si="101"/>
        <v>680</v>
      </c>
      <c r="L1022" s="1" t="str">
        <f t="shared" si="96"/>
        <v>Normal</v>
      </c>
      <c r="M1022" s="2">
        <f t="shared" si="97"/>
        <v>95</v>
      </c>
      <c r="N1022" s="1" t="str">
        <f t="shared" si="98"/>
        <v>Basah</v>
      </c>
      <c r="O1022" t="str">
        <f t="shared" si="99"/>
        <v>Fuzzy</v>
      </c>
      <c r="P1022" t="str">
        <f t="shared" si="100"/>
        <v>Fuzzy</v>
      </c>
    </row>
    <row r="1023" spans="1:16" x14ac:dyDescent="0.35">
      <c r="A1023" t="s">
        <v>1026</v>
      </c>
      <c r="B1023">
        <v>5236</v>
      </c>
      <c r="C1023">
        <v>28</v>
      </c>
      <c r="D1023">
        <v>70</v>
      </c>
      <c r="E1023">
        <v>620</v>
      </c>
      <c r="F1023">
        <v>4</v>
      </c>
      <c r="K1023" s="1">
        <f t="shared" si="101"/>
        <v>620</v>
      </c>
      <c r="L1023" s="1" t="str">
        <f t="shared" si="96"/>
        <v>Normal</v>
      </c>
      <c r="M1023" s="2">
        <f t="shared" si="97"/>
        <v>80</v>
      </c>
      <c r="N1023" s="1" t="str">
        <f t="shared" si="98"/>
        <v>Basah</v>
      </c>
      <c r="O1023" t="str">
        <f t="shared" si="99"/>
        <v>Fuzzy</v>
      </c>
      <c r="P1023" t="str">
        <f t="shared" si="100"/>
        <v>Fuzzy</v>
      </c>
    </row>
    <row r="1024" spans="1:16" x14ac:dyDescent="0.35">
      <c r="A1024" t="s">
        <v>1027</v>
      </c>
      <c r="B1024">
        <v>5237</v>
      </c>
      <c r="C1024">
        <v>28</v>
      </c>
      <c r="D1024">
        <v>69</v>
      </c>
      <c r="E1024">
        <v>1019</v>
      </c>
      <c r="F1024">
        <v>4</v>
      </c>
      <c r="K1024" s="1">
        <f t="shared" si="101"/>
        <v>1019</v>
      </c>
      <c r="L1024" s="1" t="str">
        <f t="shared" si="96"/>
        <v>Normal</v>
      </c>
      <c r="M1024" s="2">
        <f t="shared" si="97"/>
        <v>98.761609907120743</v>
      </c>
      <c r="N1024" s="1" t="str">
        <f t="shared" si="98"/>
        <v>Basah</v>
      </c>
      <c r="O1024" t="str">
        <f t="shared" si="99"/>
        <v>Fuzzy</v>
      </c>
      <c r="P1024" t="str">
        <f t="shared" si="100"/>
        <v>Fuzzy</v>
      </c>
    </row>
    <row r="1025" spans="1:16" x14ac:dyDescent="0.35">
      <c r="A1025" t="s">
        <v>1028</v>
      </c>
      <c r="B1025">
        <v>5238</v>
      </c>
      <c r="C1025">
        <v>28</v>
      </c>
      <c r="D1025">
        <v>67</v>
      </c>
      <c r="E1025">
        <v>639</v>
      </c>
      <c r="F1025">
        <v>3</v>
      </c>
      <c r="K1025" s="1">
        <f t="shared" si="101"/>
        <v>639</v>
      </c>
      <c r="L1025" s="1" t="str">
        <f t="shared" si="96"/>
        <v>Normal</v>
      </c>
      <c r="M1025" s="2">
        <f t="shared" si="97"/>
        <v>84.75</v>
      </c>
      <c r="N1025" s="1" t="str">
        <f t="shared" si="98"/>
        <v>Basah</v>
      </c>
      <c r="O1025" t="str">
        <f t="shared" si="99"/>
        <v>Fuzzy</v>
      </c>
      <c r="P1025" t="str">
        <f t="shared" si="100"/>
        <v>Fuzzy</v>
      </c>
    </row>
    <row r="1026" spans="1:16" x14ac:dyDescent="0.35">
      <c r="A1026" t="s">
        <v>1029</v>
      </c>
      <c r="B1026">
        <v>5239</v>
      </c>
      <c r="C1026">
        <v>28</v>
      </c>
      <c r="D1026">
        <v>67</v>
      </c>
      <c r="E1026">
        <v>644</v>
      </c>
      <c r="F1026">
        <v>4</v>
      </c>
      <c r="K1026" s="1">
        <f t="shared" si="101"/>
        <v>644</v>
      </c>
      <c r="L1026" s="1" t="str">
        <f t="shared" si="96"/>
        <v>Normal</v>
      </c>
      <c r="M1026" s="2">
        <f t="shared" si="97"/>
        <v>86</v>
      </c>
      <c r="N1026" s="1" t="str">
        <f t="shared" si="98"/>
        <v>Basah</v>
      </c>
      <c r="O1026" t="str">
        <f t="shared" si="99"/>
        <v>Fuzzy</v>
      </c>
      <c r="P1026" t="str">
        <f t="shared" si="100"/>
        <v>Fuzzy</v>
      </c>
    </row>
    <row r="1027" spans="1:16" x14ac:dyDescent="0.35">
      <c r="A1027" t="s">
        <v>1030</v>
      </c>
      <c r="B1027">
        <v>5240</v>
      </c>
      <c r="C1027">
        <v>28</v>
      </c>
      <c r="D1027">
        <v>67</v>
      </c>
      <c r="E1027">
        <v>623</v>
      </c>
      <c r="F1027">
        <v>4</v>
      </c>
      <c r="K1027" s="1">
        <f t="shared" si="101"/>
        <v>623</v>
      </c>
      <c r="L1027" s="1" t="str">
        <f t="shared" ref="L1027:L1090" si="102">IF(A1026 &lt;= 10, "Dingin", IF(OR(A1026 &gt;= 10, A1026 &lt; 35), "Normal", "Panas"))</f>
        <v>Normal</v>
      </c>
      <c r="M1027" s="2">
        <f t="shared" ref="M1027:M1090" si="103">IF(K1027&lt;=300, K1027/1023*100, IF(K1027&lt;=700, (K1027-300)/(700-301+1)*100, (K1027-700)/(1023-701+1)*100))</f>
        <v>80.75</v>
      </c>
      <c r="N1027" s="1" t="str">
        <f t="shared" ref="N1027:N1090" si="104">IF(M1027&lt;=29.32, "Kering", IF(M1027&lt;=68.53, "Lembab", "Basah"))</f>
        <v>Basah</v>
      </c>
      <c r="O1027" t="str">
        <f t="shared" ref="O1027:O1090" si="105">IF(OR(AND(C1027 &gt; 10, C1027 &lt; 22.5), AND(C1027 &gt;= 22.5, C1027 &lt; 35)), "Fuzzy", "")</f>
        <v>Fuzzy</v>
      </c>
      <c r="P1027" t="str">
        <f t="shared" ref="P1027:P1090" si="106">IF(OR(AND(M1027 &gt;= 0, M1027 &lt; 50), AND(M1027 &gt;= 50, M1027 &lt; 100)), "Fuzzy", "")</f>
        <v>Fuzzy</v>
      </c>
    </row>
    <row r="1028" spans="1:16" x14ac:dyDescent="0.35">
      <c r="A1028" t="s">
        <v>1031</v>
      </c>
      <c r="B1028">
        <v>5241</v>
      </c>
      <c r="C1028">
        <v>28</v>
      </c>
      <c r="D1028">
        <v>67</v>
      </c>
      <c r="E1028">
        <v>614</v>
      </c>
      <c r="F1028">
        <v>4</v>
      </c>
      <c r="K1028" s="1">
        <f t="shared" si="101"/>
        <v>614</v>
      </c>
      <c r="L1028" s="1" t="str">
        <f t="shared" si="102"/>
        <v>Normal</v>
      </c>
      <c r="M1028" s="2">
        <f t="shared" si="103"/>
        <v>78.5</v>
      </c>
      <c r="N1028" s="1" t="str">
        <f t="shared" si="104"/>
        <v>Basah</v>
      </c>
      <c r="O1028" t="str">
        <f t="shared" si="105"/>
        <v>Fuzzy</v>
      </c>
      <c r="P1028" t="str">
        <f t="shared" si="106"/>
        <v>Fuzzy</v>
      </c>
    </row>
    <row r="1029" spans="1:16" x14ac:dyDescent="0.35">
      <c r="A1029" t="s">
        <v>1032</v>
      </c>
      <c r="B1029">
        <v>5242</v>
      </c>
      <c r="C1029">
        <v>28</v>
      </c>
      <c r="D1029">
        <v>67</v>
      </c>
      <c r="E1029">
        <v>717</v>
      </c>
      <c r="F1029">
        <v>4</v>
      </c>
      <c r="K1029" s="1">
        <f t="shared" si="101"/>
        <v>717</v>
      </c>
      <c r="L1029" s="1" t="str">
        <f t="shared" si="102"/>
        <v>Normal</v>
      </c>
      <c r="M1029" s="2">
        <f t="shared" si="103"/>
        <v>5.2631578947368416</v>
      </c>
      <c r="N1029" s="1" t="str">
        <f t="shared" si="104"/>
        <v>Kering</v>
      </c>
      <c r="O1029" t="str">
        <f t="shared" si="105"/>
        <v>Fuzzy</v>
      </c>
      <c r="P1029" t="str">
        <f t="shared" si="106"/>
        <v>Fuzzy</v>
      </c>
    </row>
    <row r="1030" spans="1:16" x14ac:dyDescent="0.35">
      <c r="A1030" t="s">
        <v>1033</v>
      </c>
      <c r="B1030">
        <v>5243</v>
      </c>
      <c r="C1030">
        <v>28</v>
      </c>
      <c r="D1030">
        <v>68</v>
      </c>
      <c r="E1030">
        <v>648</v>
      </c>
      <c r="F1030">
        <v>3</v>
      </c>
      <c r="K1030" s="1">
        <f t="shared" si="101"/>
        <v>648</v>
      </c>
      <c r="L1030" s="1" t="str">
        <f t="shared" si="102"/>
        <v>Normal</v>
      </c>
      <c r="M1030" s="2">
        <f t="shared" si="103"/>
        <v>87</v>
      </c>
      <c r="N1030" s="1" t="str">
        <f t="shared" si="104"/>
        <v>Basah</v>
      </c>
      <c r="O1030" t="str">
        <f t="shared" si="105"/>
        <v>Fuzzy</v>
      </c>
      <c r="P1030" t="str">
        <f t="shared" si="106"/>
        <v>Fuzzy</v>
      </c>
    </row>
    <row r="1031" spans="1:16" x14ac:dyDescent="0.35">
      <c r="A1031" t="s">
        <v>1034</v>
      </c>
      <c r="B1031">
        <v>5244</v>
      </c>
      <c r="C1031">
        <v>28</v>
      </c>
      <c r="D1031">
        <v>69</v>
      </c>
      <c r="E1031">
        <v>626</v>
      </c>
      <c r="F1031">
        <v>4</v>
      </c>
      <c r="K1031" s="1">
        <f t="shared" si="101"/>
        <v>626</v>
      </c>
      <c r="L1031" s="1" t="str">
        <f t="shared" si="102"/>
        <v>Normal</v>
      </c>
      <c r="M1031" s="2">
        <f t="shared" si="103"/>
        <v>81.5</v>
      </c>
      <c r="N1031" s="1" t="str">
        <f t="shared" si="104"/>
        <v>Basah</v>
      </c>
      <c r="O1031" t="str">
        <f t="shared" si="105"/>
        <v>Fuzzy</v>
      </c>
      <c r="P1031" t="str">
        <f t="shared" si="106"/>
        <v>Fuzzy</v>
      </c>
    </row>
    <row r="1032" spans="1:16" x14ac:dyDescent="0.35">
      <c r="A1032" t="s">
        <v>1035</v>
      </c>
      <c r="B1032">
        <v>5245</v>
      </c>
      <c r="C1032">
        <v>28</v>
      </c>
      <c r="D1032">
        <v>70</v>
      </c>
      <c r="E1032">
        <v>655</v>
      </c>
      <c r="F1032">
        <v>3</v>
      </c>
      <c r="K1032" s="1">
        <f t="shared" si="101"/>
        <v>655</v>
      </c>
      <c r="L1032" s="1" t="str">
        <f t="shared" si="102"/>
        <v>Normal</v>
      </c>
      <c r="M1032" s="2">
        <f t="shared" si="103"/>
        <v>88.75</v>
      </c>
      <c r="N1032" s="1" t="str">
        <f t="shared" si="104"/>
        <v>Basah</v>
      </c>
      <c r="O1032" t="str">
        <f t="shared" si="105"/>
        <v>Fuzzy</v>
      </c>
      <c r="P1032" t="str">
        <f t="shared" si="106"/>
        <v>Fuzzy</v>
      </c>
    </row>
    <row r="1033" spans="1:16" x14ac:dyDescent="0.35">
      <c r="A1033" t="s">
        <v>1036</v>
      </c>
      <c r="B1033">
        <v>5246</v>
      </c>
      <c r="C1033">
        <v>28</v>
      </c>
      <c r="D1033">
        <v>70</v>
      </c>
      <c r="E1033">
        <v>587</v>
      </c>
      <c r="F1033">
        <v>4</v>
      </c>
      <c r="K1033" s="1">
        <f t="shared" si="101"/>
        <v>587</v>
      </c>
      <c r="L1033" s="1" t="str">
        <f t="shared" si="102"/>
        <v>Normal</v>
      </c>
      <c r="M1033" s="2">
        <f t="shared" si="103"/>
        <v>71.75</v>
      </c>
      <c r="N1033" s="1" t="str">
        <f t="shared" si="104"/>
        <v>Basah</v>
      </c>
      <c r="O1033" t="str">
        <f t="shared" si="105"/>
        <v>Fuzzy</v>
      </c>
      <c r="P1033" t="str">
        <f t="shared" si="106"/>
        <v>Fuzzy</v>
      </c>
    </row>
    <row r="1034" spans="1:16" x14ac:dyDescent="0.35">
      <c r="A1034" t="s">
        <v>1037</v>
      </c>
      <c r="B1034">
        <v>5247</v>
      </c>
      <c r="C1034">
        <v>28</v>
      </c>
      <c r="D1034">
        <v>70</v>
      </c>
      <c r="E1034">
        <v>590</v>
      </c>
      <c r="F1034">
        <v>4</v>
      </c>
      <c r="K1034" s="1">
        <f t="shared" si="101"/>
        <v>590</v>
      </c>
      <c r="L1034" s="1" t="str">
        <f t="shared" si="102"/>
        <v>Normal</v>
      </c>
      <c r="M1034" s="2">
        <f t="shared" si="103"/>
        <v>72.5</v>
      </c>
      <c r="N1034" s="1" t="str">
        <f t="shared" si="104"/>
        <v>Basah</v>
      </c>
      <c r="O1034" t="str">
        <f t="shared" si="105"/>
        <v>Fuzzy</v>
      </c>
      <c r="P1034" t="str">
        <f t="shared" si="106"/>
        <v>Fuzzy</v>
      </c>
    </row>
    <row r="1035" spans="1:16" x14ac:dyDescent="0.35">
      <c r="A1035" t="s">
        <v>1038</v>
      </c>
      <c r="B1035">
        <v>5248</v>
      </c>
      <c r="C1035">
        <v>28</v>
      </c>
      <c r="D1035">
        <v>70</v>
      </c>
      <c r="E1035">
        <v>490</v>
      </c>
      <c r="F1035">
        <v>3</v>
      </c>
      <c r="K1035" s="1">
        <f t="shared" si="101"/>
        <v>490</v>
      </c>
      <c r="L1035" s="1" t="str">
        <f t="shared" si="102"/>
        <v>Normal</v>
      </c>
      <c r="M1035" s="2">
        <f t="shared" si="103"/>
        <v>47.5</v>
      </c>
      <c r="N1035" s="1" t="str">
        <f t="shared" si="104"/>
        <v>Lembab</v>
      </c>
      <c r="O1035" t="str">
        <f t="shared" si="105"/>
        <v>Fuzzy</v>
      </c>
      <c r="P1035" t="str">
        <f t="shared" si="106"/>
        <v>Fuzzy</v>
      </c>
    </row>
    <row r="1036" spans="1:16" x14ac:dyDescent="0.35">
      <c r="A1036" t="s">
        <v>1039</v>
      </c>
      <c r="B1036">
        <v>5249</v>
      </c>
      <c r="C1036">
        <v>28</v>
      </c>
      <c r="D1036">
        <v>70</v>
      </c>
      <c r="E1036">
        <v>632</v>
      </c>
      <c r="F1036">
        <v>3</v>
      </c>
      <c r="K1036" s="1">
        <f t="shared" si="101"/>
        <v>632</v>
      </c>
      <c r="L1036" s="1" t="str">
        <f t="shared" si="102"/>
        <v>Normal</v>
      </c>
      <c r="M1036" s="2">
        <f t="shared" si="103"/>
        <v>83</v>
      </c>
      <c r="N1036" s="1" t="str">
        <f t="shared" si="104"/>
        <v>Basah</v>
      </c>
      <c r="O1036" t="str">
        <f t="shared" si="105"/>
        <v>Fuzzy</v>
      </c>
      <c r="P1036" t="str">
        <f t="shared" si="106"/>
        <v>Fuzzy</v>
      </c>
    </row>
    <row r="1037" spans="1:16" x14ac:dyDescent="0.35">
      <c r="A1037" t="s">
        <v>1040</v>
      </c>
      <c r="B1037">
        <v>5250</v>
      </c>
      <c r="C1037">
        <v>28</v>
      </c>
      <c r="D1037">
        <v>71</v>
      </c>
      <c r="E1037">
        <v>512</v>
      </c>
      <c r="F1037">
        <v>4</v>
      </c>
      <c r="K1037" s="1">
        <f t="shared" ref="K1037:K1100" si="107">IF(E1037&lt;=1023, E1037, "")</f>
        <v>512</v>
      </c>
      <c r="L1037" s="1" t="str">
        <f t="shared" si="102"/>
        <v>Normal</v>
      </c>
      <c r="M1037" s="2">
        <f t="shared" si="103"/>
        <v>53</v>
      </c>
      <c r="N1037" s="1" t="str">
        <f t="shared" si="104"/>
        <v>Lembab</v>
      </c>
      <c r="O1037" t="str">
        <f t="shared" si="105"/>
        <v>Fuzzy</v>
      </c>
      <c r="P1037" t="str">
        <f t="shared" si="106"/>
        <v>Fuzzy</v>
      </c>
    </row>
    <row r="1038" spans="1:16" x14ac:dyDescent="0.35">
      <c r="A1038" t="s">
        <v>1041</v>
      </c>
      <c r="B1038">
        <v>5251</v>
      </c>
      <c r="C1038">
        <v>28</v>
      </c>
      <c r="D1038">
        <v>70</v>
      </c>
      <c r="E1038">
        <v>605</v>
      </c>
      <c r="F1038">
        <v>4</v>
      </c>
      <c r="K1038" s="1">
        <f t="shared" si="107"/>
        <v>605</v>
      </c>
      <c r="L1038" s="1" t="str">
        <f t="shared" si="102"/>
        <v>Normal</v>
      </c>
      <c r="M1038" s="2">
        <f t="shared" si="103"/>
        <v>76.25</v>
      </c>
      <c r="N1038" s="1" t="str">
        <f t="shared" si="104"/>
        <v>Basah</v>
      </c>
      <c r="O1038" t="str">
        <f t="shared" si="105"/>
        <v>Fuzzy</v>
      </c>
      <c r="P1038" t="str">
        <f t="shared" si="106"/>
        <v>Fuzzy</v>
      </c>
    </row>
    <row r="1039" spans="1:16" x14ac:dyDescent="0.35">
      <c r="A1039" t="s">
        <v>1042</v>
      </c>
      <c r="B1039">
        <v>5252</v>
      </c>
      <c r="C1039">
        <v>28</v>
      </c>
      <c r="D1039">
        <v>70</v>
      </c>
      <c r="E1039">
        <v>670</v>
      </c>
      <c r="F1039">
        <v>4</v>
      </c>
      <c r="K1039" s="1">
        <f t="shared" si="107"/>
        <v>670</v>
      </c>
      <c r="L1039" s="1" t="str">
        <f t="shared" si="102"/>
        <v>Normal</v>
      </c>
      <c r="M1039" s="2">
        <f t="shared" si="103"/>
        <v>92.5</v>
      </c>
      <c r="N1039" s="1" t="str">
        <f t="shared" si="104"/>
        <v>Basah</v>
      </c>
      <c r="O1039" t="str">
        <f t="shared" si="105"/>
        <v>Fuzzy</v>
      </c>
      <c r="P1039" t="str">
        <f t="shared" si="106"/>
        <v>Fuzzy</v>
      </c>
    </row>
    <row r="1040" spans="1:16" x14ac:dyDescent="0.35">
      <c r="A1040" t="s">
        <v>1043</v>
      </c>
      <c r="B1040">
        <v>5253</v>
      </c>
      <c r="C1040">
        <v>28</v>
      </c>
      <c r="D1040">
        <v>71</v>
      </c>
      <c r="E1040">
        <v>469</v>
      </c>
      <c r="F1040">
        <v>4</v>
      </c>
      <c r="K1040" s="1">
        <f t="shared" si="107"/>
        <v>469</v>
      </c>
      <c r="L1040" s="1" t="str">
        <f t="shared" si="102"/>
        <v>Normal</v>
      </c>
      <c r="M1040" s="2">
        <f t="shared" si="103"/>
        <v>42.25</v>
      </c>
      <c r="N1040" s="1" t="str">
        <f t="shared" si="104"/>
        <v>Lembab</v>
      </c>
      <c r="O1040" t="str">
        <f t="shared" si="105"/>
        <v>Fuzzy</v>
      </c>
      <c r="P1040" t="str">
        <f t="shared" si="106"/>
        <v>Fuzzy</v>
      </c>
    </row>
    <row r="1041" spans="1:16" x14ac:dyDescent="0.35">
      <c r="A1041" t="s">
        <v>1044</v>
      </c>
      <c r="B1041">
        <v>5254</v>
      </c>
      <c r="C1041">
        <v>28</v>
      </c>
      <c r="D1041">
        <v>71</v>
      </c>
      <c r="E1041">
        <v>1000</v>
      </c>
      <c r="F1041">
        <v>4</v>
      </c>
      <c r="K1041" s="1">
        <f t="shared" si="107"/>
        <v>1000</v>
      </c>
      <c r="L1041" s="1" t="str">
        <f t="shared" si="102"/>
        <v>Normal</v>
      </c>
      <c r="M1041" s="2">
        <f t="shared" si="103"/>
        <v>92.879256965944265</v>
      </c>
      <c r="N1041" s="1" t="str">
        <f t="shared" si="104"/>
        <v>Basah</v>
      </c>
      <c r="O1041" t="str">
        <f t="shared" si="105"/>
        <v>Fuzzy</v>
      </c>
      <c r="P1041" t="str">
        <f t="shared" si="106"/>
        <v>Fuzzy</v>
      </c>
    </row>
    <row r="1042" spans="1:16" x14ac:dyDescent="0.35">
      <c r="A1042" t="s">
        <v>1045</v>
      </c>
      <c r="B1042">
        <v>5255</v>
      </c>
      <c r="C1042">
        <v>28</v>
      </c>
      <c r="D1042">
        <v>70</v>
      </c>
      <c r="E1042">
        <v>657</v>
      </c>
      <c r="F1042">
        <v>4</v>
      </c>
      <c r="K1042" s="1">
        <f t="shared" si="107"/>
        <v>657</v>
      </c>
      <c r="L1042" s="1" t="str">
        <f t="shared" si="102"/>
        <v>Normal</v>
      </c>
      <c r="M1042" s="2">
        <f t="shared" si="103"/>
        <v>89.25</v>
      </c>
      <c r="N1042" s="1" t="str">
        <f t="shared" si="104"/>
        <v>Basah</v>
      </c>
      <c r="O1042" t="str">
        <f t="shared" si="105"/>
        <v>Fuzzy</v>
      </c>
      <c r="P1042" t="str">
        <f t="shared" si="106"/>
        <v>Fuzzy</v>
      </c>
    </row>
    <row r="1043" spans="1:16" x14ac:dyDescent="0.35">
      <c r="A1043" t="s">
        <v>1046</v>
      </c>
      <c r="B1043">
        <v>5256</v>
      </c>
      <c r="C1043">
        <v>28</v>
      </c>
      <c r="D1043">
        <v>70</v>
      </c>
      <c r="E1043">
        <v>778</v>
      </c>
      <c r="F1043">
        <v>4</v>
      </c>
      <c r="K1043" s="1">
        <f t="shared" si="107"/>
        <v>778</v>
      </c>
      <c r="L1043" s="1" t="str">
        <f t="shared" si="102"/>
        <v>Normal</v>
      </c>
      <c r="M1043" s="2">
        <f t="shared" si="103"/>
        <v>24.148606811145513</v>
      </c>
      <c r="N1043" s="1" t="str">
        <f t="shared" si="104"/>
        <v>Kering</v>
      </c>
      <c r="O1043" t="str">
        <f t="shared" si="105"/>
        <v>Fuzzy</v>
      </c>
      <c r="P1043" t="str">
        <f t="shared" si="106"/>
        <v>Fuzzy</v>
      </c>
    </row>
    <row r="1044" spans="1:16" x14ac:dyDescent="0.35">
      <c r="A1044" t="s">
        <v>1047</v>
      </c>
      <c r="B1044">
        <v>5257</v>
      </c>
      <c r="C1044">
        <v>28</v>
      </c>
      <c r="D1044">
        <v>70</v>
      </c>
      <c r="E1044">
        <v>640</v>
      </c>
      <c r="F1044">
        <v>4</v>
      </c>
      <c r="K1044" s="1">
        <f t="shared" si="107"/>
        <v>640</v>
      </c>
      <c r="L1044" s="1" t="str">
        <f t="shared" si="102"/>
        <v>Normal</v>
      </c>
      <c r="M1044" s="2">
        <f t="shared" si="103"/>
        <v>85</v>
      </c>
      <c r="N1044" s="1" t="str">
        <f t="shared" si="104"/>
        <v>Basah</v>
      </c>
      <c r="O1044" t="str">
        <f t="shared" si="105"/>
        <v>Fuzzy</v>
      </c>
      <c r="P1044" t="str">
        <f t="shared" si="106"/>
        <v>Fuzzy</v>
      </c>
    </row>
    <row r="1045" spans="1:16" x14ac:dyDescent="0.35">
      <c r="A1045" t="s">
        <v>1048</v>
      </c>
      <c r="B1045">
        <v>5258</v>
      </c>
      <c r="C1045">
        <v>28</v>
      </c>
      <c r="D1045">
        <v>69</v>
      </c>
      <c r="E1045">
        <v>661</v>
      </c>
      <c r="F1045">
        <v>5</v>
      </c>
      <c r="K1045" s="1">
        <f t="shared" si="107"/>
        <v>661</v>
      </c>
      <c r="L1045" s="1" t="str">
        <f t="shared" si="102"/>
        <v>Normal</v>
      </c>
      <c r="M1045" s="2">
        <f t="shared" si="103"/>
        <v>90.25</v>
      </c>
      <c r="N1045" s="1" t="str">
        <f t="shared" si="104"/>
        <v>Basah</v>
      </c>
      <c r="O1045" t="str">
        <f t="shared" si="105"/>
        <v>Fuzzy</v>
      </c>
      <c r="P1045" t="str">
        <f t="shared" si="106"/>
        <v>Fuzzy</v>
      </c>
    </row>
    <row r="1046" spans="1:16" x14ac:dyDescent="0.35">
      <c r="A1046" t="s">
        <v>1049</v>
      </c>
      <c r="B1046">
        <v>5259</v>
      </c>
      <c r="C1046">
        <v>28</v>
      </c>
      <c r="D1046">
        <v>69</v>
      </c>
      <c r="E1046">
        <v>620</v>
      </c>
      <c r="F1046">
        <v>4</v>
      </c>
      <c r="K1046" s="1">
        <f t="shared" si="107"/>
        <v>620</v>
      </c>
      <c r="L1046" s="1" t="str">
        <f t="shared" si="102"/>
        <v>Normal</v>
      </c>
      <c r="M1046" s="2">
        <f t="shared" si="103"/>
        <v>80</v>
      </c>
      <c r="N1046" s="1" t="str">
        <f t="shared" si="104"/>
        <v>Basah</v>
      </c>
      <c r="O1046" t="str">
        <f t="shared" si="105"/>
        <v>Fuzzy</v>
      </c>
      <c r="P1046" t="str">
        <f t="shared" si="106"/>
        <v>Fuzzy</v>
      </c>
    </row>
    <row r="1047" spans="1:16" x14ac:dyDescent="0.35">
      <c r="A1047" t="s">
        <v>1050</v>
      </c>
      <c r="B1047">
        <v>5260</v>
      </c>
      <c r="C1047">
        <v>28</v>
      </c>
      <c r="D1047">
        <v>70</v>
      </c>
      <c r="E1047">
        <v>625</v>
      </c>
      <c r="F1047">
        <v>4</v>
      </c>
      <c r="K1047" s="1">
        <f t="shared" si="107"/>
        <v>625</v>
      </c>
      <c r="L1047" s="1" t="str">
        <f t="shared" si="102"/>
        <v>Normal</v>
      </c>
      <c r="M1047" s="2">
        <f t="shared" si="103"/>
        <v>81.25</v>
      </c>
      <c r="N1047" s="1" t="str">
        <f t="shared" si="104"/>
        <v>Basah</v>
      </c>
      <c r="O1047" t="str">
        <f t="shared" si="105"/>
        <v>Fuzzy</v>
      </c>
      <c r="P1047" t="str">
        <f t="shared" si="106"/>
        <v>Fuzzy</v>
      </c>
    </row>
    <row r="1048" spans="1:16" x14ac:dyDescent="0.35">
      <c r="A1048" t="s">
        <v>1051</v>
      </c>
      <c r="B1048">
        <v>5261</v>
      </c>
      <c r="C1048">
        <v>28</v>
      </c>
      <c r="D1048">
        <v>70</v>
      </c>
      <c r="E1048">
        <v>647</v>
      </c>
      <c r="F1048">
        <v>4</v>
      </c>
      <c r="K1048" s="1">
        <f t="shared" si="107"/>
        <v>647</v>
      </c>
      <c r="L1048" s="1" t="str">
        <f t="shared" si="102"/>
        <v>Normal</v>
      </c>
      <c r="M1048" s="2">
        <f t="shared" si="103"/>
        <v>86.75</v>
      </c>
      <c r="N1048" s="1" t="str">
        <f t="shared" si="104"/>
        <v>Basah</v>
      </c>
      <c r="O1048" t="str">
        <f t="shared" si="105"/>
        <v>Fuzzy</v>
      </c>
      <c r="P1048" t="str">
        <f t="shared" si="106"/>
        <v>Fuzzy</v>
      </c>
    </row>
    <row r="1049" spans="1:16" x14ac:dyDescent="0.35">
      <c r="A1049" t="s">
        <v>1052</v>
      </c>
      <c r="B1049">
        <v>5262</v>
      </c>
      <c r="C1049">
        <v>28</v>
      </c>
      <c r="D1049">
        <v>70</v>
      </c>
      <c r="E1049">
        <v>616</v>
      </c>
      <c r="F1049">
        <v>3</v>
      </c>
      <c r="K1049" s="1">
        <f t="shared" si="107"/>
        <v>616</v>
      </c>
      <c r="L1049" s="1" t="str">
        <f t="shared" si="102"/>
        <v>Normal</v>
      </c>
      <c r="M1049" s="2">
        <f t="shared" si="103"/>
        <v>79</v>
      </c>
      <c r="N1049" s="1" t="str">
        <f t="shared" si="104"/>
        <v>Basah</v>
      </c>
      <c r="O1049" t="str">
        <f t="shared" si="105"/>
        <v>Fuzzy</v>
      </c>
      <c r="P1049" t="str">
        <f t="shared" si="106"/>
        <v>Fuzzy</v>
      </c>
    </row>
    <row r="1050" spans="1:16" x14ac:dyDescent="0.35">
      <c r="A1050" t="s">
        <v>1053</v>
      </c>
      <c r="B1050">
        <v>5263</v>
      </c>
      <c r="C1050">
        <v>28</v>
      </c>
      <c r="D1050">
        <v>68</v>
      </c>
      <c r="E1050">
        <v>645</v>
      </c>
      <c r="F1050">
        <v>4</v>
      </c>
      <c r="K1050" s="1">
        <f t="shared" si="107"/>
        <v>645</v>
      </c>
      <c r="L1050" s="1" t="str">
        <f t="shared" si="102"/>
        <v>Normal</v>
      </c>
      <c r="M1050" s="2">
        <f t="shared" si="103"/>
        <v>86.25</v>
      </c>
      <c r="N1050" s="1" t="str">
        <f t="shared" si="104"/>
        <v>Basah</v>
      </c>
      <c r="O1050" t="str">
        <f t="shared" si="105"/>
        <v>Fuzzy</v>
      </c>
      <c r="P1050" t="str">
        <f t="shared" si="106"/>
        <v>Fuzzy</v>
      </c>
    </row>
    <row r="1051" spans="1:16" x14ac:dyDescent="0.35">
      <c r="A1051" t="s">
        <v>1054</v>
      </c>
      <c r="B1051">
        <v>5264</v>
      </c>
      <c r="C1051">
        <v>28</v>
      </c>
      <c r="D1051">
        <v>67</v>
      </c>
      <c r="E1051">
        <v>627</v>
      </c>
      <c r="F1051">
        <v>4</v>
      </c>
      <c r="K1051" s="1">
        <f t="shared" si="107"/>
        <v>627</v>
      </c>
      <c r="L1051" s="1" t="str">
        <f t="shared" si="102"/>
        <v>Normal</v>
      </c>
      <c r="M1051" s="2">
        <f t="shared" si="103"/>
        <v>81.75</v>
      </c>
      <c r="N1051" s="1" t="str">
        <f t="shared" si="104"/>
        <v>Basah</v>
      </c>
      <c r="O1051" t="str">
        <f t="shared" si="105"/>
        <v>Fuzzy</v>
      </c>
      <c r="P1051" t="str">
        <f t="shared" si="106"/>
        <v>Fuzzy</v>
      </c>
    </row>
    <row r="1052" spans="1:16" x14ac:dyDescent="0.35">
      <c r="A1052" t="s">
        <v>1055</v>
      </c>
      <c r="B1052">
        <v>5265</v>
      </c>
      <c r="C1052">
        <v>28</v>
      </c>
      <c r="D1052">
        <v>68</v>
      </c>
      <c r="E1052">
        <v>635</v>
      </c>
      <c r="F1052">
        <v>4</v>
      </c>
      <c r="K1052" s="1">
        <f t="shared" si="107"/>
        <v>635</v>
      </c>
      <c r="L1052" s="1" t="str">
        <f t="shared" si="102"/>
        <v>Normal</v>
      </c>
      <c r="M1052" s="2">
        <f t="shared" si="103"/>
        <v>83.75</v>
      </c>
      <c r="N1052" s="1" t="str">
        <f t="shared" si="104"/>
        <v>Basah</v>
      </c>
      <c r="O1052" t="str">
        <f t="shared" si="105"/>
        <v>Fuzzy</v>
      </c>
      <c r="P1052" t="str">
        <f t="shared" si="106"/>
        <v>Fuzzy</v>
      </c>
    </row>
    <row r="1053" spans="1:16" x14ac:dyDescent="0.35">
      <c r="A1053" t="s">
        <v>1056</v>
      </c>
      <c r="B1053">
        <v>5266</v>
      </c>
      <c r="C1053">
        <v>28</v>
      </c>
      <c r="D1053">
        <v>68</v>
      </c>
      <c r="E1053">
        <v>671</v>
      </c>
      <c r="F1053">
        <v>5</v>
      </c>
      <c r="K1053" s="1">
        <f t="shared" si="107"/>
        <v>671</v>
      </c>
      <c r="L1053" s="1" t="str">
        <f t="shared" si="102"/>
        <v>Normal</v>
      </c>
      <c r="M1053" s="2">
        <f t="shared" si="103"/>
        <v>92.75</v>
      </c>
      <c r="N1053" s="1" t="str">
        <f t="shared" si="104"/>
        <v>Basah</v>
      </c>
      <c r="O1053" t="str">
        <f t="shared" si="105"/>
        <v>Fuzzy</v>
      </c>
      <c r="P1053" t="str">
        <f t="shared" si="106"/>
        <v>Fuzzy</v>
      </c>
    </row>
    <row r="1054" spans="1:16" x14ac:dyDescent="0.35">
      <c r="A1054" t="s">
        <v>1057</v>
      </c>
      <c r="B1054">
        <v>5267</v>
      </c>
      <c r="C1054">
        <v>28</v>
      </c>
      <c r="D1054">
        <v>68</v>
      </c>
      <c r="E1054">
        <v>628</v>
      </c>
      <c r="F1054">
        <v>4</v>
      </c>
      <c r="K1054" s="1">
        <f t="shared" si="107"/>
        <v>628</v>
      </c>
      <c r="L1054" s="1" t="str">
        <f t="shared" si="102"/>
        <v>Normal</v>
      </c>
      <c r="M1054" s="2">
        <f t="shared" si="103"/>
        <v>82</v>
      </c>
      <c r="N1054" s="1" t="str">
        <f t="shared" si="104"/>
        <v>Basah</v>
      </c>
      <c r="O1054" t="str">
        <f t="shared" si="105"/>
        <v>Fuzzy</v>
      </c>
      <c r="P1054" t="str">
        <f t="shared" si="106"/>
        <v>Fuzzy</v>
      </c>
    </row>
    <row r="1055" spans="1:16" x14ac:dyDescent="0.35">
      <c r="A1055" t="s">
        <v>1058</v>
      </c>
      <c r="B1055">
        <v>5268</v>
      </c>
      <c r="C1055">
        <v>28</v>
      </c>
      <c r="D1055">
        <v>68</v>
      </c>
      <c r="E1055">
        <v>576</v>
      </c>
      <c r="F1055">
        <v>4</v>
      </c>
      <c r="K1055" s="1">
        <f t="shared" si="107"/>
        <v>576</v>
      </c>
      <c r="L1055" s="1" t="str">
        <f t="shared" si="102"/>
        <v>Normal</v>
      </c>
      <c r="M1055" s="2">
        <f t="shared" si="103"/>
        <v>69</v>
      </c>
      <c r="N1055" s="1" t="str">
        <f t="shared" si="104"/>
        <v>Basah</v>
      </c>
      <c r="O1055" t="str">
        <f t="shared" si="105"/>
        <v>Fuzzy</v>
      </c>
      <c r="P1055" t="str">
        <f t="shared" si="106"/>
        <v>Fuzzy</v>
      </c>
    </row>
    <row r="1056" spans="1:16" x14ac:dyDescent="0.35">
      <c r="A1056" t="s">
        <v>1059</v>
      </c>
      <c r="B1056">
        <v>5269</v>
      </c>
      <c r="C1056">
        <v>28</v>
      </c>
      <c r="D1056">
        <v>69</v>
      </c>
      <c r="E1056">
        <v>630</v>
      </c>
      <c r="F1056">
        <v>4</v>
      </c>
      <c r="K1056" s="1">
        <f t="shared" si="107"/>
        <v>630</v>
      </c>
      <c r="L1056" s="1" t="str">
        <f t="shared" si="102"/>
        <v>Normal</v>
      </c>
      <c r="M1056" s="2">
        <f t="shared" si="103"/>
        <v>82.5</v>
      </c>
      <c r="N1056" s="1" t="str">
        <f t="shared" si="104"/>
        <v>Basah</v>
      </c>
      <c r="O1056" t="str">
        <f t="shared" si="105"/>
        <v>Fuzzy</v>
      </c>
      <c r="P1056" t="str">
        <f t="shared" si="106"/>
        <v>Fuzzy</v>
      </c>
    </row>
    <row r="1057" spans="1:16" x14ac:dyDescent="0.35">
      <c r="A1057" t="s">
        <v>1060</v>
      </c>
      <c r="B1057">
        <v>5270</v>
      </c>
      <c r="C1057">
        <v>28</v>
      </c>
      <c r="D1057">
        <v>70</v>
      </c>
      <c r="E1057">
        <v>634</v>
      </c>
      <c r="F1057">
        <v>4</v>
      </c>
      <c r="K1057" s="1">
        <f t="shared" si="107"/>
        <v>634</v>
      </c>
      <c r="L1057" s="1" t="str">
        <f t="shared" si="102"/>
        <v>Normal</v>
      </c>
      <c r="M1057" s="2">
        <f t="shared" si="103"/>
        <v>83.5</v>
      </c>
      <c r="N1057" s="1" t="str">
        <f t="shared" si="104"/>
        <v>Basah</v>
      </c>
      <c r="O1057" t="str">
        <f t="shared" si="105"/>
        <v>Fuzzy</v>
      </c>
      <c r="P1057" t="str">
        <f t="shared" si="106"/>
        <v>Fuzzy</v>
      </c>
    </row>
    <row r="1058" spans="1:16" x14ac:dyDescent="0.35">
      <c r="A1058" t="s">
        <v>1061</v>
      </c>
      <c r="B1058">
        <v>5271</v>
      </c>
      <c r="C1058">
        <v>28</v>
      </c>
      <c r="D1058">
        <v>70</v>
      </c>
      <c r="E1058">
        <v>659</v>
      </c>
      <c r="F1058">
        <v>3</v>
      </c>
      <c r="K1058" s="1">
        <f t="shared" si="107"/>
        <v>659</v>
      </c>
      <c r="L1058" s="1" t="str">
        <f t="shared" si="102"/>
        <v>Normal</v>
      </c>
      <c r="M1058" s="2">
        <f t="shared" si="103"/>
        <v>89.75</v>
      </c>
      <c r="N1058" s="1" t="str">
        <f t="shared" si="104"/>
        <v>Basah</v>
      </c>
      <c r="O1058" t="str">
        <f t="shared" si="105"/>
        <v>Fuzzy</v>
      </c>
      <c r="P1058" t="str">
        <f t="shared" si="106"/>
        <v>Fuzzy</v>
      </c>
    </row>
    <row r="1059" spans="1:16" x14ac:dyDescent="0.35">
      <c r="A1059" t="s">
        <v>1062</v>
      </c>
      <c r="B1059">
        <v>5272</v>
      </c>
      <c r="C1059">
        <v>28</v>
      </c>
      <c r="D1059">
        <v>70</v>
      </c>
      <c r="E1059">
        <v>638</v>
      </c>
      <c r="F1059">
        <v>4</v>
      </c>
      <c r="K1059" s="1">
        <f t="shared" si="107"/>
        <v>638</v>
      </c>
      <c r="L1059" s="1" t="str">
        <f t="shared" si="102"/>
        <v>Normal</v>
      </c>
      <c r="M1059" s="2">
        <f t="shared" si="103"/>
        <v>84.5</v>
      </c>
      <c r="N1059" s="1" t="str">
        <f t="shared" si="104"/>
        <v>Basah</v>
      </c>
      <c r="O1059" t="str">
        <f t="shared" si="105"/>
        <v>Fuzzy</v>
      </c>
      <c r="P1059" t="str">
        <f t="shared" si="106"/>
        <v>Fuzzy</v>
      </c>
    </row>
    <row r="1060" spans="1:16" x14ac:dyDescent="0.35">
      <c r="A1060" t="s">
        <v>1063</v>
      </c>
      <c r="B1060">
        <v>5273</v>
      </c>
      <c r="C1060">
        <v>28</v>
      </c>
      <c r="D1060">
        <v>70</v>
      </c>
      <c r="E1060">
        <v>555</v>
      </c>
      <c r="F1060">
        <v>3</v>
      </c>
      <c r="K1060" s="1">
        <f t="shared" si="107"/>
        <v>555</v>
      </c>
      <c r="L1060" s="1" t="str">
        <f t="shared" si="102"/>
        <v>Normal</v>
      </c>
      <c r="M1060" s="2">
        <f t="shared" si="103"/>
        <v>63.749999999999993</v>
      </c>
      <c r="N1060" s="1" t="str">
        <f t="shared" si="104"/>
        <v>Lembab</v>
      </c>
      <c r="O1060" t="str">
        <f t="shared" si="105"/>
        <v>Fuzzy</v>
      </c>
      <c r="P1060" t="str">
        <f t="shared" si="106"/>
        <v>Fuzzy</v>
      </c>
    </row>
    <row r="1061" spans="1:16" x14ac:dyDescent="0.35">
      <c r="A1061" t="s">
        <v>1064</v>
      </c>
      <c r="B1061">
        <v>5274</v>
      </c>
      <c r="C1061">
        <v>28</v>
      </c>
      <c r="D1061">
        <v>71</v>
      </c>
      <c r="E1061">
        <v>648</v>
      </c>
      <c r="F1061">
        <v>4</v>
      </c>
      <c r="K1061" s="1">
        <f t="shared" si="107"/>
        <v>648</v>
      </c>
      <c r="L1061" s="1" t="str">
        <f t="shared" si="102"/>
        <v>Normal</v>
      </c>
      <c r="M1061" s="2">
        <f t="shared" si="103"/>
        <v>87</v>
      </c>
      <c r="N1061" s="1" t="str">
        <f t="shared" si="104"/>
        <v>Basah</v>
      </c>
      <c r="O1061" t="str">
        <f t="shared" si="105"/>
        <v>Fuzzy</v>
      </c>
      <c r="P1061" t="str">
        <f t="shared" si="106"/>
        <v>Fuzzy</v>
      </c>
    </row>
    <row r="1062" spans="1:16" x14ac:dyDescent="0.35">
      <c r="A1062" t="s">
        <v>1065</v>
      </c>
      <c r="B1062">
        <v>5275</v>
      </c>
      <c r="C1062">
        <v>28</v>
      </c>
      <c r="D1062">
        <v>71</v>
      </c>
      <c r="E1062">
        <v>700</v>
      </c>
      <c r="F1062">
        <v>3</v>
      </c>
      <c r="K1062" s="1">
        <f t="shared" si="107"/>
        <v>700</v>
      </c>
      <c r="L1062" s="1" t="str">
        <f t="shared" si="102"/>
        <v>Normal</v>
      </c>
      <c r="M1062" s="2">
        <f t="shared" si="103"/>
        <v>100</v>
      </c>
      <c r="N1062" s="1" t="str">
        <f t="shared" si="104"/>
        <v>Basah</v>
      </c>
      <c r="O1062" t="str">
        <f t="shared" si="105"/>
        <v>Fuzzy</v>
      </c>
      <c r="P1062" t="str">
        <f t="shared" si="106"/>
        <v/>
      </c>
    </row>
    <row r="1063" spans="1:16" x14ac:dyDescent="0.35">
      <c r="A1063" t="s">
        <v>1066</v>
      </c>
      <c r="B1063">
        <v>5276</v>
      </c>
      <c r="C1063">
        <v>28</v>
      </c>
      <c r="D1063">
        <v>70</v>
      </c>
      <c r="E1063">
        <v>722</v>
      </c>
      <c r="F1063">
        <v>4</v>
      </c>
      <c r="K1063" s="1">
        <f t="shared" si="107"/>
        <v>722</v>
      </c>
      <c r="L1063" s="1" t="str">
        <f t="shared" si="102"/>
        <v>Normal</v>
      </c>
      <c r="M1063" s="2">
        <f t="shared" si="103"/>
        <v>6.8111455108359129</v>
      </c>
      <c r="N1063" s="1" t="str">
        <f t="shared" si="104"/>
        <v>Kering</v>
      </c>
      <c r="O1063" t="str">
        <f t="shared" si="105"/>
        <v>Fuzzy</v>
      </c>
      <c r="P1063" t="str">
        <f t="shared" si="106"/>
        <v>Fuzzy</v>
      </c>
    </row>
    <row r="1064" spans="1:16" x14ac:dyDescent="0.35">
      <c r="A1064" t="s">
        <v>1067</v>
      </c>
      <c r="B1064">
        <v>5277</v>
      </c>
      <c r="C1064">
        <v>28</v>
      </c>
      <c r="D1064">
        <v>70</v>
      </c>
      <c r="E1064">
        <v>589</v>
      </c>
      <c r="F1064">
        <v>4</v>
      </c>
      <c r="K1064" s="1">
        <f t="shared" si="107"/>
        <v>589</v>
      </c>
      <c r="L1064" s="1" t="str">
        <f t="shared" si="102"/>
        <v>Normal</v>
      </c>
      <c r="M1064" s="2">
        <f t="shared" si="103"/>
        <v>72.25</v>
      </c>
      <c r="N1064" s="1" t="str">
        <f t="shared" si="104"/>
        <v>Basah</v>
      </c>
      <c r="O1064" t="str">
        <f t="shared" si="105"/>
        <v>Fuzzy</v>
      </c>
      <c r="P1064" t="str">
        <f t="shared" si="106"/>
        <v>Fuzzy</v>
      </c>
    </row>
    <row r="1065" spans="1:16" x14ac:dyDescent="0.35">
      <c r="A1065" t="s">
        <v>1068</v>
      </c>
      <c r="B1065">
        <v>5278</v>
      </c>
      <c r="C1065">
        <v>28</v>
      </c>
      <c r="D1065">
        <v>70</v>
      </c>
      <c r="E1065">
        <v>642</v>
      </c>
      <c r="F1065">
        <v>4</v>
      </c>
      <c r="K1065" s="1">
        <f t="shared" si="107"/>
        <v>642</v>
      </c>
      <c r="L1065" s="1" t="str">
        <f t="shared" si="102"/>
        <v>Normal</v>
      </c>
      <c r="M1065" s="2">
        <f t="shared" si="103"/>
        <v>85.5</v>
      </c>
      <c r="N1065" s="1" t="str">
        <f t="shared" si="104"/>
        <v>Basah</v>
      </c>
      <c r="O1065" t="str">
        <f t="shared" si="105"/>
        <v>Fuzzy</v>
      </c>
      <c r="P1065" t="str">
        <f t="shared" si="106"/>
        <v>Fuzzy</v>
      </c>
    </row>
    <row r="1066" spans="1:16" x14ac:dyDescent="0.35">
      <c r="A1066" t="s">
        <v>1069</v>
      </c>
      <c r="B1066">
        <v>5279</v>
      </c>
      <c r="C1066">
        <v>28</v>
      </c>
      <c r="D1066">
        <v>71</v>
      </c>
      <c r="E1066">
        <v>579</v>
      </c>
      <c r="F1066">
        <v>3</v>
      </c>
      <c r="K1066" s="1">
        <f t="shared" si="107"/>
        <v>579</v>
      </c>
      <c r="L1066" s="1" t="str">
        <f t="shared" si="102"/>
        <v>Normal</v>
      </c>
      <c r="M1066" s="2">
        <f t="shared" si="103"/>
        <v>69.75</v>
      </c>
      <c r="N1066" s="1" t="str">
        <f t="shared" si="104"/>
        <v>Basah</v>
      </c>
      <c r="O1066" t="str">
        <f t="shared" si="105"/>
        <v>Fuzzy</v>
      </c>
      <c r="P1066" t="str">
        <f t="shared" si="106"/>
        <v>Fuzzy</v>
      </c>
    </row>
    <row r="1067" spans="1:16" x14ac:dyDescent="0.35">
      <c r="A1067" t="s">
        <v>1070</v>
      </c>
      <c r="B1067">
        <v>5280</v>
      </c>
      <c r="C1067">
        <v>28</v>
      </c>
      <c r="D1067">
        <v>70</v>
      </c>
      <c r="E1067">
        <v>622</v>
      </c>
      <c r="F1067">
        <v>4</v>
      </c>
      <c r="K1067" s="1">
        <f t="shared" si="107"/>
        <v>622</v>
      </c>
      <c r="L1067" s="1" t="str">
        <f t="shared" si="102"/>
        <v>Normal</v>
      </c>
      <c r="M1067" s="2">
        <f t="shared" si="103"/>
        <v>80.5</v>
      </c>
      <c r="N1067" s="1" t="str">
        <f t="shared" si="104"/>
        <v>Basah</v>
      </c>
      <c r="O1067" t="str">
        <f t="shared" si="105"/>
        <v>Fuzzy</v>
      </c>
      <c r="P1067" t="str">
        <f t="shared" si="106"/>
        <v>Fuzzy</v>
      </c>
    </row>
    <row r="1068" spans="1:16" x14ac:dyDescent="0.35">
      <c r="A1068" t="s">
        <v>1071</v>
      </c>
      <c r="B1068">
        <v>5281</v>
      </c>
      <c r="C1068">
        <v>28</v>
      </c>
      <c r="D1068">
        <v>70</v>
      </c>
      <c r="E1068">
        <v>630</v>
      </c>
      <c r="F1068">
        <v>3</v>
      </c>
      <c r="K1068" s="1">
        <f t="shared" si="107"/>
        <v>630</v>
      </c>
      <c r="L1068" s="1" t="str">
        <f t="shared" si="102"/>
        <v>Normal</v>
      </c>
      <c r="M1068" s="2">
        <f t="shared" si="103"/>
        <v>82.5</v>
      </c>
      <c r="N1068" s="1" t="str">
        <f t="shared" si="104"/>
        <v>Basah</v>
      </c>
      <c r="O1068" t="str">
        <f t="shared" si="105"/>
        <v>Fuzzy</v>
      </c>
      <c r="P1068" t="str">
        <f t="shared" si="106"/>
        <v>Fuzzy</v>
      </c>
    </row>
    <row r="1069" spans="1:16" x14ac:dyDescent="0.35">
      <c r="A1069" t="s">
        <v>1072</v>
      </c>
      <c r="B1069">
        <v>5282</v>
      </c>
      <c r="C1069">
        <v>28</v>
      </c>
      <c r="D1069">
        <v>70</v>
      </c>
      <c r="E1069">
        <v>634</v>
      </c>
      <c r="F1069">
        <v>3</v>
      </c>
      <c r="K1069" s="1">
        <f t="shared" si="107"/>
        <v>634</v>
      </c>
      <c r="L1069" s="1" t="str">
        <f t="shared" si="102"/>
        <v>Normal</v>
      </c>
      <c r="M1069" s="2">
        <f t="shared" si="103"/>
        <v>83.5</v>
      </c>
      <c r="N1069" s="1" t="str">
        <f t="shared" si="104"/>
        <v>Basah</v>
      </c>
      <c r="O1069" t="str">
        <f t="shared" si="105"/>
        <v>Fuzzy</v>
      </c>
      <c r="P1069" t="str">
        <f t="shared" si="106"/>
        <v>Fuzzy</v>
      </c>
    </row>
    <row r="1070" spans="1:16" x14ac:dyDescent="0.35">
      <c r="A1070" t="s">
        <v>1073</v>
      </c>
      <c r="B1070">
        <v>5283</v>
      </c>
      <c r="C1070">
        <v>28</v>
      </c>
      <c r="D1070">
        <v>69</v>
      </c>
      <c r="E1070">
        <v>609</v>
      </c>
      <c r="F1070">
        <v>4</v>
      </c>
      <c r="K1070" s="1">
        <f t="shared" si="107"/>
        <v>609</v>
      </c>
      <c r="L1070" s="1" t="str">
        <f t="shared" si="102"/>
        <v>Normal</v>
      </c>
      <c r="M1070" s="2">
        <f t="shared" si="103"/>
        <v>77.25</v>
      </c>
      <c r="N1070" s="1" t="str">
        <f t="shared" si="104"/>
        <v>Basah</v>
      </c>
      <c r="O1070" t="str">
        <f t="shared" si="105"/>
        <v>Fuzzy</v>
      </c>
      <c r="P1070" t="str">
        <f t="shared" si="106"/>
        <v>Fuzzy</v>
      </c>
    </row>
    <row r="1071" spans="1:16" x14ac:dyDescent="0.35">
      <c r="A1071" t="s">
        <v>1074</v>
      </c>
      <c r="B1071">
        <v>5284</v>
      </c>
      <c r="C1071">
        <v>28</v>
      </c>
      <c r="D1071">
        <v>69</v>
      </c>
      <c r="E1071">
        <v>620</v>
      </c>
      <c r="F1071">
        <v>4</v>
      </c>
      <c r="K1071" s="1">
        <f t="shared" si="107"/>
        <v>620</v>
      </c>
      <c r="L1071" s="1" t="str">
        <f t="shared" si="102"/>
        <v>Normal</v>
      </c>
      <c r="M1071" s="2">
        <f t="shared" si="103"/>
        <v>80</v>
      </c>
      <c r="N1071" s="1" t="str">
        <f t="shared" si="104"/>
        <v>Basah</v>
      </c>
      <c r="O1071" t="str">
        <f t="shared" si="105"/>
        <v>Fuzzy</v>
      </c>
      <c r="P1071" t="str">
        <f t="shared" si="106"/>
        <v>Fuzzy</v>
      </c>
    </row>
    <row r="1072" spans="1:16" x14ac:dyDescent="0.35">
      <c r="A1072" t="s">
        <v>1075</v>
      </c>
      <c r="B1072">
        <v>5285</v>
      </c>
      <c r="C1072">
        <v>28</v>
      </c>
      <c r="D1072">
        <v>70</v>
      </c>
      <c r="E1072">
        <v>624</v>
      </c>
      <c r="F1072">
        <v>4</v>
      </c>
      <c r="K1072" s="1">
        <f t="shared" si="107"/>
        <v>624</v>
      </c>
      <c r="L1072" s="1" t="str">
        <f t="shared" si="102"/>
        <v>Normal</v>
      </c>
      <c r="M1072" s="2">
        <f t="shared" si="103"/>
        <v>81</v>
      </c>
      <c r="N1072" s="1" t="str">
        <f t="shared" si="104"/>
        <v>Basah</v>
      </c>
      <c r="O1072" t="str">
        <f t="shared" si="105"/>
        <v>Fuzzy</v>
      </c>
      <c r="P1072" t="str">
        <f t="shared" si="106"/>
        <v>Fuzzy</v>
      </c>
    </row>
    <row r="1073" spans="1:16" x14ac:dyDescent="0.35">
      <c r="A1073" t="s">
        <v>1076</v>
      </c>
      <c r="B1073">
        <v>5286</v>
      </c>
      <c r="C1073">
        <v>28</v>
      </c>
      <c r="D1073">
        <v>69</v>
      </c>
      <c r="E1073">
        <v>538</v>
      </c>
      <c r="F1073">
        <v>4</v>
      </c>
      <c r="K1073" s="1">
        <f t="shared" si="107"/>
        <v>538</v>
      </c>
      <c r="L1073" s="1" t="str">
        <f t="shared" si="102"/>
        <v>Normal</v>
      </c>
      <c r="M1073" s="2">
        <f t="shared" si="103"/>
        <v>59.5</v>
      </c>
      <c r="N1073" s="1" t="str">
        <f t="shared" si="104"/>
        <v>Lembab</v>
      </c>
      <c r="O1073" t="str">
        <f t="shared" si="105"/>
        <v>Fuzzy</v>
      </c>
      <c r="P1073" t="str">
        <f t="shared" si="106"/>
        <v>Fuzzy</v>
      </c>
    </row>
    <row r="1074" spans="1:16" x14ac:dyDescent="0.35">
      <c r="A1074" t="s">
        <v>1077</v>
      </c>
      <c r="B1074">
        <v>5287</v>
      </c>
      <c r="C1074">
        <v>28</v>
      </c>
      <c r="D1074">
        <v>70</v>
      </c>
      <c r="E1074">
        <v>680</v>
      </c>
      <c r="F1074">
        <v>4</v>
      </c>
      <c r="K1074" s="1">
        <f t="shared" si="107"/>
        <v>680</v>
      </c>
      <c r="L1074" s="1" t="str">
        <f t="shared" si="102"/>
        <v>Normal</v>
      </c>
      <c r="M1074" s="2">
        <f t="shared" si="103"/>
        <v>95</v>
      </c>
      <c r="N1074" s="1" t="str">
        <f t="shared" si="104"/>
        <v>Basah</v>
      </c>
      <c r="O1074" t="str">
        <f t="shared" si="105"/>
        <v>Fuzzy</v>
      </c>
      <c r="P1074" t="str">
        <f t="shared" si="106"/>
        <v>Fuzzy</v>
      </c>
    </row>
    <row r="1075" spans="1:16" x14ac:dyDescent="0.35">
      <c r="A1075" t="s">
        <v>1078</v>
      </c>
      <c r="B1075">
        <v>5288</v>
      </c>
      <c r="C1075">
        <v>28</v>
      </c>
      <c r="D1075">
        <v>68</v>
      </c>
      <c r="E1075">
        <v>607</v>
      </c>
      <c r="F1075">
        <v>4</v>
      </c>
      <c r="K1075" s="1">
        <f t="shared" si="107"/>
        <v>607</v>
      </c>
      <c r="L1075" s="1" t="str">
        <f t="shared" si="102"/>
        <v>Normal</v>
      </c>
      <c r="M1075" s="2">
        <f t="shared" si="103"/>
        <v>76.75</v>
      </c>
      <c r="N1075" s="1" t="str">
        <f t="shared" si="104"/>
        <v>Basah</v>
      </c>
      <c r="O1075" t="str">
        <f t="shared" si="105"/>
        <v>Fuzzy</v>
      </c>
      <c r="P1075" t="str">
        <f t="shared" si="106"/>
        <v>Fuzzy</v>
      </c>
    </row>
    <row r="1076" spans="1:16" x14ac:dyDescent="0.35">
      <c r="A1076" t="s">
        <v>1079</v>
      </c>
      <c r="B1076">
        <v>5289</v>
      </c>
      <c r="C1076">
        <v>28</v>
      </c>
      <c r="D1076">
        <v>67</v>
      </c>
      <c r="E1076">
        <v>704</v>
      </c>
      <c r="F1076">
        <v>4</v>
      </c>
      <c r="K1076" s="1">
        <f t="shared" si="107"/>
        <v>704</v>
      </c>
      <c r="L1076" s="1" t="str">
        <f t="shared" si="102"/>
        <v>Normal</v>
      </c>
      <c r="M1076" s="2">
        <f t="shared" si="103"/>
        <v>1.2383900928792571</v>
      </c>
      <c r="N1076" s="1" t="str">
        <f t="shared" si="104"/>
        <v>Kering</v>
      </c>
      <c r="O1076" t="str">
        <f t="shared" si="105"/>
        <v>Fuzzy</v>
      </c>
      <c r="P1076" t="str">
        <f t="shared" si="106"/>
        <v>Fuzzy</v>
      </c>
    </row>
    <row r="1077" spans="1:16" x14ac:dyDescent="0.35">
      <c r="A1077" t="s">
        <v>1080</v>
      </c>
      <c r="B1077">
        <v>5290</v>
      </c>
      <c r="C1077">
        <v>28</v>
      </c>
      <c r="D1077">
        <v>67</v>
      </c>
      <c r="E1077">
        <v>526</v>
      </c>
      <c r="F1077">
        <v>3</v>
      </c>
      <c r="K1077" s="1">
        <f t="shared" si="107"/>
        <v>526</v>
      </c>
      <c r="L1077" s="1" t="str">
        <f t="shared" si="102"/>
        <v>Normal</v>
      </c>
      <c r="M1077" s="2">
        <f t="shared" si="103"/>
        <v>56.499999999999993</v>
      </c>
      <c r="N1077" s="1" t="str">
        <f t="shared" si="104"/>
        <v>Lembab</v>
      </c>
      <c r="O1077" t="str">
        <f t="shared" si="105"/>
        <v>Fuzzy</v>
      </c>
      <c r="P1077" t="str">
        <f t="shared" si="106"/>
        <v>Fuzzy</v>
      </c>
    </row>
    <row r="1078" spans="1:16" x14ac:dyDescent="0.35">
      <c r="A1078" t="s">
        <v>1081</v>
      </c>
      <c r="B1078">
        <v>5291</v>
      </c>
      <c r="C1078">
        <v>28</v>
      </c>
      <c r="D1078">
        <v>68</v>
      </c>
      <c r="E1078">
        <v>592</v>
      </c>
      <c r="F1078">
        <v>4</v>
      </c>
      <c r="K1078" s="1">
        <f t="shared" si="107"/>
        <v>592</v>
      </c>
      <c r="L1078" s="1" t="str">
        <f t="shared" si="102"/>
        <v>Normal</v>
      </c>
      <c r="M1078" s="2">
        <f t="shared" si="103"/>
        <v>73</v>
      </c>
      <c r="N1078" s="1" t="str">
        <f t="shared" si="104"/>
        <v>Basah</v>
      </c>
      <c r="O1078" t="str">
        <f t="shared" si="105"/>
        <v>Fuzzy</v>
      </c>
      <c r="P1078" t="str">
        <f t="shared" si="106"/>
        <v>Fuzzy</v>
      </c>
    </row>
    <row r="1079" spans="1:16" x14ac:dyDescent="0.35">
      <c r="A1079" t="s">
        <v>1082</v>
      </c>
      <c r="B1079">
        <v>5292</v>
      </c>
      <c r="C1079">
        <v>28</v>
      </c>
      <c r="D1079">
        <v>68</v>
      </c>
      <c r="E1079">
        <v>471</v>
      </c>
      <c r="F1079">
        <v>3</v>
      </c>
      <c r="K1079" s="1">
        <f t="shared" si="107"/>
        <v>471</v>
      </c>
      <c r="L1079" s="1" t="str">
        <f t="shared" si="102"/>
        <v>Normal</v>
      </c>
      <c r="M1079" s="2">
        <f t="shared" si="103"/>
        <v>42.75</v>
      </c>
      <c r="N1079" s="1" t="str">
        <f t="shared" si="104"/>
        <v>Lembab</v>
      </c>
      <c r="O1079" t="str">
        <f t="shared" si="105"/>
        <v>Fuzzy</v>
      </c>
      <c r="P1079" t="str">
        <f t="shared" si="106"/>
        <v>Fuzzy</v>
      </c>
    </row>
    <row r="1080" spans="1:16" x14ac:dyDescent="0.35">
      <c r="A1080" t="s">
        <v>1083</v>
      </c>
      <c r="B1080">
        <v>5293</v>
      </c>
      <c r="C1080">
        <v>28</v>
      </c>
      <c r="D1080">
        <v>68</v>
      </c>
      <c r="E1080">
        <v>676</v>
      </c>
      <c r="F1080">
        <v>3</v>
      </c>
      <c r="K1080" s="1">
        <f t="shared" si="107"/>
        <v>676</v>
      </c>
      <c r="L1080" s="1" t="str">
        <f t="shared" si="102"/>
        <v>Normal</v>
      </c>
      <c r="M1080" s="2">
        <f t="shared" si="103"/>
        <v>94</v>
      </c>
      <c r="N1080" s="1" t="str">
        <f t="shared" si="104"/>
        <v>Basah</v>
      </c>
      <c r="O1080" t="str">
        <f t="shared" si="105"/>
        <v>Fuzzy</v>
      </c>
      <c r="P1080" t="str">
        <f t="shared" si="106"/>
        <v>Fuzzy</v>
      </c>
    </row>
    <row r="1081" spans="1:16" x14ac:dyDescent="0.35">
      <c r="A1081" t="s">
        <v>1084</v>
      </c>
      <c r="B1081">
        <v>5294</v>
      </c>
      <c r="C1081">
        <v>28</v>
      </c>
      <c r="D1081">
        <v>68</v>
      </c>
      <c r="E1081">
        <v>626</v>
      </c>
      <c r="F1081">
        <v>4</v>
      </c>
      <c r="K1081" s="1">
        <f t="shared" si="107"/>
        <v>626</v>
      </c>
      <c r="L1081" s="1" t="str">
        <f t="shared" si="102"/>
        <v>Normal</v>
      </c>
      <c r="M1081" s="2">
        <f t="shared" si="103"/>
        <v>81.5</v>
      </c>
      <c r="N1081" s="1" t="str">
        <f t="shared" si="104"/>
        <v>Basah</v>
      </c>
      <c r="O1081" t="str">
        <f t="shared" si="105"/>
        <v>Fuzzy</v>
      </c>
      <c r="P1081" t="str">
        <f t="shared" si="106"/>
        <v>Fuzzy</v>
      </c>
    </row>
    <row r="1082" spans="1:16" x14ac:dyDescent="0.35">
      <c r="A1082" t="s">
        <v>1085</v>
      </c>
      <c r="B1082">
        <v>5295</v>
      </c>
      <c r="C1082">
        <v>28</v>
      </c>
      <c r="D1082">
        <v>69</v>
      </c>
      <c r="E1082">
        <v>628</v>
      </c>
      <c r="F1082">
        <v>4</v>
      </c>
      <c r="K1082" s="1">
        <f t="shared" si="107"/>
        <v>628</v>
      </c>
      <c r="L1082" s="1" t="str">
        <f t="shared" si="102"/>
        <v>Normal</v>
      </c>
      <c r="M1082" s="2">
        <f t="shared" si="103"/>
        <v>82</v>
      </c>
      <c r="N1082" s="1" t="str">
        <f t="shared" si="104"/>
        <v>Basah</v>
      </c>
      <c r="O1082" t="str">
        <f t="shared" si="105"/>
        <v>Fuzzy</v>
      </c>
      <c r="P1082" t="str">
        <f t="shared" si="106"/>
        <v>Fuzzy</v>
      </c>
    </row>
    <row r="1083" spans="1:16" x14ac:dyDescent="0.35">
      <c r="A1083" t="s">
        <v>1086</v>
      </c>
      <c r="B1083">
        <v>5296</v>
      </c>
      <c r="C1083">
        <v>28</v>
      </c>
      <c r="D1083">
        <v>70</v>
      </c>
      <c r="E1083">
        <v>626</v>
      </c>
      <c r="F1083">
        <v>3</v>
      </c>
      <c r="K1083" s="1">
        <f t="shared" si="107"/>
        <v>626</v>
      </c>
      <c r="L1083" s="1" t="str">
        <f t="shared" si="102"/>
        <v>Normal</v>
      </c>
      <c r="M1083" s="2">
        <f t="shared" si="103"/>
        <v>81.5</v>
      </c>
      <c r="N1083" s="1" t="str">
        <f t="shared" si="104"/>
        <v>Basah</v>
      </c>
      <c r="O1083" t="str">
        <f t="shared" si="105"/>
        <v>Fuzzy</v>
      </c>
      <c r="P1083" t="str">
        <f t="shared" si="106"/>
        <v>Fuzzy</v>
      </c>
    </row>
    <row r="1084" spans="1:16" x14ac:dyDescent="0.35">
      <c r="A1084" t="s">
        <v>1087</v>
      </c>
      <c r="B1084">
        <v>5297</v>
      </c>
      <c r="C1084">
        <v>28</v>
      </c>
      <c r="D1084">
        <v>70</v>
      </c>
      <c r="E1084">
        <v>540</v>
      </c>
      <c r="F1084">
        <v>3</v>
      </c>
      <c r="K1084" s="1">
        <f t="shared" si="107"/>
        <v>540</v>
      </c>
      <c r="L1084" s="1" t="str">
        <f t="shared" si="102"/>
        <v>Normal</v>
      </c>
      <c r="M1084" s="2">
        <f t="shared" si="103"/>
        <v>60</v>
      </c>
      <c r="N1084" s="1" t="str">
        <f t="shared" si="104"/>
        <v>Lembab</v>
      </c>
      <c r="O1084" t="str">
        <f t="shared" si="105"/>
        <v>Fuzzy</v>
      </c>
      <c r="P1084" t="str">
        <f t="shared" si="106"/>
        <v>Fuzzy</v>
      </c>
    </row>
    <row r="1085" spans="1:16" x14ac:dyDescent="0.35">
      <c r="A1085" t="s">
        <v>1088</v>
      </c>
      <c r="B1085">
        <v>5298</v>
      </c>
      <c r="C1085">
        <v>28</v>
      </c>
      <c r="D1085">
        <v>69</v>
      </c>
      <c r="E1085">
        <v>609</v>
      </c>
      <c r="F1085">
        <v>4</v>
      </c>
      <c r="K1085" s="1">
        <f t="shared" si="107"/>
        <v>609</v>
      </c>
      <c r="L1085" s="1" t="str">
        <f t="shared" si="102"/>
        <v>Normal</v>
      </c>
      <c r="M1085" s="2">
        <f t="shared" si="103"/>
        <v>77.25</v>
      </c>
      <c r="N1085" s="1" t="str">
        <f t="shared" si="104"/>
        <v>Basah</v>
      </c>
      <c r="O1085" t="str">
        <f t="shared" si="105"/>
        <v>Fuzzy</v>
      </c>
      <c r="P1085" t="str">
        <f t="shared" si="106"/>
        <v>Fuzzy</v>
      </c>
    </row>
    <row r="1086" spans="1:16" x14ac:dyDescent="0.35">
      <c r="A1086" t="s">
        <v>1089</v>
      </c>
      <c r="B1086">
        <v>5299</v>
      </c>
      <c r="C1086">
        <v>28</v>
      </c>
      <c r="D1086">
        <v>70</v>
      </c>
      <c r="E1086">
        <v>665</v>
      </c>
      <c r="F1086">
        <v>4</v>
      </c>
      <c r="K1086" s="1">
        <f t="shared" si="107"/>
        <v>665</v>
      </c>
      <c r="L1086" s="1" t="str">
        <f t="shared" si="102"/>
        <v>Normal</v>
      </c>
      <c r="M1086" s="2">
        <f t="shared" si="103"/>
        <v>91.25</v>
      </c>
      <c r="N1086" s="1" t="str">
        <f t="shared" si="104"/>
        <v>Basah</v>
      </c>
      <c r="O1086" t="str">
        <f t="shared" si="105"/>
        <v>Fuzzy</v>
      </c>
      <c r="P1086" t="str">
        <f t="shared" si="106"/>
        <v>Fuzzy</v>
      </c>
    </row>
    <row r="1087" spans="1:16" x14ac:dyDescent="0.35">
      <c r="A1087" t="s">
        <v>1090</v>
      </c>
      <c r="B1087">
        <v>5300</v>
      </c>
      <c r="C1087">
        <v>28</v>
      </c>
      <c r="D1087">
        <v>69</v>
      </c>
      <c r="E1087">
        <v>659</v>
      </c>
      <c r="F1087">
        <v>4</v>
      </c>
      <c r="K1087" s="1">
        <f t="shared" si="107"/>
        <v>659</v>
      </c>
      <c r="L1087" s="1" t="str">
        <f t="shared" si="102"/>
        <v>Normal</v>
      </c>
      <c r="M1087" s="2">
        <f t="shared" si="103"/>
        <v>89.75</v>
      </c>
      <c r="N1087" s="1" t="str">
        <f t="shared" si="104"/>
        <v>Basah</v>
      </c>
      <c r="O1087" t="str">
        <f t="shared" si="105"/>
        <v>Fuzzy</v>
      </c>
      <c r="P1087" t="str">
        <f t="shared" si="106"/>
        <v>Fuzzy</v>
      </c>
    </row>
    <row r="1088" spans="1:16" x14ac:dyDescent="0.35">
      <c r="A1088" t="s">
        <v>1091</v>
      </c>
      <c r="B1088">
        <v>5301</v>
      </c>
      <c r="C1088">
        <v>28</v>
      </c>
      <c r="D1088">
        <v>70</v>
      </c>
      <c r="E1088">
        <v>746</v>
      </c>
      <c r="F1088">
        <v>3</v>
      </c>
      <c r="K1088" s="1">
        <f t="shared" si="107"/>
        <v>746</v>
      </c>
      <c r="L1088" s="1" t="str">
        <f t="shared" si="102"/>
        <v>Normal</v>
      </c>
      <c r="M1088" s="2">
        <f t="shared" si="103"/>
        <v>14.241486068111456</v>
      </c>
      <c r="N1088" s="1" t="str">
        <f t="shared" si="104"/>
        <v>Kering</v>
      </c>
      <c r="O1088" t="str">
        <f t="shared" si="105"/>
        <v>Fuzzy</v>
      </c>
      <c r="P1088" t="str">
        <f t="shared" si="106"/>
        <v>Fuzzy</v>
      </c>
    </row>
    <row r="1089" spans="1:16" x14ac:dyDescent="0.35">
      <c r="A1089" t="s">
        <v>1092</v>
      </c>
      <c r="B1089">
        <v>5302</v>
      </c>
      <c r="C1089">
        <v>28</v>
      </c>
      <c r="D1089">
        <v>70</v>
      </c>
      <c r="E1089">
        <v>619</v>
      </c>
      <c r="F1089">
        <v>4</v>
      </c>
      <c r="K1089" s="1">
        <f t="shared" si="107"/>
        <v>619</v>
      </c>
      <c r="L1089" s="1" t="str">
        <f t="shared" si="102"/>
        <v>Normal</v>
      </c>
      <c r="M1089" s="2">
        <f t="shared" si="103"/>
        <v>79.75</v>
      </c>
      <c r="N1089" s="1" t="str">
        <f t="shared" si="104"/>
        <v>Basah</v>
      </c>
      <c r="O1089" t="str">
        <f t="shared" si="105"/>
        <v>Fuzzy</v>
      </c>
      <c r="P1089" t="str">
        <f t="shared" si="106"/>
        <v>Fuzzy</v>
      </c>
    </row>
    <row r="1090" spans="1:16" x14ac:dyDescent="0.35">
      <c r="A1090" t="s">
        <v>1093</v>
      </c>
      <c r="B1090">
        <v>5303</v>
      </c>
      <c r="C1090">
        <v>28</v>
      </c>
      <c r="D1090">
        <v>70</v>
      </c>
      <c r="E1090">
        <v>626</v>
      </c>
      <c r="F1090">
        <v>4</v>
      </c>
      <c r="K1090" s="1">
        <f t="shared" si="107"/>
        <v>626</v>
      </c>
      <c r="L1090" s="1" t="str">
        <f t="shared" si="102"/>
        <v>Normal</v>
      </c>
      <c r="M1090" s="2">
        <f t="shared" si="103"/>
        <v>81.5</v>
      </c>
      <c r="N1090" s="1" t="str">
        <f t="shared" si="104"/>
        <v>Basah</v>
      </c>
      <c r="O1090" t="str">
        <f t="shared" si="105"/>
        <v>Fuzzy</v>
      </c>
      <c r="P1090" t="str">
        <f t="shared" si="106"/>
        <v>Fuzzy</v>
      </c>
    </row>
    <row r="1091" spans="1:16" x14ac:dyDescent="0.35">
      <c r="A1091" t="s">
        <v>1094</v>
      </c>
      <c r="B1091">
        <v>5304</v>
      </c>
      <c r="C1091">
        <v>28</v>
      </c>
      <c r="D1091">
        <v>70</v>
      </c>
      <c r="E1091">
        <v>650</v>
      </c>
      <c r="F1091">
        <v>4</v>
      </c>
      <c r="K1091" s="1">
        <f t="shared" si="107"/>
        <v>650</v>
      </c>
      <c r="L1091" s="1" t="str">
        <f t="shared" ref="L1091:L1154" si="108">IF(A1090 &lt;= 10, "Dingin", IF(OR(A1090 &gt;= 10, A1090 &lt; 35), "Normal", "Panas"))</f>
        <v>Normal</v>
      </c>
      <c r="M1091" s="2">
        <f t="shared" ref="M1091:M1154" si="109">IF(K1091&lt;=300, K1091/1023*100, IF(K1091&lt;=700, (K1091-300)/(700-301+1)*100, (K1091-700)/(1023-701+1)*100))</f>
        <v>87.5</v>
      </c>
      <c r="N1091" s="1" t="str">
        <f t="shared" ref="N1091:N1154" si="110">IF(M1091&lt;=29.32, "Kering", IF(M1091&lt;=68.53, "Lembab", "Basah"))</f>
        <v>Basah</v>
      </c>
      <c r="O1091" t="str">
        <f t="shared" ref="O1091:O1154" si="111">IF(OR(AND(C1091 &gt; 10, C1091 &lt; 22.5), AND(C1091 &gt;= 22.5, C1091 &lt; 35)), "Fuzzy", "")</f>
        <v>Fuzzy</v>
      </c>
      <c r="P1091" t="str">
        <f t="shared" ref="P1091:P1154" si="112">IF(OR(AND(M1091 &gt;= 0, M1091 &lt; 50), AND(M1091 &gt;= 50, M1091 &lt; 100)), "Fuzzy", "")</f>
        <v>Fuzzy</v>
      </c>
    </row>
    <row r="1092" spans="1:16" x14ac:dyDescent="0.35">
      <c r="A1092" t="s">
        <v>1095</v>
      </c>
      <c r="B1092">
        <v>5305</v>
      </c>
      <c r="C1092">
        <v>28</v>
      </c>
      <c r="D1092">
        <v>70</v>
      </c>
      <c r="E1092">
        <v>619</v>
      </c>
      <c r="F1092">
        <v>4</v>
      </c>
      <c r="K1092" s="1">
        <f t="shared" si="107"/>
        <v>619</v>
      </c>
      <c r="L1092" s="1" t="str">
        <f t="shared" si="108"/>
        <v>Normal</v>
      </c>
      <c r="M1092" s="2">
        <f t="shared" si="109"/>
        <v>79.75</v>
      </c>
      <c r="N1092" s="1" t="str">
        <f t="shared" si="110"/>
        <v>Basah</v>
      </c>
      <c r="O1092" t="str">
        <f t="shared" si="111"/>
        <v>Fuzzy</v>
      </c>
      <c r="P1092" t="str">
        <f t="shared" si="112"/>
        <v>Fuzzy</v>
      </c>
    </row>
    <row r="1093" spans="1:16" x14ac:dyDescent="0.35">
      <c r="A1093" t="s">
        <v>1096</v>
      </c>
      <c r="B1093">
        <v>5306</v>
      </c>
      <c r="C1093">
        <v>28</v>
      </c>
      <c r="D1093">
        <v>70</v>
      </c>
      <c r="E1093">
        <v>732</v>
      </c>
      <c r="F1093">
        <v>4</v>
      </c>
      <c r="K1093" s="1">
        <f t="shared" si="107"/>
        <v>732</v>
      </c>
      <c r="L1093" s="1" t="str">
        <f t="shared" si="108"/>
        <v>Normal</v>
      </c>
      <c r="M1093" s="2">
        <f t="shared" si="109"/>
        <v>9.9071207430340564</v>
      </c>
      <c r="N1093" s="1" t="str">
        <f t="shared" si="110"/>
        <v>Kering</v>
      </c>
      <c r="O1093" t="str">
        <f t="shared" si="111"/>
        <v>Fuzzy</v>
      </c>
      <c r="P1093" t="str">
        <f t="shared" si="112"/>
        <v>Fuzzy</v>
      </c>
    </row>
    <row r="1094" spans="1:16" x14ac:dyDescent="0.35">
      <c r="A1094" t="s">
        <v>1097</v>
      </c>
      <c r="B1094">
        <v>5307</v>
      </c>
      <c r="C1094">
        <v>28</v>
      </c>
      <c r="D1094">
        <v>70</v>
      </c>
      <c r="E1094">
        <v>630</v>
      </c>
      <c r="F1094">
        <v>4</v>
      </c>
      <c r="K1094" s="1">
        <f t="shared" si="107"/>
        <v>630</v>
      </c>
      <c r="L1094" s="1" t="str">
        <f t="shared" si="108"/>
        <v>Normal</v>
      </c>
      <c r="M1094" s="2">
        <f t="shared" si="109"/>
        <v>82.5</v>
      </c>
      <c r="N1094" s="1" t="str">
        <f t="shared" si="110"/>
        <v>Basah</v>
      </c>
      <c r="O1094" t="str">
        <f t="shared" si="111"/>
        <v>Fuzzy</v>
      </c>
      <c r="P1094" t="str">
        <f t="shared" si="112"/>
        <v>Fuzzy</v>
      </c>
    </row>
    <row r="1095" spans="1:16" x14ac:dyDescent="0.35">
      <c r="A1095" t="s">
        <v>1098</v>
      </c>
      <c r="B1095">
        <v>5308</v>
      </c>
      <c r="C1095">
        <v>28</v>
      </c>
      <c r="D1095">
        <v>69</v>
      </c>
      <c r="E1095">
        <v>575</v>
      </c>
      <c r="F1095">
        <v>4</v>
      </c>
      <c r="K1095" s="1">
        <f t="shared" si="107"/>
        <v>575</v>
      </c>
      <c r="L1095" s="1" t="str">
        <f t="shared" si="108"/>
        <v>Normal</v>
      </c>
      <c r="M1095" s="2">
        <f t="shared" si="109"/>
        <v>68.75</v>
      </c>
      <c r="N1095" s="1" t="str">
        <f t="shared" si="110"/>
        <v>Basah</v>
      </c>
      <c r="O1095" t="str">
        <f t="shared" si="111"/>
        <v>Fuzzy</v>
      </c>
      <c r="P1095" t="str">
        <f t="shared" si="112"/>
        <v>Fuzzy</v>
      </c>
    </row>
    <row r="1096" spans="1:16" x14ac:dyDescent="0.35">
      <c r="A1096" t="s">
        <v>1099</v>
      </c>
      <c r="B1096">
        <v>5309</v>
      </c>
      <c r="C1096">
        <v>28</v>
      </c>
      <c r="D1096">
        <v>69</v>
      </c>
      <c r="E1096">
        <v>654</v>
      </c>
      <c r="F1096">
        <v>4</v>
      </c>
      <c r="K1096" s="1">
        <f t="shared" si="107"/>
        <v>654</v>
      </c>
      <c r="L1096" s="1" t="str">
        <f t="shared" si="108"/>
        <v>Normal</v>
      </c>
      <c r="M1096" s="2">
        <f t="shared" si="109"/>
        <v>88.5</v>
      </c>
      <c r="N1096" s="1" t="str">
        <f t="shared" si="110"/>
        <v>Basah</v>
      </c>
      <c r="O1096" t="str">
        <f t="shared" si="111"/>
        <v>Fuzzy</v>
      </c>
      <c r="P1096" t="str">
        <f t="shared" si="112"/>
        <v>Fuzzy</v>
      </c>
    </row>
    <row r="1097" spans="1:16" x14ac:dyDescent="0.35">
      <c r="A1097" t="s">
        <v>1100</v>
      </c>
      <c r="B1097">
        <v>5310</v>
      </c>
      <c r="C1097">
        <v>28</v>
      </c>
      <c r="D1097">
        <v>69</v>
      </c>
      <c r="E1097">
        <v>559</v>
      </c>
      <c r="F1097">
        <v>4</v>
      </c>
      <c r="K1097" s="1">
        <f t="shared" si="107"/>
        <v>559</v>
      </c>
      <c r="L1097" s="1" t="str">
        <f t="shared" si="108"/>
        <v>Normal</v>
      </c>
      <c r="M1097" s="2">
        <f t="shared" si="109"/>
        <v>64.75</v>
      </c>
      <c r="N1097" s="1" t="str">
        <f t="shared" si="110"/>
        <v>Lembab</v>
      </c>
      <c r="O1097" t="str">
        <f t="shared" si="111"/>
        <v>Fuzzy</v>
      </c>
      <c r="P1097" t="str">
        <f t="shared" si="112"/>
        <v>Fuzzy</v>
      </c>
    </row>
    <row r="1098" spans="1:16" x14ac:dyDescent="0.35">
      <c r="A1098" t="s">
        <v>1101</v>
      </c>
      <c r="B1098">
        <v>5311</v>
      </c>
      <c r="C1098">
        <v>28</v>
      </c>
      <c r="D1098">
        <v>69</v>
      </c>
      <c r="E1098">
        <v>616</v>
      </c>
      <c r="F1098">
        <v>4</v>
      </c>
      <c r="K1098" s="1">
        <f t="shared" si="107"/>
        <v>616</v>
      </c>
      <c r="L1098" s="1" t="str">
        <f t="shared" si="108"/>
        <v>Normal</v>
      </c>
      <c r="M1098" s="2">
        <f t="shared" si="109"/>
        <v>79</v>
      </c>
      <c r="N1098" s="1" t="str">
        <f t="shared" si="110"/>
        <v>Basah</v>
      </c>
      <c r="O1098" t="str">
        <f t="shared" si="111"/>
        <v>Fuzzy</v>
      </c>
      <c r="P1098" t="str">
        <f t="shared" si="112"/>
        <v>Fuzzy</v>
      </c>
    </row>
    <row r="1099" spans="1:16" x14ac:dyDescent="0.35">
      <c r="A1099" t="s">
        <v>1102</v>
      </c>
      <c r="B1099">
        <v>5312</v>
      </c>
      <c r="C1099">
        <v>28</v>
      </c>
      <c r="D1099">
        <v>69</v>
      </c>
      <c r="E1099">
        <v>572</v>
      </c>
      <c r="F1099">
        <v>3</v>
      </c>
      <c r="K1099" s="1">
        <f t="shared" si="107"/>
        <v>572</v>
      </c>
      <c r="L1099" s="1" t="str">
        <f t="shared" si="108"/>
        <v>Normal</v>
      </c>
      <c r="M1099" s="2">
        <f t="shared" si="109"/>
        <v>68</v>
      </c>
      <c r="N1099" s="1" t="str">
        <f t="shared" si="110"/>
        <v>Lembab</v>
      </c>
      <c r="O1099" t="str">
        <f t="shared" si="111"/>
        <v>Fuzzy</v>
      </c>
      <c r="P1099" t="str">
        <f t="shared" si="112"/>
        <v>Fuzzy</v>
      </c>
    </row>
    <row r="1100" spans="1:16" x14ac:dyDescent="0.35">
      <c r="A1100" t="s">
        <v>1103</v>
      </c>
      <c r="B1100">
        <v>5313</v>
      </c>
      <c r="C1100">
        <v>28</v>
      </c>
      <c r="D1100">
        <v>67</v>
      </c>
      <c r="E1100">
        <v>617</v>
      </c>
      <c r="F1100">
        <v>4</v>
      </c>
      <c r="K1100" s="1">
        <f t="shared" si="107"/>
        <v>617</v>
      </c>
      <c r="L1100" s="1" t="str">
        <f t="shared" si="108"/>
        <v>Normal</v>
      </c>
      <c r="M1100" s="2">
        <f t="shared" si="109"/>
        <v>79.25</v>
      </c>
      <c r="N1100" s="1" t="str">
        <f t="shared" si="110"/>
        <v>Basah</v>
      </c>
      <c r="O1100" t="str">
        <f t="shared" si="111"/>
        <v>Fuzzy</v>
      </c>
      <c r="P1100" t="str">
        <f t="shared" si="112"/>
        <v>Fuzzy</v>
      </c>
    </row>
    <row r="1101" spans="1:16" x14ac:dyDescent="0.35">
      <c r="A1101" t="s">
        <v>1104</v>
      </c>
      <c r="B1101">
        <v>5314</v>
      </c>
      <c r="C1101">
        <v>28</v>
      </c>
      <c r="D1101">
        <v>67</v>
      </c>
      <c r="E1101">
        <v>667</v>
      </c>
      <c r="F1101">
        <v>4</v>
      </c>
      <c r="K1101" s="1">
        <f t="shared" ref="K1101:K1164" si="113">IF(E1101&lt;=1023, E1101, "")</f>
        <v>667</v>
      </c>
      <c r="L1101" s="1" t="str">
        <f t="shared" si="108"/>
        <v>Normal</v>
      </c>
      <c r="M1101" s="2">
        <f t="shared" si="109"/>
        <v>91.75</v>
      </c>
      <c r="N1101" s="1" t="str">
        <f t="shared" si="110"/>
        <v>Basah</v>
      </c>
      <c r="O1101" t="str">
        <f t="shared" si="111"/>
        <v>Fuzzy</v>
      </c>
      <c r="P1101" t="str">
        <f t="shared" si="112"/>
        <v>Fuzzy</v>
      </c>
    </row>
    <row r="1102" spans="1:16" x14ac:dyDescent="0.35">
      <c r="A1102" t="s">
        <v>1105</v>
      </c>
      <c r="B1102">
        <v>5315</v>
      </c>
      <c r="C1102">
        <v>28</v>
      </c>
      <c r="D1102">
        <v>67</v>
      </c>
      <c r="E1102">
        <v>635</v>
      </c>
      <c r="F1102">
        <v>4</v>
      </c>
      <c r="K1102" s="1">
        <f t="shared" si="113"/>
        <v>635</v>
      </c>
      <c r="L1102" s="1" t="str">
        <f t="shared" si="108"/>
        <v>Normal</v>
      </c>
      <c r="M1102" s="2">
        <f t="shared" si="109"/>
        <v>83.75</v>
      </c>
      <c r="N1102" s="1" t="str">
        <f t="shared" si="110"/>
        <v>Basah</v>
      </c>
      <c r="O1102" t="str">
        <f t="shared" si="111"/>
        <v>Fuzzy</v>
      </c>
      <c r="P1102" t="str">
        <f t="shared" si="112"/>
        <v>Fuzzy</v>
      </c>
    </row>
    <row r="1103" spans="1:16" x14ac:dyDescent="0.35">
      <c r="A1103" t="s">
        <v>1106</v>
      </c>
      <c r="B1103">
        <v>5316</v>
      </c>
      <c r="C1103">
        <v>28</v>
      </c>
      <c r="D1103">
        <v>68</v>
      </c>
      <c r="E1103">
        <v>643</v>
      </c>
      <c r="F1103">
        <v>4</v>
      </c>
      <c r="K1103" s="1">
        <f t="shared" si="113"/>
        <v>643</v>
      </c>
      <c r="L1103" s="1" t="str">
        <f t="shared" si="108"/>
        <v>Normal</v>
      </c>
      <c r="M1103" s="2">
        <f t="shared" si="109"/>
        <v>85.75</v>
      </c>
      <c r="N1103" s="1" t="str">
        <f t="shared" si="110"/>
        <v>Basah</v>
      </c>
      <c r="O1103" t="str">
        <f t="shared" si="111"/>
        <v>Fuzzy</v>
      </c>
      <c r="P1103" t="str">
        <f t="shared" si="112"/>
        <v>Fuzzy</v>
      </c>
    </row>
    <row r="1104" spans="1:16" x14ac:dyDescent="0.35">
      <c r="A1104" t="s">
        <v>1107</v>
      </c>
      <c r="B1104">
        <v>5317</v>
      </c>
      <c r="C1104">
        <v>28</v>
      </c>
      <c r="D1104">
        <v>68</v>
      </c>
      <c r="E1104">
        <v>540</v>
      </c>
      <c r="F1104">
        <v>4</v>
      </c>
      <c r="K1104" s="1">
        <f t="shared" si="113"/>
        <v>540</v>
      </c>
      <c r="L1104" s="1" t="str">
        <f t="shared" si="108"/>
        <v>Normal</v>
      </c>
      <c r="M1104" s="2">
        <f t="shared" si="109"/>
        <v>60</v>
      </c>
      <c r="N1104" s="1" t="str">
        <f t="shared" si="110"/>
        <v>Lembab</v>
      </c>
      <c r="O1104" t="str">
        <f t="shared" si="111"/>
        <v>Fuzzy</v>
      </c>
      <c r="P1104" t="str">
        <f t="shared" si="112"/>
        <v>Fuzzy</v>
      </c>
    </row>
    <row r="1105" spans="1:16" x14ac:dyDescent="0.35">
      <c r="A1105" t="s">
        <v>1108</v>
      </c>
      <c r="B1105">
        <v>5318</v>
      </c>
      <c r="C1105">
        <v>28</v>
      </c>
      <c r="D1105">
        <v>69</v>
      </c>
      <c r="E1105">
        <v>609</v>
      </c>
      <c r="F1105">
        <v>4</v>
      </c>
      <c r="K1105" s="1">
        <f t="shared" si="113"/>
        <v>609</v>
      </c>
      <c r="L1105" s="1" t="str">
        <f t="shared" si="108"/>
        <v>Normal</v>
      </c>
      <c r="M1105" s="2">
        <f t="shared" si="109"/>
        <v>77.25</v>
      </c>
      <c r="N1105" s="1" t="str">
        <f t="shared" si="110"/>
        <v>Basah</v>
      </c>
      <c r="O1105" t="str">
        <f t="shared" si="111"/>
        <v>Fuzzy</v>
      </c>
      <c r="P1105" t="str">
        <f t="shared" si="112"/>
        <v>Fuzzy</v>
      </c>
    </row>
    <row r="1106" spans="1:16" x14ac:dyDescent="0.35">
      <c r="A1106" t="s">
        <v>1109</v>
      </c>
      <c r="B1106">
        <v>5319</v>
      </c>
      <c r="C1106">
        <v>28</v>
      </c>
      <c r="D1106">
        <v>69</v>
      </c>
      <c r="E1106">
        <v>651</v>
      </c>
      <c r="F1106">
        <v>4</v>
      </c>
      <c r="K1106" s="1">
        <f t="shared" si="113"/>
        <v>651</v>
      </c>
      <c r="L1106" s="1" t="str">
        <f t="shared" si="108"/>
        <v>Normal</v>
      </c>
      <c r="M1106" s="2">
        <f t="shared" si="109"/>
        <v>87.75</v>
      </c>
      <c r="N1106" s="1" t="str">
        <f t="shared" si="110"/>
        <v>Basah</v>
      </c>
      <c r="O1106" t="str">
        <f t="shared" si="111"/>
        <v>Fuzzy</v>
      </c>
      <c r="P1106" t="str">
        <f t="shared" si="112"/>
        <v>Fuzzy</v>
      </c>
    </row>
    <row r="1107" spans="1:16" x14ac:dyDescent="0.35">
      <c r="A1107" t="s">
        <v>1110</v>
      </c>
      <c r="B1107">
        <v>5320</v>
      </c>
      <c r="C1107">
        <v>28</v>
      </c>
      <c r="D1107">
        <v>70</v>
      </c>
      <c r="E1107">
        <v>634</v>
      </c>
      <c r="F1107">
        <v>4</v>
      </c>
      <c r="K1107" s="1">
        <f t="shared" si="113"/>
        <v>634</v>
      </c>
      <c r="L1107" s="1" t="str">
        <f t="shared" si="108"/>
        <v>Normal</v>
      </c>
      <c r="M1107" s="2">
        <f t="shared" si="109"/>
        <v>83.5</v>
      </c>
      <c r="N1107" s="1" t="str">
        <f t="shared" si="110"/>
        <v>Basah</v>
      </c>
      <c r="O1107" t="str">
        <f t="shared" si="111"/>
        <v>Fuzzy</v>
      </c>
      <c r="P1107" t="str">
        <f t="shared" si="112"/>
        <v>Fuzzy</v>
      </c>
    </row>
    <row r="1108" spans="1:16" x14ac:dyDescent="0.35">
      <c r="A1108" t="s">
        <v>1111</v>
      </c>
      <c r="B1108">
        <v>5321</v>
      </c>
      <c r="C1108">
        <v>28</v>
      </c>
      <c r="D1108">
        <v>69</v>
      </c>
      <c r="E1108">
        <v>692</v>
      </c>
      <c r="F1108">
        <v>4</v>
      </c>
      <c r="K1108" s="1">
        <f t="shared" si="113"/>
        <v>692</v>
      </c>
      <c r="L1108" s="1" t="str">
        <f t="shared" si="108"/>
        <v>Normal</v>
      </c>
      <c r="M1108" s="2">
        <f t="shared" si="109"/>
        <v>98</v>
      </c>
      <c r="N1108" s="1" t="str">
        <f t="shared" si="110"/>
        <v>Basah</v>
      </c>
      <c r="O1108" t="str">
        <f t="shared" si="111"/>
        <v>Fuzzy</v>
      </c>
      <c r="P1108" t="str">
        <f t="shared" si="112"/>
        <v>Fuzzy</v>
      </c>
    </row>
    <row r="1109" spans="1:16" x14ac:dyDescent="0.35">
      <c r="A1109" t="s">
        <v>1112</v>
      </c>
      <c r="B1109">
        <v>5322</v>
      </c>
      <c r="C1109">
        <v>28</v>
      </c>
      <c r="D1109">
        <v>69</v>
      </c>
      <c r="E1109">
        <v>448</v>
      </c>
      <c r="F1109">
        <v>3</v>
      </c>
      <c r="K1109" s="1">
        <f t="shared" si="113"/>
        <v>448</v>
      </c>
      <c r="L1109" s="1" t="str">
        <f t="shared" si="108"/>
        <v>Normal</v>
      </c>
      <c r="M1109" s="2">
        <f t="shared" si="109"/>
        <v>37</v>
      </c>
      <c r="N1109" s="1" t="str">
        <f t="shared" si="110"/>
        <v>Lembab</v>
      </c>
      <c r="O1109" t="str">
        <f t="shared" si="111"/>
        <v>Fuzzy</v>
      </c>
      <c r="P1109" t="str">
        <f t="shared" si="112"/>
        <v>Fuzzy</v>
      </c>
    </row>
    <row r="1110" spans="1:16" x14ac:dyDescent="0.35">
      <c r="A1110" t="s">
        <v>1113</v>
      </c>
      <c r="B1110">
        <v>5323</v>
      </c>
      <c r="C1110">
        <v>28</v>
      </c>
      <c r="D1110">
        <v>69</v>
      </c>
      <c r="E1110">
        <v>607</v>
      </c>
      <c r="F1110">
        <v>4</v>
      </c>
      <c r="K1110" s="1">
        <f t="shared" si="113"/>
        <v>607</v>
      </c>
      <c r="L1110" s="1" t="str">
        <f t="shared" si="108"/>
        <v>Normal</v>
      </c>
      <c r="M1110" s="2">
        <f t="shared" si="109"/>
        <v>76.75</v>
      </c>
      <c r="N1110" s="1" t="str">
        <f t="shared" si="110"/>
        <v>Basah</v>
      </c>
      <c r="O1110" t="str">
        <f t="shared" si="111"/>
        <v>Fuzzy</v>
      </c>
      <c r="P1110" t="str">
        <f t="shared" si="112"/>
        <v>Fuzzy</v>
      </c>
    </row>
    <row r="1111" spans="1:16" x14ac:dyDescent="0.35">
      <c r="A1111" t="s">
        <v>1114</v>
      </c>
      <c r="B1111">
        <v>5324</v>
      </c>
      <c r="C1111">
        <v>28</v>
      </c>
      <c r="D1111">
        <v>69</v>
      </c>
      <c r="E1111">
        <v>626</v>
      </c>
      <c r="F1111">
        <v>4</v>
      </c>
      <c r="K1111" s="1">
        <f t="shared" si="113"/>
        <v>626</v>
      </c>
      <c r="L1111" s="1" t="str">
        <f t="shared" si="108"/>
        <v>Normal</v>
      </c>
      <c r="M1111" s="2">
        <f t="shared" si="109"/>
        <v>81.5</v>
      </c>
      <c r="N1111" s="1" t="str">
        <f t="shared" si="110"/>
        <v>Basah</v>
      </c>
      <c r="O1111" t="str">
        <f t="shared" si="111"/>
        <v>Fuzzy</v>
      </c>
      <c r="P1111" t="str">
        <f t="shared" si="112"/>
        <v>Fuzzy</v>
      </c>
    </row>
    <row r="1112" spans="1:16" x14ac:dyDescent="0.35">
      <c r="A1112" t="s">
        <v>1115</v>
      </c>
      <c r="B1112">
        <v>5325</v>
      </c>
      <c r="C1112">
        <v>28</v>
      </c>
      <c r="D1112">
        <v>69</v>
      </c>
      <c r="E1112">
        <v>576</v>
      </c>
      <c r="F1112">
        <v>4</v>
      </c>
      <c r="K1112" s="1">
        <f t="shared" si="113"/>
        <v>576</v>
      </c>
      <c r="L1112" s="1" t="str">
        <f t="shared" si="108"/>
        <v>Normal</v>
      </c>
      <c r="M1112" s="2">
        <f t="shared" si="109"/>
        <v>69</v>
      </c>
      <c r="N1112" s="1" t="str">
        <f t="shared" si="110"/>
        <v>Basah</v>
      </c>
      <c r="O1112" t="str">
        <f t="shared" si="111"/>
        <v>Fuzzy</v>
      </c>
      <c r="P1112" t="str">
        <f t="shared" si="112"/>
        <v>Fuzzy</v>
      </c>
    </row>
    <row r="1113" spans="1:16" x14ac:dyDescent="0.35">
      <c r="A1113" t="s">
        <v>1116</v>
      </c>
      <c r="B1113">
        <v>5326</v>
      </c>
      <c r="C1113">
        <v>28</v>
      </c>
      <c r="D1113">
        <v>69</v>
      </c>
      <c r="E1113">
        <v>623</v>
      </c>
      <c r="F1113">
        <v>4</v>
      </c>
      <c r="K1113" s="1">
        <f t="shared" si="113"/>
        <v>623</v>
      </c>
      <c r="L1113" s="1" t="str">
        <f t="shared" si="108"/>
        <v>Normal</v>
      </c>
      <c r="M1113" s="2">
        <f t="shared" si="109"/>
        <v>80.75</v>
      </c>
      <c r="N1113" s="1" t="str">
        <f t="shared" si="110"/>
        <v>Basah</v>
      </c>
      <c r="O1113" t="str">
        <f t="shared" si="111"/>
        <v>Fuzzy</v>
      </c>
      <c r="P1113" t="str">
        <f t="shared" si="112"/>
        <v>Fuzzy</v>
      </c>
    </row>
    <row r="1114" spans="1:16" x14ac:dyDescent="0.35">
      <c r="A1114" t="s">
        <v>1117</v>
      </c>
      <c r="B1114">
        <v>5327</v>
      </c>
      <c r="C1114">
        <v>28</v>
      </c>
      <c r="D1114">
        <v>69</v>
      </c>
      <c r="E1114">
        <v>642</v>
      </c>
      <c r="F1114">
        <v>4</v>
      </c>
      <c r="K1114" s="1">
        <f t="shared" si="113"/>
        <v>642</v>
      </c>
      <c r="L1114" s="1" t="str">
        <f t="shared" si="108"/>
        <v>Normal</v>
      </c>
      <c r="M1114" s="2">
        <f t="shared" si="109"/>
        <v>85.5</v>
      </c>
      <c r="N1114" s="1" t="str">
        <f t="shared" si="110"/>
        <v>Basah</v>
      </c>
      <c r="O1114" t="str">
        <f t="shared" si="111"/>
        <v>Fuzzy</v>
      </c>
      <c r="P1114" t="str">
        <f t="shared" si="112"/>
        <v>Fuzzy</v>
      </c>
    </row>
    <row r="1115" spans="1:16" x14ac:dyDescent="0.35">
      <c r="A1115" t="s">
        <v>1118</v>
      </c>
      <c r="B1115">
        <v>5328</v>
      </c>
      <c r="C1115">
        <v>28</v>
      </c>
      <c r="D1115">
        <v>69</v>
      </c>
      <c r="E1115">
        <v>659</v>
      </c>
      <c r="F1115">
        <v>3</v>
      </c>
      <c r="K1115" s="1">
        <f t="shared" si="113"/>
        <v>659</v>
      </c>
      <c r="L1115" s="1" t="str">
        <f t="shared" si="108"/>
        <v>Normal</v>
      </c>
      <c r="M1115" s="2">
        <f t="shared" si="109"/>
        <v>89.75</v>
      </c>
      <c r="N1115" s="1" t="str">
        <f t="shared" si="110"/>
        <v>Basah</v>
      </c>
      <c r="O1115" t="str">
        <f t="shared" si="111"/>
        <v>Fuzzy</v>
      </c>
      <c r="P1115" t="str">
        <f t="shared" si="112"/>
        <v>Fuzzy</v>
      </c>
    </row>
    <row r="1116" spans="1:16" x14ac:dyDescent="0.35">
      <c r="A1116" t="s">
        <v>1119</v>
      </c>
      <c r="B1116">
        <v>5329</v>
      </c>
      <c r="C1116">
        <v>28</v>
      </c>
      <c r="D1116">
        <v>69</v>
      </c>
      <c r="E1116">
        <v>634</v>
      </c>
      <c r="F1116">
        <v>4</v>
      </c>
      <c r="K1116" s="1">
        <f t="shared" si="113"/>
        <v>634</v>
      </c>
      <c r="L1116" s="1" t="str">
        <f t="shared" si="108"/>
        <v>Normal</v>
      </c>
      <c r="M1116" s="2">
        <f t="shared" si="109"/>
        <v>83.5</v>
      </c>
      <c r="N1116" s="1" t="str">
        <f t="shared" si="110"/>
        <v>Basah</v>
      </c>
      <c r="O1116" t="str">
        <f t="shared" si="111"/>
        <v>Fuzzy</v>
      </c>
      <c r="P1116" t="str">
        <f t="shared" si="112"/>
        <v>Fuzzy</v>
      </c>
    </row>
    <row r="1117" spans="1:16" x14ac:dyDescent="0.35">
      <c r="A1117" t="s">
        <v>1120</v>
      </c>
      <c r="B1117">
        <v>5330</v>
      </c>
      <c r="C1117">
        <v>28</v>
      </c>
      <c r="D1117">
        <v>69</v>
      </c>
      <c r="E1117">
        <v>637</v>
      </c>
      <c r="F1117">
        <v>4</v>
      </c>
      <c r="K1117" s="1">
        <f t="shared" si="113"/>
        <v>637</v>
      </c>
      <c r="L1117" s="1" t="str">
        <f t="shared" si="108"/>
        <v>Normal</v>
      </c>
      <c r="M1117" s="2">
        <f t="shared" si="109"/>
        <v>84.25</v>
      </c>
      <c r="N1117" s="1" t="str">
        <f t="shared" si="110"/>
        <v>Basah</v>
      </c>
      <c r="O1117" t="str">
        <f t="shared" si="111"/>
        <v>Fuzzy</v>
      </c>
      <c r="P1117" t="str">
        <f t="shared" si="112"/>
        <v>Fuzzy</v>
      </c>
    </row>
    <row r="1118" spans="1:16" x14ac:dyDescent="0.35">
      <c r="A1118" t="s">
        <v>1121</v>
      </c>
      <c r="B1118">
        <v>5331</v>
      </c>
      <c r="C1118">
        <v>28</v>
      </c>
      <c r="D1118">
        <v>69</v>
      </c>
      <c r="E1118">
        <v>620</v>
      </c>
      <c r="F1118">
        <v>3</v>
      </c>
      <c r="K1118" s="1">
        <f t="shared" si="113"/>
        <v>620</v>
      </c>
      <c r="L1118" s="1" t="str">
        <f t="shared" si="108"/>
        <v>Normal</v>
      </c>
      <c r="M1118" s="2">
        <f t="shared" si="109"/>
        <v>80</v>
      </c>
      <c r="N1118" s="1" t="str">
        <f t="shared" si="110"/>
        <v>Basah</v>
      </c>
      <c r="O1118" t="str">
        <f t="shared" si="111"/>
        <v>Fuzzy</v>
      </c>
      <c r="P1118" t="str">
        <f t="shared" si="112"/>
        <v>Fuzzy</v>
      </c>
    </row>
    <row r="1119" spans="1:16" x14ac:dyDescent="0.35">
      <c r="A1119" t="s">
        <v>1122</v>
      </c>
      <c r="B1119">
        <v>5332</v>
      </c>
      <c r="C1119">
        <v>28</v>
      </c>
      <c r="D1119">
        <v>69</v>
      </c>
      <c r="E1119">
        <v>622</v>
      </c>
      <c r="F1119">
        <v>4</v>
      </c>
      <c r="K1119" s="1">
        <f t="shared" si="113"/>
        <v>622</v>
      </c>
      <c r="L1119" s="1" t="str">
        <f t="shared" si="108"/>
        <v>Normal</v>
      </c>
      <c r="M1119" s="2">
        <f t="shared" si="109"/>
        <v>80.5</v>
      </c>
      <c r="N1119" s="1" t="str">
        <f t="shared" si="110"/>
        <v>Basah</v>
      </c>
      <c r="O1119" t="str">
        <f t="shared" si="111"/>
        <v>Fuzzy</v>
      </c>
      <c r="P1119" t="str">
        <f t="shared" si="112"/>
        <v>Fuzzy</v>
      </c>
    </row>
    <row r="1120" spans="1:16" x14ac:dyDescent="0.35">
      <c r="A1120" t="s">
        <v>1123</v>
      </c>
      <c r="B1120">
        <v>5333</v>
      </c>
      <c r="C1120">
        <v>28</v>
      </c>
      <c r="D1120">
        <v>69</v>
      </c>
      <c r="E1120">
        <v>684</v>
      </c>
      <c r="F1120">
        <v>4</v>
      </c>
      <c r="K1120" s="1">
        <f t="shared" si="113"/>
        <v>684</v>
      </c>
      <c r="L1120" s="1" t="str">
        <f t="shared" si="108"/>
        <v>Normal</v>
      </c>
      <c r="M1120" s="2">
        <f t="shared" si="109"/>
        <v>96</v>
      </c>
      <c r="N1120" s="1" t="str">
        <f t="shared" si="110"/>
        <v>Basah</v>
      </c>
      <c r="O1120" t="str">
        <f t="shared" si="111"/>
        <v>Fuzzy</v>
      </c>
      <c r="P1120" t="str">
        <f t="shared" si="112"/>
        <v>Fuzzy</v>
      </c>
    </row>
    <row r="1121" spans="1:16" x14ac:dyDescent="0.35">
      <c r="A1121" t="s">
        <v>1124</v>
      </c>
      <c r="B1121">
        <v>5334</v>
      </c>
      <c r="C1121">
        <v>28</v>
      </c>
      <c r="D1121">
        <v>68</v>
      </c>
      <c r="E1121">
        <v>638</v>
      </c>
      <c r="F1121">
        <v>4</v>
      </c>
      <c r="K1121" s="1">
        <f t="shared" si="113"/>
        <v>638</v>
      </c>
      <c r="L1121" s="1" t="str">
        <f t="shared" si="108"/>
        <v>Normal</v>
      </c>
      <c r="M1121" s="2">
        <f t="shared" si="109"/>
        <v>84.5</v>
      </c>
      <c r="N1121" s="1" t="str">
        <f t="shared" si="110"/>
        <v>Basah</v>
      </c>
      <c r="O1121" t="str">
        <f t="shared" si="111"/>
        <v>Fuzzy</v>
      </c>
      <c r="P1121" t="str">
        <f t="shared" si="112"/>
        <v>Fuzzy</v>
      </c>
    </row>
    <row r="1122" spans="1:16" x14ac:dyDescent="0.35">
      <c r="A1122" t="s">
        <v>1125</v>
      </c>
      <c r="B1122">
        <v>5335</v>
      </c>
      <c r="C1122">
        <v>28</v>
      </c>
      <c r="D1122">
        <v>68</v>
      </c>
      <c r="E1122">
        <v>594</v>
      </c>
      <c r="F1122">
        <v>4</v>
      </c>
      <c r="K1122" s="1">
        <f t="shared" si="113"/>
        <v>594</v>
      </c>
      <c r="L1122" s="1" t="str">
        <f t="shared" si="108"/>
        <v>Normal</v>
      </c>
      <c r="M1122" s="2">
        <f t="shared" si="109"/>
        <v>73.5</v>
      </c>
      <c r="N1122" s="1" t="str">
        <f t="shared" si="110"/>
        <v>Basah</v>
      </c>
      <c r="O1122" t="str">
        <f t="shared" si="111"/>
        <v>Fuzzy</v>
      </c>
      <c r="P1122" t="str">
        <f t="shared" si="112"/>
        <v>Fuzzy</v>
      </c>
    </row>
    <row r="1123" spans="1:16" x14ac:dyDescent="0.35">
      <c r="A1123" t="s">
        <v>1126</v>
      </c>
      <c r="B1123">
        <v>5336</v>
      </c>
      <c r="C1123">
        <v>28</v>
      </c>
      <c r="D1123">
        <v>69</v>
      </c>
      <c r="E1123">
        <v>615</v>
      </c>
      <c r="F1123">
        <v>3</v>
      </c>
      <c r="K1123" s="1">
        <f t="shared" si="113"/>
        <v>615</v>
      </c>
      <c r="L1123" s="1" t="str">
        <f t="shared" si="108"/>
        <v>Normal</v>
      </c>
      <c r="M1123" s="2">
        <f t="shared" si="109"/>
        <v>78.75</v>
      </c>
      <c r="N1123" s="1" t="str">
        <f t="shared" si="110"/>
        <v>Basah</v>
      </c>
      <c r="O1123" t="str">
        <f t="shared" si="111"/>
        <v>Fuzzy</v>
      </c>
      <c r="P1123" t="str">
        <f t="shared" si="112"/>
        <v>Fuzzy</v>
      </c>
    </row>
    <row r="1124" spans="1:16" x14ac:dyDescent="0.35">
      <c r="A1124" t="s">
        <v>1127</v>
      </c>
      <c r="B1124">
        <v>5337</v>
      </c>
      <c r="C1124">
        <v>28</v>
      </c>
      <c r="D1124">
        <v>68</v>
      </c>
      <c r="E1124">
        <v>621</v>
      </c>
      <c r="F1124">
        <v>4</v>
      </c>
      <c r="K1124" s="1">
        <f t="shared" si="113"/>
        <v>621</v>
      </c>
      <c r="L1124" s="1" t="str">
        <f t="shared" si="108"/>
        <v>Normal</v>
      </c>
      <c r="M1124" s="2">
        <f t="shared" si="109"/>
        <v>80.25</v>
      </c>
      <c r="N1124" s="1" t="str">
        <f t="shared" si="110"/>
        <v>Basah</v>
      </c>
      <c r="O1124" t="str">
        <f t="shared" si="111"/>
        <v>Fuzzy</v>
      </c>
      <c r="P1124" t="str">
        <f t="shared" si="112"/>
        <v>Fuzzy</v>
      </c>
    </row>
    <row r="1125" spans="1:16" x14ac:dyDescent="0.35">
      <c r="A1125" t="s">
        <v>1128</v>
      </c>
      <c r="B1125">
        <v>5338</v>
      </c>
      <c r="C1125">
        <v>28</v>
      </c>
      <c r="D1125">
        <v>67</v>
      </c>
      <c r="E1125">
        <v>670</v>
      </c>
      <c r="F1125">
        <v>3</v>
      </c>
      <c r="K1125" s="1">
        <f t="shared" si="113"/>
        <v>670</v>
      </c>
      <c r="L1125" s="1" t="str">
        <f t="shared" si="108"/>
        <v>Normal</v>
      </c>
      <c r="M1125" s="2">
        <f t="shared" si="109"/>
        <v>92.5</v>
      </c>
      <c r="N1125" s="1" t="str">
        <f t="shared" si="110"/>
        <v>Basah</v>
      </c>
      <c r="O1125" t="str">
        <f t="shared" si="111"/>
        <v>Fuzzy</v>
      </c>
      <c r="P1125" t="str">
        <f t="shared" si="112"/>
        <v>Fuzzy</v>
      </c>
    </row>
    <row r="1126" spans="1:16" x14ac:dyDescent="0.35">
      <c r="A1126" t="s">
        <v>1129</v>
      </c>
      <c r="B1126">
        <v>5339</v>
      </c>
      <c r="C1126">
        <v>28</v>
      </c>
      <c r="D1126">
        <v>66</v>
      </c>
      <c r="E1126">
        <v>629</v>
      </c>
      <c r="F1126">
        <v>4</v>
      </c>
      <c r="K1126" s="1">
        <f t="shared" si="113"/>
        <v>629</v>
      </c>
      <c r="L1126" s="1" t="str">
        <f t="shared" si="108"/>
        <v>Normal</v>
      </c>
      <c r="M1126" s="2">
        <f t="shared" si="109"/>
        <v>82.25</v>
      </c>
      <c r="N1126" s="1" t="str">
        <f t="shared" si="110"/>
        <v>Basah</v>
      </c>
      <c r="O1126" t="str">
        <f t="shared" si="111"/>
        <v>Fuzzy</v>
      </c>
      <c r="P1126" t="str">
        <f t="shared" si="112"/>
        <v>Fuzzy</v>
      </c>
    </row>
    <row r="1127" spans="1:16" x14ac:dyDescent="0.35">
      <c r="A1127" t="s">
        <v>1130</v>
      </c>
      <c r="B1127">
        <v>5340</v>
      </c>
      <c r="C1127">
        <v>28</v>
      </c>
      <c r="D1127">
        <v>66</v>
      </c>
      <c r="E1127">
        <v>588</v>
      </c>
      <c r="F1127">
        <v>4</v>
      </c>
      <c r="K1127" s="1">
        <f t="shared" si="113"/>
        <v>588</v>
      </c>
      <c r="L1127" s="1" t="str">
        <f t="shared" si="108"/>
        <v>Normal</v>
      </c>
      <c r="M1127" s="2">
        <f t="shared" si="109"/>
        <v>72</v>
      </c>
      <c r="N1127" s="1" t="str">
        <f t="shared" si="110"/>
        <v>Basah</v>
      </c>
      <c r="O1127" t="str">
        <f t="shared" si="111"/>
        <v>Fuzzy</v>
      </c>
      <c r="P1127" t="str">
        <f t="shared" si="112"/>
        <v>Fuzzy</v>
      </c>
    </row>
    <row r="1128" spans="1:16" x14ac:dyDescent="0.35">
      <c r="A1128" t="s">
        <v>1131</v>
      </c>
      <c r="B1128">
        <v>5341</v>
      </c>
      <c r="C1128">
        <v>28</v>
      </c>
      <c r="D1128">
        <v>67</v>
      </c>
      <c r="E1128">
        <v>621</v>
      </c>
      <c r="F1128">
        <v>4</v>
      </c>
      <c r="K1128" s="1">
        <f t="shared" si="113"/>
        <v>621</v>
      </c>
      <c r="L1128" s="1" t="str">
        <f t="shared" si="108"/>
        <v>Normal</v>
      </c>
      <c r="M1128" s="2">
        <f t="shared" si="109"/>
        <v>80.25</v>
      </c>
      <c r="N1128" s="1" t="str">
        <f t="shared" si="110"/>
        <v>Basah</v>
      </c>
      <c r="O1128" t="str">
        <f t="shared" si="111"/>
        <v>Fuzzy</v>
      </c>
      <c r="P1128" t="str">
        <f t="shared" si="112"/>
        <v>Fuzzy</v>
      </c>
    </row>
    <row r="1129" spans="1:16" x14ac:dyDescent="0.35">
      <c r="A1129" t="s">
        <v>1132</v>
      </c>
      <c r="B1129">
        <v>5342</v>
      </c>
      <c r="C1129">
        <v>28</v>
      </c>
      <c r="D1129">
        <v>67</v>
      </c>
      <c r="E1129">
        <v>671</v>
      </c>
      <c r="F1129">
        <v>4</v>
      </c>
      <c r="K1129" s="1">
        <f t="shared" si="113"/>
        <v>671</v>
      </c>
      <c r="L1129" s="1" t="str">
        <f t="shared" si="108"/>
        <v>Normal</v>
      </c>
      <c r="M1129" s="2">
        <f t="shared" si="109"/>
        <v>92.75</v>
      </c>
      <c r="N1129" s="1" t="str">
        <f t="shared" si="110"/>
        <v>Basah</v>
      </c>
      <c r="O1129" t="str">
        <f t="shared" si="111"/>
        <v>Fuzzy</v>
      </c>
      <c r="P1129" t="str">
        <f t="shared" si="112"/>
        <v>Fuzzy</v>
      </c>
    </row>
    <row r="1130" spans="1:16" x14ac:dyDescent="0.35">
      <c r="A1130" t="s">
        <v>1133</v>
      </c>
      <c r="B1130">
        <v>5343</v>
      </c>
      <c r="C1130">
        <v>28</v>
      </c>
      <c r="D1130">
        <v>67</v>
      </c>
      <c r="E1130">
        <v>665</v>
      </c>
      <c r="F1130">
        <v>4</v>
      </c>
      <c r="K1130" s="1">
        <f t="shared" si="113"/>
        <v>665</v>
      </c>
      <c r="L1130" s="1" t="str">
        <f t="shared" si="108"/>
        <v>Normal</v>
      </c>
      <c r="M1130" s="2">
        <f t="shared" si="109"/>
        <v>91.25</v>
      </c>
      <c r="N1130" s="1" t="str">
        <f t="shared" si="110"/>
        <v>Basah</v>
      </c>
      <c r="O1130" t="str">
        <f t="shared" si="111"/>
        <v>Fuzzy</v>
      </c>
      <c r="P1130" t="str">
        <f t="shared" si="112"/>
        <v>Fuzzy</v>
      </c>
    </row>
    <row r="1131" spans="1:16" x14ac:dyDescent="0.35">
      <c r="A1131" t="s">
        <v>1134</v>
      </c>
      <c r="B1131">
        <v>5344</v>
      </c>
      <c r="C1131">
        <v>28</v>
      </c>
      <c r="D1131">
        <v>68</v>
      </c>
      <c r="E1131">
        <v>684</v>
      </c>
      <c r="F1131">
        <v>4</v>
      </c>
      <c r="K1131" s="1">
        <f t="shared" si="113"/>
        <v>684</v>
      </c>
      <c r="L1131" s="1" t="str">
        <f t="shared" si="108"/>
        <v>Normal</v>
      </c>
      <c r="M1131" s="2">
        <f t="shared" si="109"/>
        <v>96</v>
      </c>
      <c r="N1131" s="1" t="str">
        <f t="shared" si="110"/>
        <v>Basah</v>
      </c>
      <c r="O1131" t="str">
        <f t="shared" si="111"/>
        <v>Fuzzy</v>
      </c>
      <c r="P1131" t="str">
        <f t="shared" si="112"/>
        <v>Fuzzy</v>
      </c>
    </row>
    <row r="1132" spans="1:16" x14ac:dyDescent="0.35">
      <c r="A1132" t="s">
        <v>1135</v>
      </c>
      <c r="B1132">
        <v>5345</v>
      </c>
      <c r="C1132">
        <v>28</v>
      </c>
      <c r="D1132">
        <v>68</v>
      </c>
      <c r="E1132">
        <v>592</v>
      </c>
      <c r="F1132">
        <v>4</v>
      </c>
      <c r="K1132" s="1">
        <f t="shared" si="113"/>
        <v>592</v>
      </c>
      <c r="L1132" s="1" t="str">
        <f t="shared" si="108"/>
        <v>Normal</v>
      </c>
      <c r="M1132" s="2">
        <f t="shared" si="109"/>
        <v>73</v>
      </c>
      <c r="N1132" s="1" t="str">
        <f t="shared" si="110"/>
        <v>Basah</v>
      </c>
      <c r="O1132" t="str">
        <f t="shared" si="111"/>
        <v>Fuzzy</v>
      </c>
      <c r="P1132" t="str">
        <f t="shared" si="112"/>
        <v>Fuzzy</v>
      </c>
    </row>
    <row r="1133" spans="1:16" x14ac:dyDescent="0.35">
      <c r="A1133" t="s">
        <v>1136</v>
      </c>
      <c r="B1133">
        <v>5346</v>
      </c>
      <c r="C1133">
        <v>28</v>
      </c>
      <c r="D1133">
        <v>68</v>
      </c>
      <c r="E1133">
        <v>640</v>
      </c>
      <c r="F1133">
        <v>4</v>
      </c>
      <c r="K1133" s="1">
        <f t="shared" si="113"/>
        <v>640</v>
      </c>
      <c r="L1133" s="1" t="str">
        <f t="shared" si="108"/>
        <v>Normal</v>
      </c>
      <c r="M1133" s="2">
        <f t="shared" si="109"/>
        <v>85</v>
      </c>
      <c r="N1133" s="1" t="str">
        <f t="shared" si="110"/>
        <v>Basah</v>
      </c>
      <c r="O1133" t="str">
        <f t="shared" si="111"/>
        <v>Fuzzy</v>
      </c>
      <c r="P1133" t="str">
        <f t="shared" si="112"/>
        <v>Fuzzy</v>
      </c>
    </row>
    <row r="1134" spans="1:16" x14ac:dyDescent="0.35">
      <c r="A1134" t="s">
        <v>1137</v>
      </c>
      <c r="B1134">
        <v>5347</v>
      </c>
      <c r="C1134">
        <v>28</v>
      </c>
      <c r="D1134">
        <v>69</v>
      </c>
      <c r="E1134">
        <v>630</v>
      </c>
      <c r="F1134">
        <v>4</v>
      </c>
      <c r="K1134" s="1">
        <f t="shared" si="113"/>
        <v>630</v>
      </c>
      <c r="L1134" s="1" t="str">
        <f t="shared" si="108"/>
        <v>Normal</v>
      </c>
      <c r="M1134" s="2">
        <f t="shared" si="109"/>
        <v>82.5</v>
      </c>
      <c r="N1134" s="1" t="str">
        <f t="shared" si="110"/>
        <v>Basah</v>
      </c>
      <c r="O1134" t="str">
        <f t="shared" si="111"/>
        <v>Fuzzy</v>
      </c>
      <c r="P1134" t="str">
        <f t="shared" si="112"/>
        <v>Fuzzy</v>
      </c>
    </row>
    <row r="1135" spans="1:16" x14ac:dyDescent="0.35">
      <c r="A1135" t="s">
        <v>1138</v>
      </c>
      <c r="B1135">
        <v>5348</v>
      </c>
      <c r="C1135">
        <v>28</v>
      </c>
      <c r="D1135">
        <v>69</v>
      </c>
      <c r="E1135">
        <v>658</v>
      </c>
      <c r="F1135">
        <v>4</v>
      </c>
      <c r="K1135" s="1">
        <f t="shared" si="113"/>
        <v>658</v>
      </c>
      <c r="L1135" s="1" t="str">
        <f t="shared" si="108"/>
        <v>Normal</v>
      </c>
      <c r="M1135" s="2">
        <f t="shared" si="109"/>
        <v>89.5</v>
      </c>
      <c r="N1135" s="1" t="str">
        <f t="shared" si="110"/>
        <v>Basah</v>
      </c>
      <c r="O1135" t="str">
        <f t="shared" si="111"/>
        <v>Fuzzy</v>
      </c>
      <c r="P1135" t="str">
        <f t="shared" si="112"/>
        <v>Fuzzy</v>
      </c>
    </row>
    <row r="1136" spans="1:16" x14ac:dyDescent="0.35">
      <c r="A1136" t="s">
        <v>1139</v>
      </c>
      <c r="B1136">
        <v>5349</v>
      </c>
      <c r="C1136">
        <v>28</v>
      </c>
      <c r="D1136">
        <v>69</v>
      </c>
      <c r="E1136">
        <v>640</v>
      </c>
      <c r="F1136">
        <v>4</v>
      </c>
      <c r="K1136" s="1">
        <f t="shared" si="113"/>
        <v>640</v>
      </c>
      <c r="L1136" s="1" t="str">
        <f t="shared" si="108"/>
        <v>Normal</v>
      </c>
      <c r="M1136" s="2">
        <f t="shared" si="109"/>
        <v>85</v>
      </c>
      <c r="N1136" s="1" t="str">
        <f t="shared" si="110"/>
        <v>Basah</v>
      </c>
      <c r="O1136" t="str">
        <f t="shared" si="111"/>
        <v>Fuzzy</v>
      </c>
      <c r="P1136" t="str">
        <f t="shared" si="112"/>
        <v>Fuzzy</v>
      </c>
    </row>
    <row r="1137" spans="1:16" x14ac:dyDescent="0.35">
      <c r="A1137" t="s">
        <v>1140</v>
      </c>
      <c r="B1137">
        <v>5350</v>
      </c>
      <c r="C1137">
        <v>28</v>
      </c>
      <c r="D1137">
        <v>69</v>
      </c>
      <c r="E1137">
        <v>648</v>
      </c>
      <c r="F1137">
        <v>4</v>
      </c>
      <c r="K1137" s="1">
        <f t="shared" si="113"/>
        <v>648</v>
      </c>
      <c r="L1137" s="1" t="str">
        <f t="shared" si="108"/>
        <v>Normal</v>
      </c>
      <c r="M1137" s="2">
        <f t="shared" si="109"/>
        <v>87</v>
      </c>
      <c r="N1137" s="1" t="str">
        <f t="shared" si="110"/>
        <v>Basah</v>
      </c>
      <c r="O1137" t="str">
        <f t="shared" si="111"/>
        <v>Fuzzy</v>
      </c>
      <c r="P1137" t="str">
        <f t="shared" si="112"/>
        <v>Fuzzy</v>
      </c>
    </row>
    <row r="1138" spans="1:16" x14ac:dyDescent="0.35">
      <c r="A1138" t="s">
        <v>1141</v>
      </c>
      <c r="B1138">
        <v>5351</v>
      </c>
      <c r="C1138">
        <v>28</v>
      </c>
      <c r="D1138">
        <v>69</v>
      </c>
      <c r="E1138">
        <v>680</v>
      </c>
      <c r="F1138">
        <v>4</v>
      </c>
      <c r="K1138" s="1">
        <f t="shared" si="113"/>
        <v>680</v>
      </c>
      <c r="L1138" s="1" t="str">
        <f t="shared" si="108"/>
        <v>Normal</v>
      </c>
      <c r="M1138" s="2">
        <f t="shared" si="109"/>
        <v>95</v>
      </c>
      <c r="N1138" s="1" t="str">
        <f t="shared" si="110"/>
        <v>Basah</v>
      </c>
      <c r="O1138" t="str">
        <f t="shared" si="111"/>
        <v>Fuzzy</v>
      </c>
      <c r="P1138" t="str">
        <f t="shared" si="112"/>
        <v>Fuzzy</v>
      </c>
    </row>
    <row r="1139" spans="1:16" x14ac:dyDescent="0.35">
      <c r="A1139" t="s">
        <v>1142</v>
      </c>
      <c r="B1139">
        <v>5352</v>
      </c>
      <c r="C1139">
        <v>28</v>
      </c>
      <c r="D1139">
        <v>68</v>
      </c>
      <c r="E1139">
        <v>603</v>
      </c>
      <c r="F1139">
        <v>4</v>
      </c>
      <c r="K1139" s="1">
        <f t="shared" si="113"/>
        <v>603</v>
      </c>
      <c r="L1139" s="1" t="str">
        <f t="shared" si="108"/>
        <v>Normal</v>
      </c>
      <c r="M1139" s="2">
        <f t="shared" si="109"/>
        <v>75.75</v>
      </c>
      <c r="N1139" s="1" t="str">
        <f t="shared" si="110"/>
        <v>Basah</v>
      </c>
      <c r="O1139" t="str">
        <f t="shared" si="111"/>
        <v>Fuzzy</v>
      </c>
      <c r="P1139" t="str">
        <f t="shared" si="112"/>
        <v>Fuzzy</v>
      </c>
    </row>
    <row r="1140" spans="1:16" x14ac:dyDescent="0.35">
      <c r="A1140" t="s">
        <v>1143</v>
      </c>
      <c r="B1140">
        <v>5353</v>
      </c>
      <c r="C1140">
        <v>28</v>
      </c>
      <c r="D1140">
        <v>68</v>
      </c>
      <c r="E1140">
        <v>718</v>
      </c>
      <c r="F1140">
        <v>4</v>
      </c>
      <c r="K1140" s="1">
        <f t="shared" si="113"/>
        <v>718</v>
      </c>
      <c r="L1140" s="1" t="str">
        <f t="shared" si="108"/>
        <v>Normal</v>
      </c>
      <c r="M1140" s="2">
        <f t="shared" si="109"/>
        <v>5.5727554179566559</v>
      </c>
      <c r="N1140" s="1" t="str">
        <f t="shared" si="110"/>
        <v>Kering</v>
      </c>
      <c r="O1140" t="str">
        <f t="shared" si="111"/>
        <v>Fuzzy</v>
      </c>
      <c r="P1140" t="str">
        <f t="shared" si="112"/>
        <v>Fuzzy</v>
      </c>
    </row>
    <row r="1141" spans="1:16" x14ac:dyDescent="0.35">
      <c r="A1141" t="s">
        <v>1144</v>
      </c>
      <c r="B1141">
        <v>5354</v>
      </c>
      <c r="C1141">
        <v>28</v>
      </c>
      <c r="D1141">
        <v>68</v>
      </c>
      <c r="E1141">
        <v>588</v>
      </c>
      <c r="F1141">
        <v>4</v>
      </c>
      <c r="K1141" s="1">
        <f t="shared" si="113"/>
        <v>588</v>
      </c>
      <c r="L1141" s="1" t="str">
        <f t="shared" si="108"/>
        <v>Normal</v>
      </c>
      <c r="M1141" s="2">
        <f t="shared" si="109"/>
        <v>72</v>
      </c>
      <c r="N1141" s="1" t="str">
        <f t="shared" si="110"/>
        <v>Basah</v>
      </c>
      <c r="O1141" t="str">
        <f t="shared" si="111"/>
        <v>Fuzzy</v>
      </c>
      <c r="P1141" t="str">
        <f t="shared" si="112"/>
        <v>Fuzzy</v>
      </c>
    </row>
    <row r="1142" spans="1:16" x14ac:dyDescent="0.35">
      <c r="A1142" t="s">
        <v>1145</v>
      </c>
      <c r="B1142">
        <v>5355</v>
      </c>
      <c r="C1142">
        <v>28</v>
      </c>
      <c r="D1142">
        <v>68</v>
      </c>
      <c r="E1142">
        <v>562</v>
      </c>
      <c r="F1142">
        <v>4</v>
      </c>
      <c r="K1142" s="1">
        <f t="shared" si="113"/>
        <v>562</v>
      </c>
      <c r="L1142" s="1" t="str">
        <f t="shared" si="108"/>
        <v>Normal</v>
      </c>
      <c r="M1142" s="2">
        <f t="shared" si="109"/>
        <v>65.5</v>
      </c>
      <c r="N1142" s="1" t="str">
        <f t="shared" si="110"/>
        <v>Lembab</v>
      </c>
      <c r="O1142" t="str">
        <f t="shared" si="111"/>
        <v>Fuzzy</v>
      </c>
      <c r="P1142" t="str">
        <f t="shared" si="112"/>
        <v>Fuzzy</v>
      </c>
    </row>
    <row r="1143" spans="1:16" x14ac:dyDescent="0.35">
      <c r="A1143" t="s">
        <v>1146</v>
      </c>
      <c r="B1143">
        <v>5356</v>
      </c>
      <c r="C1143">
        <v>28</v>
      </c>
      <c r="D1143">
        <v>68</v>
      </c>
      <c r="E1143">
        <v>621</v>
      </c>
      <c r="F1143">
        <v>4</v>
      </c>
      <c r="K1143" s="1">
        <f t="shared" si="113"/>
        <v>621</v>
      </c>
      <c r="L1143" s="1" t="str">
        <f t="shared" si="108"/>
        <v>Normal</v>
      </c>
      <c r="M1143" s="2">
        <f t="shared" si="109"/>
        <v>80.25</v>
      </c>
      <c r="N1143" s="1" t="str">
        <f t="shared" si="110"/>
        <v>Basah</v>
      </c>
      <c r="O1143" t="str">
        <f t="shared" si="111"/>
        <v>Fuzzy</v>
      </c>
      <c r="P1143" t="str">
        <f t="shared" si="112"/>
        <v>Fuzzy</v>
      </c>
    </row>
    <row r="1144" spans="1:16" x14ac:dyDescent="0.35">
      <c r="A1144" t="s">
        <v>1147</v>
      </c>
      <c r="B1144">
        <v>5357</v>
      </c>
      <c r="C1144">
        <v>28</v>
      </c>
      <c r="D1144">
        <v>69</v>
      </c>
      <c r="E1144">
        <v>647</v>
      </c>
      <c r="F1144">
        <v>4</v>
      </c>
      <c r="K1144" s="1">
        <f t="shared" si="113"/>
        <v>647</v>
      </c>
      <c r="L1144" s="1" t="str">
        <f t="shared" si="108"/>
        <v>Normal</v>
      </c>
      <c r="M1144" s="2">
        <f t="shared" si="109"/>
        <v>86.75</v>
      </c>
      <c r="N1144" s="1" t="str">
        <f t="shared" si="110"/>
        <v>Basah</v>
      </c>
      <c r="O1144" t="str">
        <f t="shared" si="111"/>
        <v>Fuzzy</v>
      </c>
      <c r="P1144" t="str">
        <f t="shared" si="112"/>
        <v>Fuzzy</v>
      </c>
    </row>
    <row r="1145" spans="1:16" x14ac:dyDescent="0.35">
      <c r="A1145" t="s">
        <v>1148</v>
      </c>
      <c r="B1145">
        <v>5358</v>
      </c>
      <c r="C1145">
        <v>28</v>
      </c>
      <c r="D1145">
        <v>69</v>
      </c>
      <c r="E1145">
        <v>568</v>
      </c>
      <c r="F1145">
        <v>4</v>
      </c>
      <c r="K1145" s="1">
        <f t="shared" si="113"/>
        <v>568</v>
      </c>
      <c r="L1145" s="1" t="str">
        <f t="shared" si="108"/>
        <v>Normal</v>
      </c>
      <c r="M1145" s="2">
        <f t="shared" si="109"/>
        <v>67</v>
      </c>
      <c r="N1145" s="1" t="str">
        <f t="shared" si="110"/>
        <v>Lembab</v>
      </c>
      <c r="O1145" t="str">
        <f t="shared" si="111"/>
        <v>Fuzzy</v>
      </c>
      <c r="P1145" t="str">
        <f t="shared" si="112"/>
        <v>Fuzzy</v>
      </c>
    </row>
    <row r="1146" spans="1:16" x14ac:dyDescent="0.35">
      <c r="A1146" t="s">
        <v>1149</v>
      </c>
      <c r="B1146">
        <v>5359</v>
      </c>
      <c r="C1146">
        <v>28</v>
      </c>
      <c r="D1146">
        <v>68</v>
      </c>
      <c r="E1146">
        <v>619</v>
      </c>
      <c r="F1146">
        <v>4</v>
      </c>
      <c r="K1146" s="1">
        <f t="shared" si="113"/>
        <v>619</v>
      </c>
      <c r="L1146" s="1" t="str">
        <f t="shared" si="108"/>
        <v>Normal</v>
      </c>
      <c r="M1146" s="2">
        <f t="shared" si="109"/>
        <v>79.75</v>
      </c>
      <c r="N1146" s="1" t="str">
        <f t="shared" si="110"/>
        <v>Basah</v>
      </c>
      <c r="O1146" t="str">
        <f t="shared" si="111"/>
        <v>Fuzzy</v>
      </c>
      <c r="P1146" t="str">
        <f t="shared" si="112"/>
        <v>Fuzzy</v>
      </c>
    </row>
    <row r="1147" spans="1:16" x14ac:dyDescent="0.35">
      <c r="A1147" t="s">
        <v>1150</v>
      </c>
      <c r="B1147">
        <v>5360</v>
      </c>
      <c r="C1147">
        <v>28</v>
      </c>
      <c r="D1147">
        <v>68</v>
      </c>
      <c r="E1147">
        <v>428</v>
      </c>
      <c r="F1147">
        <v>3</v>
      </c>
      <c r="K1147" s="1">
        <f t="shared" si="113"/>
        <v>428</v>
      </c>
      <c r="L1147" s="1" t="str">
        <f t="shared" si="108"/>
        <v>Normal</v>
      </c>
      <c r="M1147" s="2">
        <f t="shared" si="109"/>
        <v>32</v>
      </c>
      <c r="N1147" s="1" t="str">
        <f t="shared" si="110"/>
        <v>Lembab</v>
      </c>
      <c r="O1147" t="str">
        <f t="shared" si="111"/>
        <v>Fuzzy</v>
      </c>
      <c r="P1147" t="str">
        <f t="shared" si="112"/>
        <v>Fuzzy</v>
      </c>
    </row>
    <row r="1148" spans="1:16" x14ac:dyDescent="0.35">
      <c r="A1148" t="s">
        <v>1151</v>
      </c>
      <c r="B1148">
        <v>5361</v>
      </c>
      <c r="C1148">
        <v>28</v>
      </c>
      <c r="D1148">
        <v>68</v>
      </c>
      <c r="E1148">
        <v>578</v>
      </c>
      <c r="F1148">
        <v>4</v>
      </c>
      <c r="K1148" s="1">
        <f t="shared" si="113"/>
        <v>578</v>
      </c>
      <c r="L1148" s="1" t="str">
        <f t="shared" si="108"/>
        <v>Normal</v>
      </c>
      <c r="M1148" s="2">
        <f t="shared" si="109"/>
        <v>69.5</v>
      </c>
      <c r="N1148" s="1" t="str">
        <f t="shared" si="110"/>
        <v>Basah</v>
      </c>
      <c r="O1148" t="str">
        <f t="shared" si="111"/>
        <v>Fuzzy</v>
      </c>
      <c r="P1148" t="str">
        <f t="shared" si="112"/>
        <v>Fuzzy</v>
      </c>
    </row>
    <row r="1149" spans="1:16" x14ac:dyDescent="0.35">
      <c r="A1149" t="s">
        <v>1152</v>
      </c>
      <c r="B1149">
        <v>5362</v>
      </c>
      <c r="C1149">
        <v>28</v>
      </c>
      <c r="D1149">
        <v>69</v>
      </c>
      <c r="E1149">
        <v>635</v>
      </c>
      <c r="F1149">
        <v>4</v>
      </c>
      <c r="K1149" s="1">
        <f t="shared" si="113"/>
        <v>635</v>
      </c>
      <c r="L1149" s="1" t="str">
        <f t="shared" si="108"/>
        <v>Normal</v>
      </c>
      <c r="M1149" s="2">
        <f t="shared" si="109"/>
        <v>83.75</v>
      </c>
      <c r="N1149" s="1" t="str">
        <f t="shared" si="110"/>
        <v>Basah</v>
      </c>
      <c r="O1149" t="str">
        <f t="shared" si="111"/>
        <v>Fuzzy</v>
      </c>
      <c r="P1149" t="str">
        <f t="shared" si="112"/>
        <v>Fuzzy</v>
      </c>
    </row>
    <row r="1150" spans="1:16" x14ac:dyDescent="0.35">
      <c r="A1150" t="s">
        <v>1153</v>
      </c>
      <c r="B1150">
        <v>5363</v>
      </c>
      <c r="C1150">
        <v>28</v>
      </c>
      <c r="D1150">
        <v>67</v>
      </c>
      <c r="E1150">
        <v>573</v>
      </c>
      <c r="F1150">
        <v>4</v>
      </c>
      <c r="K1150" s="1">
        <f t="shared" si="113"/>
        <v>573</v>
      </c>
      <c r="L1150" s="1" t="str">
        <f t="shared" si="108"/>
        <v>Normal</v>
      </c>
      <c r="M1150" s="2">
        <f t="shared" si="109"/>
        <v>68.25</v>
      </c>
      <c r="N1150" s="1" t="str">
        <f t="shared" si="110"/>
        <v>Lembab</v>
      </c>
      <c r="O1150" t="str">
        <f t="shared" si="111"/>
        <v>Fuzzy</v>
      </c>
      <c r="P1150" t="str">
        <f t="shared" si="112"/>
        <v>Fuzzy</v>
      </c>
    </row>
    <row r="1151" spans="1:16" x14ac:dyDescent="0.35">
      <c r="A1151" t="s">
        <v>1154</v>
      </c>
      <c r="B1151">
        <v>5364</v>
      </c>
      <c r="C1151">
        <v>28</v>
      </c>
      <c r="D1151">
        <v>66</v>
      </c>
      <c r="E1151">
        <v>672</v>
      </c>
      <c r="F1151">
        <v>4</v>
      </c>
      <c r="K1151" s="1">
        <f t="shared" si="113"/>
        <v>672</v>
      </c>
      <c r="L1151" s="1" t="str">
        <f t="shared" si="108"/>
        <v>Normal</v>
      </c>
      <c r="M1151" s="2">
        <f t="shared" si="109"/>
        <v>93</v>
      </c>
      <c r="N1151" s="1" t="str">
        <f t="shared" si="110"/>
        <v>Basah</v>
      </c>
      <c r="O1151" t="str">
        <f t="shared" si="111"/>
        <v>Fuzzy</v>
      </c>
      <c r="P1151" t="str">
        <f t="shared" si="112"/>
        <v>Fuzzy</v>
      </c>
    </row>
    <row r="1152" spans="1:16" x14ac:dyDescent="0.35">
      <c r="A1152" t="s">
        <v>1155</v>
      </c>
      <c r="B1152">
        <v>5365</v>
      </c>
      <c r="C1152">
        <v>28</v>
      </c>
      <c r="D1152">
        <v>66</v>
      </c>
      <c r="E1152">
        <v>609</v>
      </c>
      <c r="F1152">
        <v>4</v>
      </c>
      <c r="K1152" s="1">
        <f t="shared" si="113"/>
        <v>609</v>
      </c>
      <c r="L1152" s="1" t="str">
        <f t="shared" si="108"/>
        <v>Normal</v>
      </c>
      <c r="M1152" s="2">
        <f t="shared" si="109"/>
        <v>77.25</v>
      </c>
      <c r="N1152" s="1" t="str">
        <f t="shared" si="110"/>
        <v>Basah</v>
      </c>
      <c r="O1152" t="str">
        <f t="shared" si="111"/>
        <v>Fuzzy</v>
      </c>
      <c r="P1152" t="str">
        <f t="shared" si="112"/>
        <v>Fuzzy</v>
      </c>
    </row>
    <row r="1153" spans="1:16" x14ac:dyDescent="0.35">
      <c r="A1153" t="s">
        <v>1156</v>
      </c>
      <c r="B1153">
        <v>5366</v>
      </c>
      <c r="C1153">
        <v>28</v>
      </c>
      <c r="D1153">
        <v>66</v>
      </c>
      <c r="E1153">
        <v>504</v>
      </c>
      <c r="F1153">
        <v>4</v>
      </c>
      <c r="K1153" s="1">
        <f t="shared" si="113"/>
        <v>504</v>
      </c>
      <c r="L1153" s="1" t="str">
        <f t="shared" si="108"/>
        <v>Normal</v>
      </c>
      <c r="M1153" s="2">
        <f t="shared" si="109"/>
        <v>51</v>
      </c>
      <c r="N1153" s="1" t="str">
        <f t="shared" si="110"/>
        <v>Lembab</v>
      </c>
      <c r="O1153" t="str">
        <f t="shared" si="111"/>
        <v>Fuzzy</v>
      </c>
      <c r="P1153" t="str">
        <f t="shared" si="112"/>
        <v>Fuzzy</v>
      </c>
    </row>
    <row r="1154" spans="1:16" x14ac:dyDescent="0.35">
      <c r="A1154" t="s">
        <v>1157</v>
      </c>
      <c r="B1154">
        <v>5367</v>
      </c>
      <c r="C1154">
        <v>28</v>
      </c>
      <c r="D1154">
        <v>67</v>
      </c>
      <c r="E1154">
        <v>616</v>
      </c>
      <c r="F1154">
        <v>4</v>
      </c>
      <c r="K1154" s="1">
        <f t="shared" si="113"/>
        <v>616</v>
      </c>
      <c r="L1154" s="1" t="str">
        <f t="shared" si="108"/>
        <v>Normal</v>
      </c>
      <c r="M1154" s="2">
        <f t="shared" si="109"/>
        <v>79</v>
      </c>
      <c r="N1154" s="1" t="str">
        <f t="shared" si="110"/>
        <v>Basah</v>
      </c>
      <c r="O1154" t="str">
        <f t="shared" si="111"/>
        <v>Fuzzy</v>
      </c>
      <c r="P1154" t="str">
        <f t="shared" si="112"/>
        <v>Fuzzy</v>
      </c>
    </row>
    <row r="1155" spans="1:16" x14ac:dyDescent="0.35">
      <c r="A1155" t="s">
        <v>1158</v>
      </c>
      <c r="B1155">
        <v>5368</v>
      </c>
      <c r="C1155">
        <v>28</v>
      </c>
      <c r="D1155">
        <v>67</v>
      </c>
      <c r="E1155">
        <v>711</v>
      </c>
      <c r="F1155">
        <v>4</v>
      </c>
      <c r="K1155" s="1">
        <f t="shared" si="113"/>
        <v>711</v>
      </c>
      <c r="L1155" s="1" t="str">
        <f t="shared" ref="L1155:L1218" si="114">IF(A1154 &lt;= 10, "Dingin", IF(OR(A1154 &gt;= 10, A1154 &lt; 35), "Normal", "Panas"))</f>
        <v>Normal</v>
      </c>
      <c r="M1155" s="2">
        <f t="shared" ref="M1155:M1218" si="115">IF(K1155&lt;=300, K1155/1023*100, IF(K1155&lt;=700, (K1155-300)/(700-301+1)*100, (K1155-700)/(1023-701+1)*100))</f>
        <v>3.4055727554179565</v>
      </c>
      <c r="N1155" s="1" t="str">
        <f t="shared" ref="N1155:N1218" si="116">IF(M1155&lt;=29.32, "Kering", IF(M1155&lt;=68.53, "Lembab", "Basah"))</f>
        <v>Kering</v>
      </c>
      <c r="O1155" t="str">
        <f t="shared" ref="O1155:O1218" si="117">IF(OR(AND(C1155 &gt; 10, C1155 &lt; 22.5), AND(C1155 &gt;= 22.5, C1155 &lt; 35)), "Fuzzy", "")</f>
        <v>Fuzzy</v>
      </c>
      <c r="P1155" t="str">
        <f t="shared" ref="P1155:P1218" si="118">IF(OR(AND(M1155 &gt;= 0, M1155 &lt; 50), AND(M1155 &gt;= 50, M1155 &lt; 100)), "Fuzzy", "")</f>
        <v>Fuzzy</v>
      </c>
    </row>
    <row r="1156" spans="1:16" x14ac:dyDescent="0.35">
      <c r="A1156" t="s">
        <v>1159</v>
      </c>
      <c r="B1156">
        <v>5369</v>
      </c>
      <c r="C1156">
        <v>28</v>
      </c>
      <c r="D1156">
        <v>67</v>
      </c>
      <c r="E1156">
        <v>617</v>
      </c>
      <c r="F1156">
        <v>4</v>
      </c>
      <c r="K1156" s="1">
        <f t="shared" si="113"/>
        <v>617</v>
      </c>
      <c r="L1156" s="1" t="str">
        <f t="shared" si="114"/>
        <v>Normal</v>
      </c>
      <c r="M1156" s="2">
        <f t="shared" si="115"/>
        <v>79.25</v>
      </c>
      <c r="N1156" s="1" t="str">
        <f t="shared" si="116"/>
        <v>Basah</v>
      </c>
      <c r="O1156" t="str">
        <f t="shared" si="117"/>
        <v>Fuzzy</v>
      </c>
      <c r="P1156" t="str">
        <f t="shared" si="118"/>
        <v>Fuzzy</v>
      </c>
    </row>
    <row r="1157" spans="1:16" x14ac:dyDescent="0.35">
      <c r="A1157" t="s">
        <v>1160</v>
      </c>
      <c r="B1157">
        <v>5370</v>
      </c>
      <c r="C1157">
        <v>28</v>
      </c>
      <c r="D1157">
        <v>67</v>
      </c>
      <c r="E1157">
        <v>406</v>
      </c>
      <c r="F1157">
        <v>3</v>
      </c>
      <c r="K1157" s="1">
        <f t="shared" si="113"/>
        <v>406</v>
      </c>
      <c r="L1157" s="1" t="str">
        <f t="shared" si="114"/>
        <v>Normal</v>
      </c>
      <c r="M1157" s="2">
        <f t="shared" si="115"/>
        <v>26.5</v>
      </c>
      <c r="N1157" s="1" t="str">
        <f t="shared" si="116"/>
        <v>Kering</v>
      </c>
      <c r="O1157" t="str">
        <f t="shared" si="117"/>
        <v>Fuzzy</v>
      </c>
      <c r="P1157" t="str">
        <f t="shared" si="118"/>
        <v>Fuzzy</v>
      </c>
    </row>
    <row r="1158" spans="1:16" x14ac:dyDescent="0.35">
      <c r="A1158" t="s">
        <v>1161</v>
      </c>
      <c r="B1158">
        <v>5371</v>
      </c>
      <c r="C1158">
        <v>28</v>
      </c>
      <c r="D1158">
        <v>68</v>
      </c>
      <c r="E1158">
        <v>580</v>
      </c>
      <c r="F1158">
        <v>4</v>
      </c>
      <c r="K1158" s="1">
        <f t="shared" si="113"/>
        <v>580</v>
      </c>
      <c r="L1158" s="1" t="str">
        <f t="shared" si="114"/>
        <v>Normal</v>
      </c>
      <c r="M1158" s="2">
        <f t="shared" si="115"/>
        <v>70</v>
      </c>
      <c r="N1158" s="1" t="str">
        <f t="shared" si="116"/>
        <v>Basah</v>
      </c>
      <c r="O1158" t="str">
        <f t="shared" si="117"/>
        <v>Fuzzy</v>
      </c>
      <c r="P1158" t="str">
        <f t="shared" si="118"/>
        <v>Fuzzy</v>
      </c>
    </row>
    <row r="1159" spans="1:16" x14ac:dyDescent="0.35">
      <c r="A1159" t="s">
        <v>1162</v>
      </c>
      <c r="B1159">
        <v>5372</v>
      </c>
      <c r="C1159">
        <v>28</v>
      </c>
      <c r="D1159">
        <v>68</v>
      </c>
      <c r="E1159">
        <v>547</v>
      </c>
      <c r="F1159">
        <v>6</v>
      </c>
      <c r="K1159" s="1">
        <f t="shared" si="113"/>
        <v>547</v>
      </c>
      <c r="L1159" s="1" t="str">
        <f t="shared" si="114"/>
        <v>Normal</v>
      </c>
      <c r="M1159" s="2">
        <f t="shared" si="115"/>
        <v>61.750000000000007</v>
      </c>
      <c r="N1159" s="1" t="str">
        <f t="shared" si="116"/>
        <v>Lembab</v>
      </c>
      <c r="O1159" t="str">
        <f t="shared" si="117"/>
        <v>Fuzzy</v>
      </c>
      <c r="P1159" t="str">
        <f t="shared" si="118"/>
        <v>Fuzzy</v>
      </c>
    </row>
    <row r="1160" spans="1:16" x14ac:dyDescent="0.35">
      <c r="A1160" t="s">
        <v>1163</v>
      </c>
      <c r="B1160">
        <v>5373</v>
      </c>
      <c r="C1160">
        <v>28</v>
      </c>
      <c r="D1160">
        <v>68</v>
      </c>
      <c r="E1160">
        <v>588</v>
      </c>
      <c r="F1160">
        <v>4</v>
      </c>
      <c r="K1160" s="1">
        <f t="shared" si="113"/>
        <v>588</v>
      </c>
      <c r="L1160" s="1" t="str">
        <f t="shared" si="114"/>
        <v>Normal</v>
      </c>
      <c r="M1160" s="2">
        <f t="shared" si="115"/>
        <v>72</v>
      </c>
      <c r="N1160" s="1" t="str">
        <f t="shared" si="116"/>
        <v>Basah</v>
      </c>
      <c r="O1160" t="str">
        <f t="shared" si="117"/>
        <v>Fuzzy</v>
      </c>
      <c r="P1160" t="str">
        <f t="shared" si="118"/>
        <v>Fuzzy</v>
      </c>
    </row>
    <row r="1161" spans="1:16" x14ac:dyDescent="0.35">
      <c r="A1161" t="s">
        <v>1164</v>
      </c>
      <c r="B1161">
        <v>5374</v>
      </c>
      <c r="C1161">
        <v>28</v>
      </c>
      <c r="D1161">
        <v>68</v>
      </c>
      <c r="E1161">
        <v>522</v>
      </c>
      <c r="F1161">
        <v>4</v>
      </c>
      <c r="K1161" s="1">
        <f t="shared" si="113"/>
        <v>522</v>
      </c>
      <c r="L1161" s="1" t="str">
        <f t="shared" si="114"/>
        <v>Normal</v>
      </c>
      <c r="M1161" s="2">
        <f t="shared" si="115"/>
        <v>55.500000000000007</v>
      </c>
      <c r="N1161" s="1" t="str">
        <f t="shared" si="116"/>
        <v>Lembab</v>
      </c>
      <c r="O1161" t="str">
        <f t="shared" si="117"/>
        <v>Fuzzy</v>
      </c>
      <c r="P1161" t="str">
        <f t="shared" si="118"/>
        <v>Fuzzy</v>
      </c>
    </row>
    <row r="1162" spans="1:16" x14ac:dyDescent="0.35">
      <c r="A1162" t="s">
        <v>1165</v>
      </c>
      <c r="B1162">
        <v>5375</v>
      </c>
      <c r="C1162">
        <v>28</v>
      </c>
      <c r="D1162">
        <v>68</v>
      </c>
      <c r="E1162">
        <v>702</v>
      </c>
      <c r="F1162">
        <v>4</v>
      </c>
      <c r="K1162" s="1">
        <f t="shared" si="113"/>
        <v>702</v>
      </c>
      <c r="L1162" s="1" t="str">
        <f t="shared" si="114"/>
        <v>Normal</v>
      </c>
      <c r="M1162" s="2">
        <f t="shared" si="115"/>
        <v>0.61919504643962853</v>
      </c>
      <c r="N1162" s="1" t="str">
        <f t="shared" si="116"/>
        <v>Kering</v>
      </c>
      <c r="O1162" t="str">
        <f t="shared" si="117"/>
        <v>Fuzzy</v>
      </c>
      <c r="P1162" t="str">
        <f t="shared" si="118"/>
        <v>Fuzzy</v>
      </c>
    </row>
    <row r="1163" spans="1:16" x14ac:dyDescent="0.35">
      <c r="A1163" t="s">
        <v>1166</v>
      </c>
      <c r="B1163">
        <v>5376</v>
      </c>
      <c r="C1163">
        <v>28</v>
      </c>
      <c r="D1163">
        <v>68</v>
      </c>
      <c r="E1163">
        <v>518</v>
      </c>
      <c r="F1163">
        <v>4</v>
      </c>
      <c r="K1163" s="1">
        <f t="shared" si="113"/>
        <v>518</v>
      </c>
      <c r="L1163" s="1" t="str">
        <f t="shared" si="114"/>
        <v>Normal</v>
      </c>
      <c r="M1163" s="2">
        <f t="shared" si="115"/>
        <v>54.500000000000007</v>
      </c>
      <c r="N1163" s="1" t="str">
        <f t="shared" si="116"/>
        <v>Lembab</v>
      </c>
      <c r="O1163" t="str">
        <f t="shared" si="117"/>
        <v>Fuzzy</v>
      </c>
      <c r="P1163" t="str">
        <f t="shared" si="118"/>
        <v>Fuzzy</v>
      </c>
    </row>
    <row r="1164" spans="1:16" x14ac:dyDescent="0.35">
      <c r="A1164" t="s">
        <v>1167</v>
      </c>
      <c r="B1164">
        <v>5377</v>
      </c>
      <c r="C1164">
        <v>28</v>
      </c>
      <c r="D1164">
        <v>68</v>
      </c>
      <c r="E1164">
        <v>631</v>
      </c>
      <c r="F1164">
        <v>4</v>
      </c>
      <c r="K1164" s="1">
        <f t="shared" si="113"/>
        <v>631</v>
      </c>
      <c r="L1164" s="1" t="str">
        <f t="shared" si="114"/>
        <v>Normal</v>
      </c>
      <c r="M1164" s="2">
        <f t="shared" si="115"/>
        <v>82.75</v>
      </c>
      <c r="N1164" s="1" t="str">
        <f t="shared" si="116"/>
        <v>Basah</v>
      </c>
      <c r="O1164" t="str">
        <f t="shared" si="117"/>
        <v>Fuzzy</v>
      </c>
      <c r="P1164" t="str">
        <f t="shared" si="118"/>
        <v>Fuzzy</v>
      </c>
    </row>
    <row r="1165" spans="1:16" x14ac:dyDescent="0.35">
      <c r="A1165" t="s">
        <v>1168</v>
      </c>
      <c r="B1165">
        <v>5378</v>
      </c>
      <c r="C1165">
        <v>28</v>
      </c>
      <c r="D1165">
        <v>69</v>
      </c>
      <c r="E1165">
        <v>835</v>
      </c>
      <c r="F1165">
        <v>4</v>
      </c>
      <c r="K1165" s="1">
        <f t="shared" ref="K1165:K1228" si="119">IF(E1165&lt;=1023, E1165, "")</f>
        <v>835</v>
      </c>
      <c r="L1165" s="1" t="str">
        <f t="shared" si="114"/>
        <v>Normal</v>
      </c>
      <c r="M1165" s="2">
        <f t="shared" si="115"/>
        <v>41.795665634674926</v>
      </c>
      <c r="N1165" s="1" t="str">
        <f t="shared" si="116"/>
        <v>Lembab</v>
      </c>
      <c r="O1165" t="str">
        <f t="shared" si="117"/>
        <v>Fuzzy</v>
      </c>
      <c r="P1165" t="str">
        <f t="shared" si="118"/>
        <v>Fuzzy</v>
      </c>
    </row>
    <row r="1166" spans="1:16" x14ac:dyDescent="0.35">
      <c r="A1166" t="s">
        <v>1169</v>
      </c>
      <c r="B1166">
        <v>5379</v>
      </c>
      <c r="C1166">
        <v>28</v>
      </c>
      <c r="D1166">
        <v>68</v>
      </c>
      <c r="E1166">
        <v>621</v>
      </c>
      <c r="F1166">
        <v>4</v>
      </c>
      <c r="K1166" s="1">
        <f t="shared" si="119"/>
        <v>621</v>
      </c>
      <c r="L1166" s="1" t="str">
        <f t="shared" si="114"/>
        <v>Normal</v>
      </c>
      <c r="M1166" s="2">
        <f t="shared" si="115"/>
        <v>80.25</v>
      </c>
      <c r="N1166" s="1" t="str">
        <f t="shared" si="116"/>
        <v>Basah</v>
      </c>
      <c r="O1166" t="str">
        <f t="shared" si="117"/>
        <v>Fuzzy</v>
      </c>
      <c r="P1166" t="str">
        <f t="shared" si="118"/>
        <v>Fuzzy</v>
      </c>
    </row>
    <row r="1167" spans="1:16" x14ac:dyDescent="0.35">
      <c r="A1167" t="s">
        <v>1170</v>
      </c>
      <c r="B1167">
        <v>5380</v>
      </c>
      <c r="C1167">
        <v>28</v>
      </c>
      <c r="D1167">
        <v>68</v>
      </c>
      <c r="E1167">
        <v>612</v>
      </c>
      <c r="F1167">
        <v>3</v>
      </c>
      <c r="K1167" s="1">
        <f t="shared" si="119"/>
        <v>612</v>
      </c>
      <c r="L1167" s="1" t="str">
        <f t="shared" si="114"/>
        <v>Normal</v>
      </c>
      <c r="M1167" s="2">
        <f t="shared" si="115"/>
        <v>78</v>
      </c>
      <c r="N1167" s="1" t="str">
        <f t="shared" si="116"/>
        <v>Basah</v>
      </c>
      <c r="O1167" t="str">
        <f t="shared" si="117"/>
        <v>Fuzzy</v>
      </c>
      <c r="P1167" t="str">
        <f t="shared" si="118"/>
        <v>Fuzzy</v>
      </c>
    </row>
    <row r="1168" spans="1:16" x14ac:dyDescent="0.35">
      <c r="A1168" t="s">
        <v>1171</v>
      </c>
      <c r="B1168">
        <v>5381</v>
      </c>
      <c r="C1168">
        <v>28</v>
      </c>
      <c r="D1168">
        <v>68</v>
      </c>
      <c r="E1168">
        <v>610</v>
      </c>
      <c r="F1168">
        <v>4</v>
      </c>
      <c r="K1168" s="1">
        <f t="shared" si="119"/>
        <v>610</v>
      </c>
      <c r="L1168" s="1" t="str">
        <f t="shared" si="114"/>
        <v>Normal</v>
      </c>
      <c r="M1168" s="2">
        <f t="shared" si="115"/>
        <v>77.5</v>
      </c>
      <c r="N1168" s="1" t="str">
        <f t="shared" si="116"/>
        <v>Basah</v>
      </c>
      <c r="O1168" t="str">
        <f t="shared" si="117"/>
        <v>Fuzzy</v>
      </c>
      <c r="P1168" t="str">
        <f t="shared" si="118"/>
        <v>Fuzzy</v>
      </c>
    </row>
    <row r="1169" spans="1:16" x14ac:dyDescent="0.35">
      <c r="A1169" t="s">
        <v>1172</v>
      </c>
      <c r="B1169">
        <v>5382</v>
      </c>
      <c r="C1169">
        <v>28</v>
      </c>
      <c r="D1169">
        <v>68</v>
      </c>
      <c r="E1169">
        <v>560</v>
      </c>
      <c r="F1169">
        <v>4</v>
      </c>
      <c r="K1169" s="1">
        <f t="shared" si="119"/>
        <v>560</v>
      </c>
      <c r="L1169" s="1" t="str">
        <f t="shared" si="114"/>
        <v>Normal</v>
      </c>
      <c r="M1169" s="2">
        <f t="shared" si="115"/>
        <v>65</v>
      </c>
      <c r="N1169" s="1" t="str">
        <f t="shared" si="116"/>
        <v>Lembab</v>
      </c>
      <c r="O1169" t="str">
        <f t="shared" si="117"/>
        <v>Fuzzy</v>
      </c>
      <c r="P1169" t="str">
        <f t="shared" si="118"/>
        <v>Fuzzy</v>
      </c>
    </row>
    <row r="1170" spans="1:16" x14ac:dyDescent="0.35">
      <c r="A1170" t="s">
        <v>1173</v>
      </c>
      <c r="B1170">
        <v>5383</v>
      </c>
      <c r="C1170">
        <v>28</v>
      </c>
      <c r="D1170">
        <v>68</v>
      </c>
      <c r="E1170">
        <v>633</v>
      </c>
      <c r="F1170">
        <v>4</v>
      </c>
      <c r="K1170" s="1">
        <f t="shared" si="119"/>
        <v>633</v>
      </c>
      <c r="L1170" s="1" t="str">
        <f t="shared" si="114"/>
        <v>Normal</v>
      </c>
      <c r="M1170" s="2">
        <f t="shared" si="115"/>
        <v>83.25</v>
      </c>
      <c r="N1170" s="1" t="str">
        <f t="shared" si="116"/>
        <v>Basah</v>
      </c>
      <c r="O1170" t="str">
        <f t="shared" si="117"/>
        <v>Fuzzy</v>
      </c>
      <c r="P1170" t="str">
        <f t="shared" si="118"/>
        <v>Fuzzy</v>
      </c>
    </row>
    <row r="1171" spans="1:16" x14ac:dyDescent="0.35">
      <c r="A1171" t="s">
        <v>1174</v>
      </c>
      <c r="B1171">
        <v>5384</v>
      </c>
      <c r="C1171">
        <v>28</v>
      </c>
      <c r="D1171">
        <v>68</v>
      </c>
      <c r="E1171">
        <v>609</v>
      </c>
      <c r="F1171">
        <v>4</v>
      </c>
      <c r="K1171" s="1">
        <f t="shared" si="119"/>
        <v>609</v>
      </c>
      <c r="L1171" s="1" t="str">
        <f t="shared" si="114"/>
        <v>Normal</v>
      </c>
      <c r="M1171" s="2">
        <f t="shared" si="115"/>
        <v>77.25</v>
      </c>
      <c r="N1171" s="1" t="str">
        <f t="shared" si="116"/>
        <v>Basah</v>
      </c>
      <c r="O1171" t="str">
        <f t="shared" si="117"/>
        <v>Fuzzy</v>
      </c>
      <c r="P1171" t="str">
        <f t="shared" si="118"/>
        <v>Fuzzy</v>
      </c>
    </row>
    <row r="1172" spans="1:16" x14ac:dyDescent="0.35">
      <c r="A1172" t="s">
        <v>1175</v>
      </c>
      <c r="B1172">
        <v>5385</v>
      </c>
      <c r="C1172">
        <v>28</v>
      </c>
      <c r="D1172">
        <v>68</v>
      </c>
      <c r="E1172">
        <v>630</v>
      </c>
      <c r="F1172">
        <v>4</v>
      </c>
      <c r="K1172" s="1">
        <f t="shared" si="119"/>
        <v>630</v>
      </c>
      <c r="L1172" s="1" t="str">
        <f t="shared" si="114"/>
        <v>Normal</v>
      </c>
      <c r="M1172" s="2">
        <f t="shared" si="115"/>
        <v>82.5</v>
      </c>
      <c r="N1172" s="1" t="str">
        <f t="shared" si="116"/>
        <v>Basah</v>
      </c>
      <c r="O1172" t="str">
        <f t="shared" si="117"/>
        <v>Fuzzy</v>
      </c>
      <c r="P1172" t="str">
        <f t="shared" si="118"/>
        <v>Fuzzy</v>
      </c>
    </row>
    <row r="1173" spans="1:16" x14ac:dyDescent="0.35">
      <c r="A1173" t="s">
        <v>1176</v>
      </c>
      <c r="B1173">
        <v>5386</v>
      </c>
      <c r="C1173">
        <v>28</v>
      </c>
      <c r="D1173">
        <v>68</v>
      </c>
      <c r="E1173">
        <v>591</v>
      </c>
      <c r="F1173">
        <v>4</v>
      </c>
      <c r="K1173" s="1">
        <f t="shared" si="119"/>
        <v>591</v>
      </c>
      <c r="L1173" s="1" t="str">
        <f t="shared" si="114"/>
        <v>Normal</v>
      </c>
      <c r="M1173" s="2">
        <f t="shared" si="115"/>
        <v>72.75</v>
      </c>
      <c r="N1173" s="1" t="str">
        <f t="shared" si="116"/>
        <v>Basah</v>
      </c>
      <c r="O1173" t="str">
        <f t="shared" si="117"/>
        <v>Fuzzy</v>
      </c>
      <c r="P1173" t="str">
        <f t="shared" si="118"/>
        <v>Fuzzy</v>
      </c>
    </row>
    <row r="1174" spans="1:16" x14ac:dyDescent="0.35">
      <c r="A1174" t="s">
        <v>1177</v>
      </c>
      <c r="B1174">
        <v>5387</v>
      </c>
      <c r="C1174">
        <v>28</v>
      </c>
      <c r="D1174">
        <v>68</v>
      </c>
      <c r="E1174">
        <v>833</v>
      </c>
      <c r="F1174">
        <v>3</v>
      </c>
      <c r="K1174" s="1">
        <f t="shared" si="119"/>
        <v>833</v>
      </c>
      <c r="L1174" s="1" t="str">
        <f t="shared" si="114"/>
        <v>Normal</v>
      </c>
      <c r="M1174" s="2">
        <f t="shared" si="115"/>
        <v>41.17647058823529</v>
      </c>
      <c r="N1174" s="1" t="str">
        <f t="shared" si="116"/>
        <v>Lembab</v>
      </c>
      <c r="O1174" t="str">
        <f t="shared" si="117"/>
        <v>Fuzzy</v>
      </c>
      <c r="P1174" t="str">
        <f t="shared" si="118"/>
        <v>Fuzzy</v>
      </c>
    </row>
    <row r="1175" spans="1:16" x14ac:dyDescent="0.35">
      <c r="A1175" t="s">
        <v>1178</v>
      </c>
      <c r="B1175">
        <v>5388</v>
      </c>
      <c r="C1175">
        <v>28</v>
      </c>
      <c r="D1175">
        <v>67</v>
      </c>
      <c r="E1175">
        <v>460</v>
      </c>
      <c r="F1175">
        <v>4</v>
      </c>
      <c r="K1175" s="1">
        <f t="shared" si="119"/>
        <v>460</v>
      </c>
      <c r="L1175" s="1" t="str">
        <f t="shared" si="114"/>
        <v>Normal</v>
      </c>
      <c r="M1175" s="2">
        <f t="shared" si="115"/>
        <v>40</v>
      </c>
      <c r="N1175" s="1" t="str">
        <f t="shared" si="116"/>
        <v>Lembab</v>
      </c>
      <c r="O1175" t="str">
        <f t="shared" si="117"/>
        <v>Fuzzy</v>
      </c>
      <c r="P1175" t="str">
        <f t="shared" si="118"/>
        <v>Fuzzy</v>
      </c>
    </row>
    <row r="1176" spans="1:16" x14ac:dyDescent="0.35">
      <c r="A1176" t="s">
        <v>1179</v>
      </c>
      <c r="B1176">
        <v>5389</v>
      </c>
      <c r="C1176">
        <v>28</v>
      </c>
      <c r="D1176">
        <v>66</v>
      </c>
      <c r="E1176">
        <v>553</v>
      </c>
      <c r="F1176">
        <v>3</v>
      </c>
      <c r="K1176" s="1">
        <f t="shared" si="119"/>
        <v>553</v>
      </c>
      <c r="L1176" s="1" t="str">
        <f t="shared" si="114"/>
        <v>Normal</v>
      </c>
      <c r="M1176" s="2">
        <f t="shared" si="115"/>
        <v>63.249999999999993</v>
      </c>
      <c r="N1176" s="1" t="str">
        <f t="shared" si="116"/>
        <v>Lembab</v>
      </c>
      <c r="O1176" t="str">
        <f t="shared" si="117"/>
        <v>Fuzzy</v>
      </c>
      <c r="P1176" t="str">
        <f t="shared" si="118"/>
        <v>Fuzzy</v>
      </c>
    </row>
    <row r="1177" spans="1:16" x14ac:dyDescent="0.35">
      <c r="A1177" t="s">
        <v>1180</v>
      </c>
      <c r="B1177">
        <v>5390</v>
      </c>
      <c r="C1177">
        <v>28</v>
      </c>
      <c r="D1177">
        <v>66</v>
      </c>
      <c r="E1177">
        <v>621</v>
      </c>
      <c r="F1177">
        <v>4</v>
      </c>
      <c r="K1177" s="1">
        <f t="shared" si="119"/>
        <v>621</v>
      </c>
      <c r="L1177" s="1" t="str">
        <f t="shared" si="114"/>
        <v>Normal</v>
      </c>
      <c r="M1177" s="2">
        <f t="shared" si="115"/>
        <v>80.25</v>
      </c>
      <c r="N1177" s="1" t="str">
        <f t="shared" si="116"/>
        <v>Basah</v>
      </c>
      <c r="O1177" t="str">
        <f t="shared" si="117"/>
        <v>Fuzzy</v>
      </c>
      <c r="P1177" t="str">
        <f t="shared" si="118"/>
        <v>Fuzzy</v>
      </c>
    </row>
    <row r="1178" spans="1:16" x14ac:dyDescent="0.35">
      <c r="A1178" t="s">
        <v>1181</v>
      </c>
      <c r="B1178">
        <v>5391</v>
      </c>
      <c r="C1178">
        <v>28</v>
      </c>
      <c r="D1178">
        <v>66</v>
      </c>
      <c r="E1178">
        <v>574</v>
      </c>
      <c r="F1178">
        <v>3</v>
      </c>
      <c r="K1178" s="1">
        <f t="shared" si="119"/>
        <v>574</v>
      </c>
      <c r="L1178" s="1" t="str">
        <f t="shared" si="114"/>
        <v>Normal</v>
      </c>
      <c r="M1178" s="2">
        <f t="shared" si="115"/>
        <v>68.5</v>
      </c>
      <c r="N1178" s="1" t="str">
        <f t="shared" si="116"/>
        <v>Lembab</v>
      </c>
      <c r="O1178" t="str">
        <f t="shared" si="117"/>
        <v>Fuzzy</v>
      </c>
      <c r="P1178" t="str">
        <f t="shared" si="118"/>
        <v>Fuzzy</v>
      </c>
    </row>
    <row r="1179" spans="1:16" x14ac:dyDescent="0.35">
      <c r="A1179" t="s">
        <v>1182</v>
      </c>
      <c r="B1179">
        <v>5392</v>
      </c>
      <c r="C1179">
        <v>28</v>
      </c>
      <c r="D1179">
        <v>66</v>
      </c>
      <c r="E1179">
        <v>493</v>
      </c>
      <c r="F1179">
        <v>4</v>
      </c>
      <c r="K1179" s="1">
        <f t="shared" si="119"/>
        <v>493</v>
      </c>
      <c r="L1179" s="1" t="str">
        <f t="shared" si="114"/>
        <v>Normal</v>
      </c>
      <c r="M1179" s="2">
        <f t="shared" si="115"/>
        <v>48.25</v>
      </c>
      <c r="N1179" s="1" t="str">
        <f t="shared" si="116"/>
        <v>Lembab</v>
      </c>
      <c r="O1179" t="str">
        <f t="shared" si="117"/>
        <v>Fuzzy</v>
      </c>
      <c r="P1179" t="str">
        <f t="shared" si="118"/>
        <v>Fuzzy</v>
      </c>
    </row>
    <row r="1180" spans="1:16" x14ac:dyDescent="0.35">
      <c r="A1180" t="s">
        <v>1183</v>
      </c>
      <c r="B1180">
        <v>5393</v>
      </c>
      <c r="C1180">
        <v>28</v>
      </c>
      <c r="D1180">
        <v>67</v>
      </c>
      <c r="E1180">
        <v>547</v>
      </c>
      <c r="F1180">
        <v>4</v>
      </c>
      <c r="K1180" s="1">
        <f t="shared" si="119"/>
        <v>547</v>
      </c>
      <c r="L1180" s="1" t="str">
        <f t="shared" si="114"/>
        <v>Normal</v>
      </c>
      <c r="M1180" s="2">
        <f t="shared" si="115"/>
        <v>61.750000000000007</v>
      </c>
      <c r="N1180" s="1" t="str">
        <f t="shared" si="116"/>
        <v>Lembab</v>
      </c>
      <c r="O1180" t="str">
        <f t="shared" si="117"/>
        <v>Fuzzy</v>
      </c>
      <c r="P1180" t="str">
        <f t="shared" si="118"/>
        <v>Fuzzy</v>
      </c>
    </row>
    <row r="1181" spans="1:16" x14ac:dyDescent="0.35">
      <c r="A1181" t="s">
        <v>1184</v>
      </c>
      <c r="B1181">
        <v>5394</v>
      </c>
      <c r="C1181">
        <v>28</v>
      </c>
      <c r="D1181">
        <v>68</v>
      </c>
      <c r="E1181">
        <v>530</v>
      </c>
      <c r="F1181">
        <v>4</v>
      </c>
      <c r="K1181" s="1">
        <f t="shared" si="119"/>
        <v>530</v>
      </c>
      <c r="L1181" s="1" t="str">
        <f t="shared" si="114"/>
        <v>Normal</v>
      </c>
      <c r="M1181" s="2">
        <f t="shared" si="115"/>
        <v>57.499999999999993</v>
      </c>
      <c r="N1181" s="1" t="str">
        <f t="shared" si="116"/>
        <v>Lembab</v>
      </c>
      <c r="O1181" t="str">
        <f t="shared" si="117"/>
        <v>Fuzzy</v>
      </c>
      <c r="P1181" t="str">
        <f t="shared" si="118"/>
        <v>Fuzzy</v>
      </c>
    </row>
    <row r="1182" spans="1:16" x14ac:dyDescent="0.35">
      <c r="A1182" t="s">
        <v>1185</v>
      </c>
      <c r="B1182">
        <v>5395</v>
      </c>
      <c r="C1182">
        <v>28</v>
      </c>
      <c r="D1182">
        <v>68</v>
      </c>
      <c r="E1182">
        <v>872</v>
      </c>
      <c r="F1182">
        <v>4</v>
      </c>
      <c r="K1182" s="1">
        <f t="shared" si="119"/>
        <v>872</v>
      </c>
      <c r="L1182" s="1" t="str">
        <f t="shared" si="114"/>
        <v>Normal</v>
      </c>
      <c r="M1182" s="2">
        <f t="shared" si="115"/>
        <v>53.250773993808053</v>
      </c>
      <c r="N1182" s="1" t="str">
        <f t="shared" si="116"/>
        <v>Lembab</v>
      </c>
      <c r="O1182" t="str">
        <f t="shared" si="117"/>
        <v>Fuzzy</v>
      </c>
      <c r="P1182" t="str">
        <f t="shared" si="118"/>
        <v>Fuzzy</v>
      </c>
    </row>
    <row r="1183" spans="1:16" x14ac:dyDescent="0.35">
      <c r="A1183" t="s">
        <v>1186</v>
      </c>
      <c r="B1183">
        <v>5396</v>
      </c>
      <c r="C1183">
        <v>28</v>
      </c>
      <c r="D1183">
        <v>68</v>
      </c>
      <c r="E1183">
        <v>581</v>
      </c>
      <c r="F1183">
        <v>3</v>
      </c>
      <c r="K1183" s="1">
        <f t="shared" si="119"/>
        <v>581</v>
      </c>
      <c r="L1183" s="1" t="str">
        <f t="shared" si="114"/>
        <v>Normal</v>
      </c>
      <c r="M1183" s="2">
        <f t="shared" si="115"/>
        <v>70.25</v>
      </c>
      <c r="N1183" s="1" t="str">
        <f t="shared" si="116"/>
        <v>Basah</v>
      </c>
      <c r="O1183" t="str">
        <f t="shared" si="117"/>
        <v>Fuzzy</v>
      </c>
      <c r="P1183" t="str">
        <f t="shared" si="118"/>
        <v>Fuzzy</v>
      </c>
    </row>
    <row r="1184" spans="1:16" x14ac:dyDescent="0.35">
      <c r="A1184" t="s">
        <v>1187</v>
      </c>
      <c r="B1184">
        <v>5397</v>
      </c>
      <c r="C1184">
        <v>28</v>
      </c>
      <c r="D1184">
        <v>68</v>
      </c>
      <c r="E1184">
        <v>703</v>
      </c>
      <c r="F1184">
        <v>4</v>
      </c>
      <c r="K1184" s="1">
        <f t="shared" si="119"/>
        <v>703</v>
      </c>
      <c r="L1184" s="1" t="str">
        <f t="shared" si="114"/>
        <v>Normal</v>
      </c>
      <c r="M1184" s="2">
        <f t="shared" si="115"/>
        <v>0.92879256965944268</v>
      </c>
      <c r="N1184" s="1" t="str">
        <f t="shared" si="116"/>
        <v>Kering</v>
      </c>
      <c r="O1184" t="str">
        <f t="shared" si="117"/>
        <v>Fuzzy</v>
      </c>
      <c r="P1184" t="str">
        <f t="shared" si="118"/>
        <v>Fuzzy</v>
      </c>
    </row>
    <row r="1185" spans="1:16" x14ac:dyDescent="0.35">
      <c r="A1185" t="s">
        <v>1188</v>
      </c>
      <c r="B1185">
        <v>5398</v>
      </c>
      <c r="C1185">
        <v>28</v>
      </c>
      <c r="D1185">
        <v>69</v>
      </c>
      <c r="E1185">
        <v>645</v>
      </c>
      <c r="F1185">
        <v>4</v>
      </c>
      <c r="K1185" s="1">
        <f t="shared" si="119"/>
        <v>645</v>
      </c>
      <c r="L1185" s="1" t="str">
        <f t="shared" si="114"/>
        <v>Normal</v>
      </c>
      <c r="M1185" s="2">
        <f t="shared" si="115"/>
        <v>86.25</v>
      </c>
      <c r="N1185" s="1" t="str">
        <f t="shared" si="116"/>
        <v>Basah</v>
      </c>
      <c r="O1185" t="str">
        <f t="shared" si="117"/>
        <v>Fuzzy</v>
      </c>
      <c r="P1185" t="str">
        <f t="shared" si="118"/>
        <v>Fuzzy</v>
      </c>
    </row>
    <row r="1186" spans="1:16" x14ac:dyDescent="0.35">
      <c r="A1186" t="s">
        <v>1189</v>
      </c>
      <c r="B1186">
        <v>5399</v>
      </c>
      <c r="C1186">
        <v>28</v>
      </c>
      <c r="D1186">
        <v>69</v>
      </c>
      <c r="E1186">
        <v>597</v>
      </c>
      <c r="F1186">
        <v>4</v>
      </c>
      <c r="K1186" s="1">
        <f t="shared" si="119"/>
        <v>597</v>
      </c>
      <c r="L1186" s="1" t="str">
        <f t="shared" si="114"/>
        <v>Normal</v>
      </c>
      <c r="M1186" s="2">
        <f t="shared" si="115"/>
        <v>74.25</v>
      </c>
      <c r="N1186" s="1" t="str">
        <f t="shared" si="116"/>
        <v>Basah</v>
      </c>
      <c r="O1186" t="str">
        <f t="shared" si="117"/>
        <v>Fuzzy</v>
      </c>
      <c r="P1186" t="str">
        <f t="shared" si="118"/>
        <v>Fuzzy</v>
      </c>
    </row>
    <row r="1187" spans="1:16" x14ac:dyDescent="0.35">
      <c r="A1187" t="s">
        <v>1190</v>
      </c>
      <c r="B1187">
        <v>5400</v>
      </c>
      <c r="C1187">
        <v>28</v>
      </c>
      <c r="D1187">
        <v>69</v>
      </c>
      <c r="E1187">
        <v>679</v>
      </c>
      <c r="F1187">
        <v>3</v>
      </c>
      <c r="K1187" s="1">
        <f t="shared" si="119"/>
        <v>679</v>
      </c>
      <c r="L1187" s="1" t="str">
        <f t="shared" si="114"/>
        <v>Normal</v>
      </c>
      <c r="M1187" s="2">
        <f t="shared" si="115"/>
        <v>94.75</v>
      </c>
      <c r="N1187" s="1" t="str">
        <f t="shared" si="116"/>
        <v>Basah</v>
      </c>
      <c r="O1187" t="str">
        <f t="shared" si="117"/>
        <v>Fuzzy</v>
      </c>
      <c r="P1187" t="str">
        <f t="shared" si="118"/>
        <v>Fuzzy</v>
      </c>
    </row>
    <row r="1188" spans="1:16" x14ac:dyDescent="0.35">
      <c r="A1188" t="s">
        <v>1191</v>
      </c>
      <c r="B1188">
        <v>5401</v>
      </c>
      <c r="C1188">
        <v>28</v>
      </c>
      <c r="D1188">
        <v>69</v>
      </c>
      <c r="E1188">
        <v>659</v>
      </c>
      <c r="F1188">
        <v>4</v>
      </c>
      <c r="K1188" s="1">
        <f t="shared" si="119"/>
        <v>659</v>
      </c>
      <c r="L1188" s="1" t="str">
        <f t="shared" si="114"/>
        <v>Normal</v>
      </c>
      <c r="M1188" s="2">
        <f t="shared" si="115"/>
        <v>89.75</v>
      </c>
      <c r="N1188" s="1" t="str">
        <f t="shared" si="116"/>
        <v>Basah</v>
      </c>
      <c r="O1188" t="str">
        <f t="shared" si="117"/>
        <v>Fuzzy</v>
      </c>
      <c r="P1188" t="str">
        <f t="shared" si="118"/>
        <v>Fuzzy</v>
      </c>
    </row>
    <row r="1189" spans="1:16" x14ac:dyDescent="0.35">
      <c r="A1189" t="s">
        <v>1192</v>
      </c>
      <c r="B1189">
        <v>5402</v>
      </c>
      <c r="C1189">
        <v>28</v>
      </c>
      <c r="D1189">
        <v>69</v>
      </c>
      <c r="E1189">
        <v>540</v>
      </c>
      <c r="F1189">
        <v>4</v>
      </c>
      <c r="K1189" s="1">
        <f t="shared" si="119"/>
        <v>540</v>
      </c>
      <c r="L1189" s="1" t="str">
        <f t="shared" si="114"/>
        <v>Normal</v>
      </c>
      <c r="M1189" s="2">
        <f t="shared" si="115"/>
        <v>60</v>
      </c>
      <c r="N1189" s="1" t="str">
        <f t="shared" si="116"/>
        <v>Lembab</v>
      </c>
      <c r="O1189" t="str">
        <f t="shared" si="117"/>
        <v>Fuzzy</v>
      </c>
      <c r="P1189" t="str">
        <f t="shared" si="118"/>
        <v>Fuzzy</v>
      </c>
    </row>
    <row r="1190" spans="1:16" x14ac:dyDescent="0.35">
      <c r="A1190" t="s">
        <v>1193</v>
      </c>
      <c r="B1190">
        <v>5403</v>
      </c>
      <c r="C1190">
        <v>28</v>
      </c>
      <c r="D1190">
        <v>69</v>
      </c>
      <c r="E1190">
        <v>646</v>
      </c>
      <c r="F1190">
        <v>3</v>
      </c>
      <c r="K1190" s="1">
        <f t="shared" si="119"/>
        <v>646</v>
      </c>
      <c r="L1190" s="1" t="str">
        <f t="shared" si="114"/>
        <v>Normal</v>
      </c>
      <c r="M1190" s="2">
        <f t="shared" si="115"/>
        <v>86.5</v>
      </c>
      <c r="N1190" s="1" t="str">
        <f t="shared" si="116"/>
        <v>Basah</v>
      </c>
      <c r="O1190" t="str">
        <f t="shared" si="117"/>
        <v>Fuzzy</v>
      </c>
      <c r="P1190" t="str">
        <f t="shared" si="118"/>
        <v>Fuzzy</v>
      </c>
    </row>
    <row r="1191" spans="1:16" x14ac:dyDescent="0.35">
      <c r="A1191" t="s">
        <v>1194</v>
      </c>
      <c r="B1191">
        <v>5404</v>
      </c>
      <c r="C1191">
        <v>28</v>
      </c>
      <c r="D1191">
        <v>69</v>
      </c>
      <c r="E1191">
        <v>515</v>
      </c>
      <c r="F1191">
        <v>4</v>
      </c>
      <c r="K1191" s="1">
        <f t="shared" si="119"/>
        <v>515</v>
      </c>
      <c r="L1191" s="1" t="str">
        <f t="shared" si="114"/>
        <v>Normal</v>
      </c>
      <c r="M1191" s="2">
        <f t="shared" si="115"/>
        <v>53.75</v>
      </c>
      <c r="N1191" s="1" t="str">
        <f t="shared" si="116"/>
        <v>Lembab</v>
      </c>
      <c r="O1191" t="str">
        <f t="shared" si="117"/>
        <v>Fuzzy</v>
      </c>
      <c r="P1191" t="str">
        <f t="shared" si="118"/>
        <v>Fuzzy</v>
      </c>
    </row>
    <row r="1192" spans="1:16" x14ac:dyDescent="0.35">
      <c r="A1192" t="s">
        <v>1195</v>
      </c>
      <c r="B1192">
        <v>5405</v>
      </c>
      <c r="C1192">
        <v>28</v>
      </c>
      <c r="D1192">
        <v>69</v>
      </c>
      <c r="E1192">
        <v>647</v>
      </c>
      <c r="F1192">
        <v>3</v>
      </c>
      <c r="K1192" s="1">
        <f t="shared" si="119"/>
        <v>647</v>
      </c>
      <c r="L1192" s="1" t="str">
        <f t="shared" si="114"/>
        <v>Normal</v>
      </c>
      <c r="M1192" s="2">
        <f t="shared" si="115"/>
        <v>86.75</v>
      </c>
      <c r="N1192" s="1" t="str">
        <f t="shared" si="116"/>
        <v>Basah</v>
      </c>
      <c r="O1192" t="str">
        <f t="shared" si="117"/>
        <v>Fuzzy</v>
      </c>
      <c r="P1192" t="str">
        <f t="shared" si="118"/>
        <v>Fuzzy</v>
      </c>
    </row>
    <row r="1193" spans="1:16" x14ac:dyDescent="0.35">
      <c r="A1193" t="s">
        <v>1196</v>
      </c>
      <c r="B1193">
        <v>5406</v>
      </c>
      <c r="C1193">
        <v>28</v>
      </c>
      <c r="D1193">
        <v>69</v>
      </c>
      <c r="E1193">
        <v>526</v>
      </c>
      <c r="F1193">
        <v>4</v>
      </c>
      <c r="K1193" s="1">
        <f t="shared" si="119"/>
        <v>526</v>
      </c>
      <c r="L1193" s="1" t="str">
        <f t="shared" si="114"/>
        <v>Normal</v>
      </c>
      <c r="M1193" s="2">
        <f t="shared" si="115"/>
        <v>56.499999999999993</v>
      </c>
      <c r="N1193" s="1" t="str">
        <f t="shared" si="116"/>
        <v>Lembab</v>
      </c>
      <c r="O1193" t="str">
        <f t="shared" si="117"/>
        <v>Fuzzy</v>
      </c>
      <c r="P1193" t="str">
        <f t="shared" si="118"/>
        <v>Fuzzy</v>
      </c>
    </row>
    <row r="1194" spans="1:16" x14ac:dyDescent="0.35">
      <c r="A1194" t="s">
        <v>1197</v>
      </c>
      <c r="B1194">
        <v>5407</v>
      </c>
      <c r="C1194">
        <v>28</v>
      </c>
      <c r="D1194">
        <v>69</v>
      </c>
      <c r="E1194">
        <v>617</v>
      </c>
      <c r="F1194">
        <v>4</v>
      </c>
      <c r="K1194" s="1">
        <f t="shared" si="119"/>
        <v>617</v>
      </c>
      <c r="L1194" s="1" t="str">
        <f t="shared" si="114"/>
        <v>Normal</v>
      </c>
      <c r="M1194" s="2">
        <f t="shared" si="115"/>
        <v>79.25</v>
      </c>
      <c r="N1194" s="1" t="str">
        <f t="shared" si="116"/>
        <v>Basah</v>
      </c>
      <c r="O1194" t="str">
        <f t="shared" si="117"/>
        <v>Fuzzy</v>
      </c>
      <c r="P1194" t="str">
        <f t="shared" si="118"/>
        <v>Fuzzy</v>
      </c>
    </row>
    <row r="1195" spans="1:16" x14ac:dyDescent="0.35">
      <c r="A1195" t="s">
        <v>1198</v>
      </c>
      <c r="B1195">
        <v>5408</v>
      </c>
      <c r="C1195">
        <v>28</v>
      </c>
      <c r="D1195">
        <v>69</v>
      </c>
      <c r="E1195">
        <v>563</v>
      </c>
      <c r="F1195">
        <v>3</v>
      </c>
      <c r="K1195" s="1">
        <f t="shared" si="119"/>
        <v>563</v>
      </c>
      <c r="L1195" s="1" t="str">
        <f t="shared" si="114"/>
        <v>Normal</v>
      </c>
      <c r="M1195" s="2">
        <f t="shared" si="115"/>
        <v>65.75</v>
      </c>
      <c r="N1195" s="1" t="str">
        <f t="shared" si="116"/>
        <v>Lembab</v>
      </c>
      <c r="O1195" t="str">
        <f t="shared" si="117"/>
        <v>Fuzzy</v>
      </c>
      <c r="P1195" t="str">
        <f t="shared" si="118"/>
        <v>Fuzzy</v>
      </c>
    </row>
    <row r="1196" spans="1:16" x14ac:dyDescent="0.35">
      <c r="A1196" t="s">
        <v>1199</v>
      </c>
      <c r="B1196">
        <v>5409</v>
      </c>
      <c r="C1196">
        <v>28</v>
      </c>
      <c r="D1196">
        <v>69</v>
      </c>
      <c r="E1196">
        <v>580</v>
      </c>
      <c r="F1196">
        <v>4</v>
      </c>
      <c r="K1196" s="1">
        <f t="shared" si="119"/>
        <v>580</v>
      </c>
      <c r="L1196" s="1" t="str">
        <f t="shared" si="114"/>
        <v>Normal</v>
      </c>
      <c r="M1196" s="2">
        <f t="shared" si="115"/>
        <v>70</v>
      </c>
      <c r="N1196" s="1" t="str">
        <f t="shared" si="116"/>
        <v>Basah</v>
      </c>
      <c r="O1196" t="str">
        <f t="shared" si="117"/>
        <v>Fuzzy</v>
      </c>
      <c r="P1196" t="str">
        <f t="shared" si="118"/>
        <v>Fuzzy</v>
      </c>
    </row>
    <row r="1197" spans="1:16" x14ac:dyDescent="0.35">
      <c r="A1197" t="s">
        <v>1200</v>
      </c>
      <c r="B1197">
        <v>5410</v>
      </c>
      <c r="C1197">
        <v>28</v>
      </c>
      <c r="D1197">
        <v>69</v>
      </c>
      <c r="E1197">
        <v>626</v>
      </c>
      <c r="F1197">
        <v>4</v>
      </c>
      <c r="K1197" s="1">
        <f t="shared" si="119"/>
        <v>626</v>
      </c>
      <c r="L1197" s="1" t="str">
        <f t="shared" si="114"/>
        <v>Normal</v>
      </c>
      <c r="M1197" s="2">
        <f t="shared" si="115"/>
        <v>81.5</v>
      </c>
      <c r="N1197" s="1" t="str">
        <f t="shared" si="116"/>
        <v>Basah</v>
      </c>
      <c r="O1197" t="str">
        <f t="shared" si="117"/>
        <v>Fuzzy</v>
      </c>
      <c r="P1197" t="str">
        <f t="shared" si="118"/>
        <v>Fuzzy</v>
      </c>
    </row>
    <row r="1198" spans="1:16" x14ac:dyDescent="0.35">
      <c r="A1198" t="s">
        <v>1201</v>
      </c>
      <c r="B1198">
        <v>5411</v>
      </c>
      <c r="C1198">
        <v>28</v>
      </c>
      <c r="D1198">
        <v>69</v>
      </c>
      <c r="E1198">
        <v>557</v>
      </c>
      <c r="F1198">
        <v>4</v>
      </c>
      <c r="K1198" s="1">
        <f t="shared" si="119"/>
        <v>557</v>
      </c>
      <c r="L1198" s="1" t="str">
        <f t="shared" si="114"/>
        <v>Normal</v>
      </c>
      <c r="M1198" s="2">
        <f t="shared" si="115"/>
        <v>64.25</v>
      </c>
      <c r="N1198" s="1" t="str">
        <f t="shared" si="116"/>
        <v>Lembab</v>
      </c>
      <c r="O1198" t="str">
        <f t="shared" si="117"/>
        <v>Fuzzy</v>
      </c>
      <c r="P1198" t="str">
        <f t="shared" si="118"/>
        <v>Fuzzy</v>
      </c>
    </row>
    <row r="1199" spans="1:16" x14ac:dyDescent="0.35">
      <c r="A1199" t="s">
        <v>1202</v>
      </c>
      <c r="B1199">
        <v>5412</v>
      </c>
      <c r="C1199">
        <v>28</v>
      </c>
      <c r="D1199">
        <v>69</v>
      </c>
      <c r="E1199">
        <v>596</v>
      </c>
      <c r="F1199">
        <v>4</v>
      </c>
      <c r="K1199" s="1">
        <f t="shared" si="119"/>
        <v>596</v>
      </c>
      <c r="L1199" s="1" t="str">
        <f t="shared" si="114"/>
        <v>Normal</v>
      </c>
      <c r="M1199" s="2">
        <f t="shared" si="115"/>
        <v>74</v>
      </c>
      <c r="N1199" s="1" t="str">
        <f t="shared" si="116"/>
        <v>Basah</v>
      </c>
      <c r="O1199" t="str">
        <f t="shared" si="117"/>
        <v>Fuzzy</v>
      </c>
      <c r="P1199" t="str">
        <f t="shared" si="118"/>
        <v>Fuzzy</v>
      </c>
    </row>
    <row r="1200" spans="1:16" x14ac:dyDescent="0.35">
      <c r="A1200" t="s">
        <v>1203</v>
      </c>
      <c r="B1200">
        <v>5413</v>
      </c>
      <c r="C1200">
        <v>28</v>
      </c>
      <c r="D1200">
        <v>67</v>
      </c>
      <c r="E1200">
        <v>564</v>
      </c>
      <c r="F1200">
        <v>4</v>
      </c>
      <c r="K1200" s="1">
        <f t="shared" si="119"/>
        <v>564</v>
      </c>
      <c r="L1200" s="1" t="str">
        <f t="shared" si="114"/>
        <v>Normal</v>
      </c>
      <c r="M1200" s="2">
        <f t="shared" si="115"/>
        <v>66</v>
      </c>
      <c r="N1200" s="1" t="str">
        <f t="shared" si="116"/>
        <v>Lembab</v>
      </c>
      <c r="O1200" t="str">
        <f t="shared" si="117"/>
        <v>Fuzzy</v>
      </c>
      <c r="P1200" t="str">
        <f t="shared" si="118"/>
        <v>Fuzzy</v>
      </c>
    </row>
    <row r="1201" spans="1:16" x14ac:dyDescent="0.35">
      <c r="A1201" t="s">
        <v>1204</v>
      </c>
      <c r="B1201">
        <v>5414</v>
      </c>
      <c r="C1201">
        <v>28</v>
      </c>
      <c r="D1201">
        <v>66</v>
      </c>
      <c r="E1201">
        <v>604</v>
      </c>
      <c r="F1201">
        <v>4</v>
      </c>
      <c r="K1201" s="1">
        <f t="shared" si="119"/>
        <v>604</v>
      </c>
      <c r="L1201" s="1" t="str">
        <f t="shared" si="114"/>
        <v>Normal</v>
      </c>
      <c r="M1201" s="2">
        <f t="shared" si="115"/>
        <v>76</v>
      </c>
      <c r="N1201" s="1" t="str">
        <f t="shared" si="116"/>
        <v>Basah</v>
      </c>
      <c r="O1201" t="str">
        <f t="shared" si="117"/>
        <v>Fuzzy</v>
      </c>
      <c r="P1201" t="str">
        <f t="shared" si="118"/>
        <v>Fuzzy</v>
      </c>
    </row>
    <row r="1202" spans="1:16" x14ac:dyDescent="0.35">
      <c r="A1202" t="s">
        <v>1205</v>
      </c>
      <c r="B1202">
        <v>5415</v>
      </c>
      <c r="C1202">
        <v>28</v>
      </c>
      <c r="D1202">
        <v>66</v>
      </c>
      <c r="E1202">
        <v>585</v>
      </c>
      <c r="F1202">
        <v>3</v>
      </c>
      <c r="K1202" s="1">
        <f t="shared" si="119"/>
        <v>585</v>
      </c>
      <c r="L1202" s="1" t="str">
        <f t="shared" si="114"/>
        <v>Normal</v>
      </c>
      <c r="M1202" s="2">
        <f t="shared" si="115"/>
        <v>71.25</v>
      </c>
      <c r="N1202" s="1" t="str">
        <f t="shared" si="116"/>
        <v>Basah</v>
      </c>
      <c r="O1202" t="str">
        <f t="shared" si="117"/>
        <v>Fuzzy</v>
      </c>
      <c r="P1202" t="str">
        <f t="shared" si="118"/>
        <v>Fuzzy</v>
      </c>
    </row>
    <row r="1203" spans="1:16" x14ac:dyDescent="0.35">
      <c r="A1203" t="s">
        <v>1206</v>
      </c>
      <c r="B1203">
        <v>5416</v>
      </c>
      <c r="C1203">
        <v>28</v>
      </c>
      <c r="D1203">
        <v>67</v>
      </c>
      <c r="E1203">
        <v>586</v>
      </c>
      <c r="F1203">
        <v>4</v>
      </c>
      <c r="K1203" s="1">
        <f t="shared" si="119"/>
        <v>586</v>
      </c>
      <c r="L1203" s="1" t="str">
        <f t="shared" si="114"/>
        <v>Normal</v>
      </c>
      <c r="M1203" s="2">
        <f t="shared" si="115"/>
        <v>71.5</v>
      </c>
      <c r="N1203" s="1" t="str">
        <f t="shared" si="116"/>
        <v>Basah</v>
      </c>
      <c r="O1203" t="str">
        <f t="shared" si="117"/>
        <v>Fuzzy</v>
      </c>
      <c r="P1203" t="str">
        <f t="shared" si="118"/>
        <v>Fuzzy</v>
      </c>
    </row>
    <row r="1204" spans="1:16" x14ac:dyDescent="0.35">
      <c r="A1204" t="s">
        <v>1207</v>
      </c>
      <c r="B1204">
        <v>5417</v>
      </c>
      <c r="C1204">
        <v>28</v>
      </c>
      <c r="D1204">
        <v>67</v>
      </c>
      <c r="E1204">
        <v>709</v>
      </c>
      <c r="F1204">
        <v>4</v>
      </c>
      <c r="K1204" s="1">
        <f t="shared" si="119"/>
        <v>709</v>
      </c>
      <c r="L1204" s="1" t="str">
        <f t="shared" si="114"/>
        <v>Normal</v>
      </c>
      <c r="M1204" s="2">
        <f t="shared" si="115"/>
        <v>2.7863777089783279</v>
      </c>
      <c r="N1204" s="1" t="str">
        <f t="shared" si="116"/>
        <v>Kering</v>
      </c>
      <c r="O1204" t="str">
        <f t="shared" si="117"/>
        <v>Fuzzy</v>
      </c>
      <c r="P1204" t="str">
        <f t="shared" si="118"/>
        <v>Fuzzy</v>
      </c>
    </row>
    <row r="1205" spans="1:16" x14ac:dyDescent="0.35">
      <c r="A1205" t="s">
        <v>1208</v>
      </c>
      <c r="B1205">
        <v>5418</v>
      </c>
      <c r="C1205">
        <v>28</v>
      </c>
      <c r="D1205">
        <v>67</v>
      </c>
      <c r="E1205">
        <v>645</v>
      </c>
      <c r="F1205">
        <v>4</v>
      </c>
      <c r="K1205" s="1">
        <f t="shared" si="119"/>
        <v>645</v>
      </c>
      <c r="L1205" s="1" t="str">
        <f t="shared" si="114"/>
        <v>Normal</v>
      </c>
      <c r="M1205" s="2">
        <f t="shared" si="115"/>
        <v>86.25</v>
      </c>
      <c r="N1205" s="1" t="str">
        <f t="shared" si="116"/>
        <v>Basah</v>
      </c>
      <c r="O1205" t="str">
        <f t="shared" si="117"/>
        <v>Fuzzy</v>
      </c>
      <c r="P1205" t="str">
        <f t="shared" si="118"/>
        <v>Fuzzy</v>
      </c>
    </row>
    <row r="1206" spans="1:16" x14ac:dyDescent="0.35">
      <c r="A1206" t="s">
        <v>1209</v>
      </c>
      <c r="B1206">
        <v>5419</v>
      </c>
      <c r="C1206">
        <v>28</v>
      </c>
      <c r="D1206">
        <v>67</v>
      </c>
      <c r="E1206">
        <v>629</v>
      </c>
      <c r="F1206">
        <v>3</v>
      </c>
      <c r="K1206" s="1">
        <f t="shared" si="119"/>
        <v>629</v>
      </c>
      <c r="L1206" s="1" t="str">
        <f t="shared" si="114"/>
        <v>Normal</v>
      </c>
      <c r="M1206" s="2">
        <f t="shared" si="115"/>
        <v>82.25</v>
      </c>
      <c r="N1206" s="1" t="str">
        <f t="shared" si="116"/>
        <v>Basah</v>
      </c>
      <c r="O1206" t="str">
        <f t="shared" si="117"/>
        <v>Fuzzy</v>
      </c>
      <c r="P1206" t="str">
        <f t="shared" si="118"/>
        <v>Fuzzy</v>
      </c>
    </row>
    <row r="1207" spans="1:16" x14ac:dyDescent="0.35">
      <c r="A1207" t="s">
        <v>1210</v>
      </c>
      <c r="B1207">
        <v>5420</v>
      </c>
      <c r="C1207">
        <v>28</v>
      </c>
      <c r="D1207">
        <v>67</v>
      </c>
      <c r="E1207">
        <v>766</v>
      </c>
      <c r="F1207">
        <v>4</v>
      </c>
      <c r="K1207" s="1">
        <f t="shared" si="119"/>
        <v>766</v>
      </c>
      <c r="L1207" s="1" t="str">
        <f t="shared" si="114"/>
        <v>Normal</v>
      </c>
      <c r="M1207" s="2">
        <f t="shared" si="115"/>
        <v>20.433436532507741</v>
      </c>
      <c r="N1207" s="1" t="str">
        <f t="shared" si="116"/>
        <v>Kering</v>
      </c>
      <c r="O1207" t="str">
        <f t="shared" si="117"/>
        <v>Fuzzy</v>
      </c>
      <c r="P1207" t="str">
        <f t="shared" si="118"/>
        <v>Fuzzy</v>
      </c>
    </row>
    <row r="1208" spans="1:16" x14ac:dyDescent="0.35">
      <c r="A1208" t="s">
        <v>1211</v>
      </c>
      <c r="B1208">
        <v>5421</v>
      </c>
      <c r="C1208">
        <v>28</v>
      </c>
      <c r="D1208">
        <v>68</v>
      </c>
      <c r="E1208">
        <v>489</v>
      </c>
      <c r="F1208">
        <v>4</v>
      </c>
      <c r="K1208" s="1">
        <f t="shared" si="119"/>
        <v>489</v>
      </c>
      <c r="L1208" s="1" t="str">
        <f t="shared" si="114"/>
        <v>Normal</v>
      </c>
      <c r="M1208" s="2">
        <f t="shared" si="115"/>
        <v>47.25</v>
      </c>
      <c r="N1208" s="1" t="str">
        <f t="shared" si="116"/>
        <v>Lembab</v>
      </c>
      <c r="O1208" t="str">
        <f t="shared" si="117"/>
        <v>Fuzzy</v>
      </c>
      <c r="P1208" t="str">
        <f t="shared" si="118"/>
        <v>Fuzzy</v>
      </c>
    </row>
    <row r="1209" spans="1:16" x14ac:dyDescent="0.35">
      <c r="A1209" t="s">
        <v>1212</v>
      </c>
      <c r="B1209">
        <v>5422</v>
      </c>
      <c r="C1209">
        <v>28</v>
      </c>
      <c r="D1209">
        <v>68</v>
      </c>
      <c r="E1209">
        <v>588</v>
      </c>
      <c r="F1209">
        <v>4</v>
      </c>
      <c r="K1209" s="1">
        <f t="shared" si="119"/>
        <v>588</v>
      </c>
      <c r="L1209" s="1" t="str">
        <f t="shared" si="114"/>
        <v>Normal</v>
      </c>
      <c r="M1209" s="2">
        <f t="shared" si="115"/>
        <v>72</v>
      </c>
      <c r="N1209" s="1" t="str">
        <f t="shared" si="116"/>
        <v>Basah</v>
      </c>
      <c r="O1209" t="str">
        <f t="shared" si="117"/>
        <v>Fuzzy</v>
      </c>
      <c r="P1209" t="str">
        <f t="shared" si="118"/>
        <v>Fuzzy</v>
      </c>
    </row>
    <row r="1210" spans="1:16" x14ac:dyDescent="0.35">
      <c r="A1210" t="s">
        <v>1213</v>
      </c>
      <c r="B1210">
        <v>5423</v>
      </c>
      <c r="C1210">
        <v>28</v>
      </c>
      <c r="D1210">
        <v>68</v>
      </c>
      <c r="E1210">
        <v>596</v>
      </c>
      <c r="F1210">
        <v>4</v>
      </c>
      <c r="K1210" s="1">
        <f t="shared" si="119"/>
        <v>596</v>
      </c>
      <c r="L1210" s="1" t="str">
        <f t="shared" si="114"/>
        <v>Normal</v>
      </c>
      <c r="M1210" s="2">
        <f t="shared" si="115"/>
        <v>74</v>
      </c>
      <c r="N1210" s="1" t="str">
        <f t="shared" si="116"/>
        <v>Basah</v>
      </c>
      <c r="O1210" t="str">
        <f t="shared" si="117"/>
        <v>Fuzzy</v>
      </c>
      <c r="P1210" t="str">
        <f t="shared" si="118"/>
        <v>Fuzzy</v>
      </c>
    </row>
    <row r="1211" spans="1:16" x14ac:dyDescent="0.35">
      <c r="A1211" t="s">
        <v>1214</v>
      </c>
      <c r="B1211">
        <v>5424</v>
      </c>
      <c r="C1211">
        <v>28</v>
      </c>
      <c r="D1211">
        <v>68</v>
      </c>
      <c r="E1211">
        <v>563</v>
      </c>
      <c r="F1211">
        <v>4</v>
      </c>
      <c r="K1211" s="1">
        <f t="shared" si="119"/>
        <v>563</v>
      </c>
      <c r="L1211" s="1" t="str">
        <f t="shared" si="114"/>
        <v>Normal</v>
      </c>
      <c r="M1211" s="2">
        <f t="shared" si="115"/>
        <v>65.75</v>
      </c>
      <c r="N1211" s="1" t="str">
        <f t="shared" si="116"/>
        <v>Lembab</v>
      </c>
      <c r="O1211" t="str">
        <f t="shared" si="117"/>
        <v>Fuzzy</v>
      </c>
      <c r="P1211" t="str">
        <f t="shared" si="118"/>
        <v>Fuzzy</v>
      </c>
    </row>
    <row r="1212" spans="1:16" x14ac:dyDescent="0.35">
      <c r="A1212" t="s">
        <v>1215</v>
      </c>
      <c r="B1212">
        <v>5425</v>
      </c>
      <c r="C1212">
        <v>28</v>
      </c>
      <c r="D1212">
        <v>69</v>
      </c>
      <c r="E1212">
        <v>593</v>
      </c>
      <c r="F1212">
        <v>4</v>
      </c>
      <c r="K1212" s="1">
        <f t="shared" si="119"/>
        <v>593</v>
      </c>
      <c r="L1212" s="1" t="str">
        <f t="shared" si="114"/>
        <v>Normal</v>
      </c>
      <c r="M1212" s="2">
        <f t="shared" si="115"/>
        <v>73.25</v>
      </c>
      <c r="N1212" s="1" t="str">
        <f t="shared" si="116"/>
        <v>Basah</v>
      </c>
      <c r="O1212" t="str">
        <f t="shared" si="117"/>
        <v>Fuzzy</v>
      </c>
      <c r="P1212" t="str">
        <f t="shared" si="118"/>
        <v>Fuzzy</v>
      </c>
    </row>
    <row r="1213" spans="1:16" x14ac:dyDescent="0.35">
      <c r="A1213" t="s">
        <v>1216</v>
      </c>
      <c r="B1213">
        <v>5426</v>
      </c>
      <c r="C1213">
        <v>28</v>
      </c>
      <c r="D1213">
        <v>69</v>
      </c>
      <c r="E1213">
        <v>633</v>
      </c>
      <c r="F1213">
        <v>4</v>
      </c>
      <c r="K1213" s="1">
        <f t="shared" si="119"/>
        <v>633</v>
      </c>
      <c r="L1213" s="1" t="str">
        <f t="shared" si="114"/>
        <v>Normal</v>
      </c>
      <c r="M1213" s="2">
        <f t="shared" si="115"/>
        <v>83.25</v>
      </c>
      <c r="N1213" s="1" t="str">
        <f t="shared" si="116"/>
        <v>Basah</v>
      </c>
      <c r="O1213" t="str">
        <f t="shared" si="117"/>
        <v>Fuzzy</v>
      </c>
      <c r="P1213" t="str">
        <f t="shared" si="118"/>
        <v>Fuzzy</v>
      </c>
    </row>
    <row r="1214" spans="1:16" x14ac:dyDescent="0.35">
      <c r="A1214" t="s">
        <v>1217</v>
      </c>
      <c r="B1214">
        <v>5427</v>
      </c>
      <c r="C1214">
        <v>28</v>
      </c>
      <c r="D1214">
        <v>69</v>
      </c>
      <c r="E1214">
        <v>703</v>
      </c>
      <c r="F1214">
        <v>4</v>
      </c>
      <c r="K1214" s="1">
        <f t="shared" si="119"/>
        <v>703</v>
      </c>
      <c r="L1214" s="1" t="str">
        <f t="shared" si="114"/>
        <v>Normal</v>
      </c>
      <c r="M1214" s="2">
        <f t="shared" si="115"/>
        <v>0.92879256965944268</v>
      </c>
      <c r="N1214" s="1" t="str">
        <f t="shared" si="116"/>
        <v>Kering</v>
      </c>
      <c r="O1214" t="str">
        <f t="shared" si="117"/>
        <v>Fuzzy</v>
      </c>
      <c r="P1214" t="str">
        <f t="shared" si="118"/>
        <v>Fuzzy</v>
      </c>
    </row>
    <row r="1215" spans="1:16" x14ac:dyDescent="0.35">
      <c r="A1215" t="s">
        <v>1218</v>
      </c>
      <c r="B1215">
        <v>5428</v>
      </c>
      <c r="C1215">
        <v>28</v>
      </c>
      <c r="D1215">
        <v>69</v>
      </c>
      <c r="E1215">
        <v>707</v>
      </c>
      <c r="F1215">
        <v>4</v>
      </c>
      <c r="K1215" s="1">
        <f t="shared" si="119"/>
        <v>707</v>
      </c>
      <c r="L1215" s="1" t="str">
        <f t="shared" si="114"/>
        <v>Normal</v>
      </c>
      <c r="M1215" s="2">
        <f t="shared" si="115"/>
        <v>2.1671826625386998</v>
      </c>
      <c r="N1215" s="1" t="str">
        <f t="shared" si="116"/>
        <v>Kering</v>
      </c>
      <c r="O1215" t="str">
        <f t="shared" si="117"/>
        <v>Fuzzy</v>
      </c>
      <c r="P1215" t="str">
        <f t="shared" si="118"/>
        <v>Fuzzy</v>
      </c>
    </row>
    <row r="1216" spans="1:16" x14ac:dyDescent="0.35">
      <c r="A1216" t="s">
        <v>1219</v>
      </c>
      <c r="B1216">
        <v>5429</v>
      </c>
      <c r="C1216">
        <v>28</v>
      </c>
      <c r="D1216">
        <v>70</v>
      </c>
      <c r="E1216">
        <v>601</v>
      </c>
      <c r="F1216">
        <v>4</v>
      </c>
      <c r="K1216" s="1">
        <f t="shared" si="119"/>
        <v>601</v>
      </c>
      <c r="L1216" s="1" t="str">
        <f t="shared" si="114"/>
        <v>Normal</v>
      </c>
      <c r="M1216" s="2">
        <f t="shared" si="115"/>
        <v>75.25</v>
      </c>
      <c r="N1216" s="1" t="str">
        <f t="shared" si="116"/>
        <v>Basah</v>
      </c>
      <c r="O1216" t="str">
        <f t="shared" si="117"/>
        <v>Fuzzy</v>
      </c>
      <c r="P1216" t="str">
        <f t="shared" si="118"/>
        <v>Fuzzy</v>
      </c>
    </row>
    <row r="1217" spans="1:16" x14ac:dyDescent="0.35">
      <c r="A1217" t="s">
        <v>1220</v>
      </c>
      <c r="B1217">
        <v>5430</v>
      </c>
      <c r="C1217">
        <v>28</v>
      </c>
      <c r="D1217">
        <v>69</v>
      </c>
      <c r="E1217">
        <v>571</v>
      </c>
      <c r="F1217">
        <v>4</v>
      </c>
      <c r="K1217" s="1">
        <f t="shared" si="119"/>
        <v>571</v>
      </c>
      <c r="L1217" s="1" t="str">
        <f t="shared" si="114"/>
        <v>Normal</v>
      </c>
      <c r="M1217" s="2">
        <f t="shared" si="115"/>
        <v>67.75</v>
      </c>
      <c r="N1217" s="1" t="str">
        <f t="shared" si="116"/>
        <v>Lembab</v>
      </c>
      <c r="O1217" t="str">
        <f t="shared" si="117"/>
        <v>Fuzzy</v>
      </c>
      <c r="P1217" t="str">
        <f t="shared" si="118"/>
        <v>Fuzzy</v>
      </c>
    </row>
    <row r="1218" spans="1:16" x14ac:dyDescent="0.35">
      <c r="A1218" t="s">
        <v>1221</v>
      </c>
      <c r="B1218">
        <v>5431</v>
      </c>
      <c r="C1218">
        <v>28</v>
      </c>
      <c r="D1218">
        <v>69</v>
      </c>
      <c r="E1218">
        <v>601</v>
      </c>
      <c r="F1218">
        <v>4</v>
      </c>
      <c r="K1218" s="1">
        <f t="shared" si="119"/>
        <v>601</v>
      </c>
      <c r="L1218" s="1" t="str">
        <f t="shared" si="114"/>
        <v>Normal</v>
      </c>
      <c r="M1218" s="2">
        <f t="shared" si="115"/>
        <v>75.25</v>
      </c>
      <c r="N1218" s="1" t="str">
        <f t="shared" si="116"/>
        <v>Basah</v>
      </c>
      <c r="O1218" t="str">
        <f t="shared" si="117"/>
        <v>Fuzzy</v>
      </c>
      <c r="P1218" t="str">
        <f t="shared" si="118"/>
        <v>Fuzzy</v>
      </c>
    </row>
    <row r="1219" spans="1:16" x14ac:dyDescent="0.35">
      <c r="A1219" t="s">
        <v>1222</v>
      </c>
      <c r="B1219">
        <v>5432</v>
      </c>
      <c r="C1219">
        <v>28</v>
      </c>
      <c r="D1219">
        <v>69</v>
      </c>
      <c r="E1219">
        <v>505</v>
      </c>
      <c r="F1219">
        <v>3</v>
      </c>
      <c r="K1219" s="1">
        <f t="shared" si="119"/>
        <v>505</v>
      </c>
      <c r="L1219" s="1" t="str">
        <f t="shared" ref="L1219:L1282" si="120">IF(A1218 &lt;= 10, "Dingin", IF(OR(A1218 &gt;= 10, A1218 &lt; 35), "Normal", "Panas"))</f>
        <v>Normal</v>
      </c>
      <c r="M1219" s="2">
        <f t="shared" ref="M1219:M1282" si="121">IF(K1219&lt;=300, K1219/1023*100, IF(K1219&lt;=700, (K1219-300)/(700-301+1)*100, (K1219-700)/(1023-701+1)*100))</f>
        <v>51.249999999999993</v>
      </c>
      <c r="N1219" s="1" t="str">
        <f t="shared" ref="N1219:N1282" si="122">IF(M1219&lt;=29.32, "Kering", IF(M1219&lt;=68.53, "Lembab", "Basah"))</f>
        <v>Lembab</v>
      </c>
      <c r="O1219" t="str">
        <f t="shared" ref="O1219:O1282" si="123">IF(OR(AND(C1219 &gt; 10, C1219 &lt; 22.5), AND(C1219 &gt;= 22.5, C1219 &lt; 35)), "Fuzzy", "")</f>
        <v>Fuzzy</v>
      </c>
      <c r="P1219" t="str">
        <f t="shared" ref="P1219:P1282" si="124">IF(OR(AND(M1219 &gt;= 0, M1219 &lt; 50), AND(M1219 &gt;= 50, M1219 &lt; 100)), "Fuzzy", "")</f>
        <v>Fuzzy</v>
      </c>
    </row>
    <row r="1220" spans="1:16" x14ac:dyDescent="0.35">
      <c r="A1220" t="s">
        <v>1223</v>
      </c>
      <c r="B1220">
        <v>5433</v>
      </c>
      <c r="C1220">
        <v>28</v>
      </c>
      <c r="D1220">
        <v>69</v>
      </c>
      <c r="E1220">
        <v>526</v>
      </c>
      <c r="F1220">
        <v>4</v>
      </c>
      <c r="K1220" s="1">
        <f t="shared" si="119"/>
        <v>526</v>
      </c>
      <c r="L1220" s="1" t="str">
        <f t="shared" si="120"/>
        <v>Normal</v>
      </c>
      <c r="M1220" s="2">
        <f t="shared" si="121"/>
        <v>56.499999999999993</v>
      </c>
      <c r="N1220" s="1" t="str">
        <f t="shared" si="122"/>
        <v>Lembab</v>
      </c>
      <c r="O1220" t="str">
        <f t="shared" si="123"/>
        <v>Fuzzy</v>
      </c>
      <c r="P1220" t="str">
        <f t="shared" si="124"/>
        <v>Fuzzy</v>
      </c>
    </row>
    <row r="1221" spans="1:16" x14ac:dyDescent="0.35">
      <c r="A1221" t="s">
        <v>1224</v>
      </c>
      <c r="B1221">
        <v>5434</v>
      </c>
      <c r="C1221">
        <v>28</v>
      </c>
      <c r="D1221">
        <v>69</v>
      </c>
      <c r="E1221">
        <v>580</v>
      </c>
      <c r="F1221">
        <v>4</v>
      </c>
      <c r="K1221" s="1">
        <f t="shared" si="119"/>
        <v>580</v>
      </c>
      <c r="L1221" s="1" t="str">
        <f t="shared" si="120"/>
        <v>Normal</v>
      </c>
      <c r="M1221" s="2">
        <f t="shared" si="121"/>
        <v>70</v>
      </c>
      <c r="N1221" s="1" t="str">
        <f t="shared" si="122"/>
        <v>Basah</v>
      </c>
      <c r="O1221" t="str">
        <f t="shared" si="123"/>
        <v>Fuzzy</v>
      </c>
      <c r="P1221" t="str">
        <f t="shared" si="124"/>
        <v>Fuzzy</v>
      </c>
    </row>
    <row r="1222" spans="1:16" x14ac:dyDescent="0.35">
      <c r="A1222" t="s">
        <v>1225</v>
      </c>
      <c r="B1222">
        <v>5435</v>
      </c>
      <c r="C1222">
        <v>28</v>
      </c>
      <c r="D1222">
        <v>69</v>
      </c>
      <c r="E1222">
        <v>551</v>
      </c>
      <c r="F1222">
        <v>3</v>
      </c>
      <c r="K1222" s="1">
        <f t="shared" si="119"/>
        <v>551</v>
      </c>
      <c r="L1222" s="1" t="str">
        <f t="shared" si="120"/>
        <v>Normal</v>
      </c>
      <c r="M1222" s="2">
        <f t="shared" si="121"/>
        <v>62.749999999999993</v>
      </c>
      <c r="N1222" s="1" t="str">
        <f t="shared" si="122"/>
        <v>Lembab</v>
      </c>
      <c r="O1222" t="str">
        <f t="shared" si="123"/>
        <v>Fuzzy</v>
      </c>
      <c r="P1222" t="str">
        <f t="shared" si="124"/>
        <v>Fuzzy</v>
      </c>
    </row>
    <row r="1223" spans="1:16" x14ac:dyDescent="0.35">
      <c r="A1223" t="s">
        <v>1226</v>
      </c>
      <c r="B1223">
        <v>5436</v>
      </c>
      <c r="C1223">
        <v>28</v>
      </c>
      <c r="D1223">
        <v>69</v>
      </c>
      <c r="E1223">
        <v>570</v>
      </c>
      <c r="F1223">
        <v>4</v>
      </c>
      <c r="K1223" s="1">
        <f t="shared" si="119"/>
        <v>570</v>
      </c>
      <c r="L1223" s="1" t="str">
        <f t="shared" si="120"/>
        <v>Normal</v>
      </c>
      <c r="M1223" s="2">
        <f t="shared" si="121"/>
        <v>67.5</v>
      </c>
      <c r="N1223" s="1" t="str">
        <f t="shared" si="122"/>
        <v>Lembab</v>
      </c>
      <c r="O1223" t="str">
        <f t="shared" si="123"/>
        <v>Fuzzy</v>
      </c>
      <c r="P1223" t="str">
        <f t="shared" si="124"/>
        <v>Fuzzy</v>
      </c>
    </row>
    <row r="1224" spans="1:16" x14ac:dyDescent="0.35">
      <c r="A1224" t="s">
        <v>1227</v>
      </c>
      <c r="B1224">
        <v>5437</v>
      </c>
      <c r="C1224">
        <v>28</v>
      </c>
      <c r="D1224">
        <v>68</v>
      </c>
      <c r="E1224">
        <v>467</v>
      </c>
      <c r="F1224">
        <v>5</v>
      </c>
      <c r="K1224" s="1">
        <f t="shared" si="119"/>
        <v>467</v>
      </c>
      <c r="L1224" s="1" t="str">
        <f t="shared" si="120"/>
        <v>Normal</v>
      </c>
      <c r="M1224" s="2">
        <f t="shared" si="121"/>
        <v>41.75</v>
      </c>
      <c r="N1224" s="1" t="str">
        <f t="shared" si="122"/>
        <v>Lembab</v>
      </c>
      <c r="O1224" t="str">
        <f t="shared" si="123"/>
        <v>Fuzzy</v>
      </c>
      <c r="P1224" t="str">
        <f t="shared" si="124"/>
        <v>Fuzzy</v>
      </c>
    </row>
    <row r="1225" spans="1:16" x14ac:dyDescent="0.35">
      <c r="A1225" t="s">
        <v>1228</v>
      </c>
      <c r="B1225">
        <v>5438</v>
      </c>
      <c r="C1225">
        <v>28</v>
      </c>
      <c r="D1225">
        <v>67</v>
      </c>
      <c r="E1225">
        <v>547</v>
      </c>
      <c r="F1225">
        <v>4</v>
      </c>
      <c r="K1225" s="1">
        <f t="shared" si="119"/>
        <v>547</v>
      </c>
      <c r="L1225" s="1" t="str">
        <f t="shared" si="120"/>
        <v>Normal</v>
      </c>
      <c r="M1225" s="2">
        <f t="shared" si="121"/>
        <v>61.750000000000007</v>
      </c>
      <c r="N1225" s="1" t="str">
        <f t="shared" si="122"/>
        <v>Lembab</v>
      </c>
      <c r="O1225" t="str">
        <f t="shared" si="123"/>
        <v>Fuzzy</v>
      </c>
      <c r="P1225" t="str">
        <f t="shared" si="124"/>
        <v>Fuzzy</v>
      </c>
    </row>
    <row r="1226" spans="1:16" x14ac:dyDescent="0.35">
      <c r="A1226" t="s">
        <v>1229</v>
      </c>
      <c r="B1226">
        <v>5439</v>
      </c>
      <c r="C1226">
        <v>28</v>
      </c>
      <c r="D1226">
        <v>66</v>
      </c>
      <c r="E1226">
        <v>504</v>
      </c>
      <c r="F1226">
        <v>4</v>
      </c>
      <c r="K1226" s="1">
        <f t="shared" si="119"/>
        <v>504</v>
      </c>
      <c r="L1226" s="1" t="str">
        <f t="shared" si="120"/>
        <v>Normal</v>
      </c>
      <c r="M1226" s="2">
        <f t="shared" si="121"/>
        <v>51</v>
      </c>
      <c r="N1226" s="1" t="str">
        <f t="shared" si="122"/>
        <v>Lembab</v>
      </c>
      <c r="O1226" t="str">
        <f t="shared" si="123"/>
        <v>Fuzzy</v>
      </c>
      <c r="P1226" t="str">
        <f t="shared" si="124"/>
        <v>Fuzzy</v>
      </c>
    </row>
    <row r="1227" spans="1:16" x14ac:dyDescent="0.35">
      <c r="A1227" t="s">
        <v>1230</v>
      </c>
      <c r="B1227">
        <v>5440</v>
      </c>
      <c r="C1227">
        <v>28</v>
      </c>
      <c r="D1227">
        <v>66</v>
      </c>
      <c r="E1227">
        <v>657</v>
      </c>
      <c r="F1227">
        <v>4</v>
      </c>
      <c r="K1227" s="1">
        <f t="shared" si="119"/>
        <v>657</v>
      </c>
      <c r="L1227" s="1" t="str">
        <f t="shared" si="120"/>
        <v>Normal</v>
      </c>
      <c r="M1227" s="2">
        <f t="shared" si="121"/>
        <v>89.25</v>
      </c>
      <c r="N1227" s="1" t="str">
        <f t="shared" si="122"/>
        <v>Basah</v>
      </c>
      <c r="O1227" t="str">
        <f t="shared" si="123"/>
        <v>Fuzzy</v>
      </c>
      <c r="P1227" t="str">
        <f t="shared" si="124"/>
        <v>Fuzzy</v>
      </c>
    </row>
    <row r="1228" spans="1:16" x14ac:dyDescent="0.35">
      <c r="A1228" t="s">
        <v>1231</v>
      </c>
      <c r="B1228">
        <v>5441</v>
      </c>
      <c r="C1228">
        <v>28</v>
      </c>
      <c r="D1228">
        <v>67</v>
      </c>
      <c r="E1228">
        <v>626</v>
      </c>
      <c r="F1228">
        <v>4</v>
      </c>
      <c r="K1228" s="1">
        <f t="shared" si="119"/>
        <v>626</v>
      </c>
      <c r="L1228" s="1" t="str">
        <f t="shared" si="120"/>
        <v>Normal</v>
      </c>
      <c r="M1228" s="2">
        <f t="shared" si="121"/>
        <v>81.5</v>
      </c>
      <c r="N1228" s="1" t="str">
        <f t="shared" si="122"/>
        <v>Basah</v>
      </c>
      <c r="O1228" t="str">
        <f t="shared" si="123"/>
        <v>Fuzzy</v>
      </c>
      <c r="P1228" t="str">
        <f t="shared" si="124"/>
        <v>Fuzzy</v>
      </c>
    </row>
    <row r="1229" spans="1:16" x14ac:dyDescent="0.35">
      <c r="A1229" t="s">
        <v>1232</v>
      </c>
      <c r="B1229">
        <v>5442</v>
      </c>
      <c r="C1229">
        <v>28</v>
      </c>
      <c r="D1229">
        <v>67</v>
      </c>
      <c r="E1229">
        <v>845</v>
      </c>
      <c r="F1229">
        <v>3</v>
      </c>
      <c r="K1229" s="1">
        <f t="shared" ref="K1229:K1292" si="125">IF(E1229&lt;=1023, E1229, "")</f>
        <v>845</v>
      </c>
      <c r="L1229" s="1" t="str">
        <f t="shared" si="120"/>
        <v>Normal</v>
      </c>
      <c r="M1229" s="2">
        <f t="shared" si="121"/>
        <v>44.891640866873068</v>
      </c>
      <c r="N1229" s="1" t="str">
        <f t="shared" si="122"/>
        <v>Lembab</v>
      </c>
      <c r="O1229" t="str">
        <f t="shared" si="123"/>
        <v>Fuzzy</v>
      </c>
      <c r="P1229" t="str">
        <f t="shared" si="124"/>
        <v>Fuzzy</v>
      </c>
    </row>
    <row r="1230" spans="1:16" x14ac:dyDescent="0.35">
      <c r="A1230" t="s">
        <v>1233</v>
      </c>
      <c r="B1230">
        <v>5443</v>
      </c>
      <c r="C1230">
        <v>28</v>
      </c>
      <c r="D1230">
        <v>67</v>
      </c>
      <c r="E1230">
        <v>530</v>
      </c>
      <c r="F1230">
        <v>4</v>
      </c>
      <c r="K1230" s="1">
        <f t="shared" si="125"/>
        <v>530</v>
      </c>
      <c r="L1230" s="1" t="str">
        <f t="shared" si="120"/>
        <v>Normal</v>
      </c>
      <c r="M1230" s="2">
        <f t="shared" si="121"/>
        <v>57.499999999999993</v>
      </c>
      <c r="N1230" s="1" t="str">
        <f t="shared" si="122"/>
        <v>Lembab</v>
      </c>
      <c r="O1230" t="str">
        <f t="shared" si="123"/>
        <v>Fuzzy</v>
      </c>
      <c r="P1230" t="str">
        <f t="shared" si="124"/>
        <v>Fuzzy</v>
      </c>
    </row>
    <row r="1231" spans="1:16" x14ac:dyDescent="0.35">
      <c r="A1231" t="s">
        <v>1234</v>
      </c>
      <c r="B1231">
        <v>5444</v>
      </c>
      <c r="C1231">
        <v>28</v>
      </c>
      <c r="D1231">
        <v>69</v>
      </c>
      <c r="E1231">
        <v>579</v>
      </c>
      <c r="F1231">
        <v>4</v>
      </c>
      <c r="K1231" s="1">
        <f t="shared" si="125"/>
        <v>579</v>
      </c>
      <c r="L1231" s="1" t="str">
        <f t="shared" si="120"/>
        <v>Normal</v>
      </c>
      <c r="M1231" s="2">
        <f t="shared" si="121"/>
        <v>69.75</v>
      </c>
      <c r="N1231" s="1" t="str">
        <f t="shared" si="122"/>
        <v>Basah</v>
      </c>
      <c r="O1231" t="str">
        <f t="shared" si="123"/>
        <v>Fuzzy</v>
      </c>
      <c r="P1231" t="str">
        <f t="shared" si="124"/>
        <v>Fuzzy</v>
      </c>
    </row>
    <row r="1232" spans="1:16" x14ac:dyDescent="0.35">
      <c r="A1232" t="s">
        <v>1235</v>
      </c>
      <c r="B1232">
        <v>5445</v>
      </c>
      <c r="C1232">
        <v>28</v>
      </c>
      <c r="D1232">
        <v>69</v>
      </c>
      <c r="E1232">
        <v>580</v>
      </c>
      <c r="F1232">
        <v>3</v>
      </c>
      <c r="K1232" s="1">
        <f t="shared" si="125"/>
        <v>580</v>
      </c>
      <c r="L1232" s="1" t="str">
        <f t="shared" si="120"/>
        <v>Normal</v>
      </c>
      <c r="M1232" s="2">
        <f t="shared" si="121"/>
        <v>70</v>
      </c>
      <c r="N1232" s="1" t="str">
        <f t="shared" si="122"/>
        <v>Basah</v>
      </c>
      <c r="O1232" t="str">
        <f t="shared" si="123"/>
        <v>Fuzzy</v>
      </c>
      <c r="P1232" t="str">
        <f t="shared" si="124"/>
        <v>Fuzzy</v>
      </c>
    </row>
    <row r="1233" spans="1:16" x14ac:dyDescent="0.35">
      <c r="A1233" t="s">
        <v>1236</v>
      </c>
      <c r="B1233">
        <v>5446</v>
      </c>
      <c r="C1233">
        <v>28</v>
      </c>
      <c r="D1233">
        <v>69</v>
      </c>
      <c r="E1233">
        <v>396</v>
      </c>
      <c r="F1233">
        <v>4</v>
      </c>
      <c r="K1233" s="1">
        <f t="shared" si="125"/>
        <v>396</v>
      </c>
      <c r="L1233" s="1" t="str">
        <f t="shared" si="120"/>
        <v>Normal</v>
      </c>
      <c r="M1233" s="2">
        <f t="shared" si="121"/>
        <v>24</v>
      </c>
      <c r="N1233" s="1" t="str">
        <f t="shared" si="122"/>
        <v>Kering</v>
      </c>
      <c r="O1233" t="str">
        <f t="shared" si="123"/>
        <v>Fuzzy</v>
      </c>
      <c r="P1233" t="str">
        <f t="shared" si="124"/>
        <v>Fuzzy</v>
      </c>
    </row>
    <row r="1234" spans="1:16" x14ac:dyDescent="0.35">
      <c r="A1234" t="s">
        <v>1237</v>
      </c>
      <c r="B1234">
        <v>5447</v>
      </c>
      <c r="C1234">
        <v>28</v>
      </c>
      <c r="D1234">
        <v>69</v>
      </c>
      <c r="E1234">
        <v>571</v>
      </c>
      <c r="F1234">
        <v>4</v>
      </c>
      <c r="K1234" s="1">
        <f t="shared" si="125"/>
        <v>571</v>
      </c>
      <c r="L1234" s="1" t="str">
        <f t="shared" si="120"/>
        <v>Normal</v>
      </c>
      <c r="M1234" s="2">
        <f t="shared" si="121"/>
        <v>67.75</v>
      </c>
      <c r="N1234" s="1" t="str">
        <f t="shared" si="122"/>
        <v>Lembab</v>
      </c>
      <c r="O1234" t="str">
        <f t="shared" si="123"/>
        <v>Fuzzy</v>
      </c>
      <c r="P1234" t="str">
        <f t="shared" si="124"/>
        <v>Fuzzy</v>
      </c>
    </row>
    <row r="1235" spans="1:16" x14ac:dyDescent="0.35">
      <c r="A1235" t="s">
        <v>1238</v>
      </c>
      <c r="B1235">
        <v>5448</v>
      </c>
      <c r="C1235">
        <v>28</v>
      </c>
      <c r="D1235">
        <v>69</v>
      </c>
      <c r="E1235">
        <v>603</v>
      </c>
      <c r="F1235">
        <v>4</v>
      </c>
      <c r="K1235" s="1">
        <f t="shared" si="125"/>
        <v>603</v>
      </c>
      <c r="L1235" s="1" t="str">
        <f t="shared" si="120"/>
        <v>Normal</v>
      </c>
      <c r="M1235" s="2">
        <f t="shared" si="121"/>
        <v>75.75</v>
      </c>
      <c r="N1235" s="1" t="str">
        <f t="shared" si="122"/>
        <v>Basah</v>
      </c>
      <c r="O1235" t="str">
        <f t="shared" si="123"/>
        <v>Fuzzy</v>
      </c>
      <c r="P1235" t="str">
        <f t="shared" si="124"/>
        <v>Fuzzy</v>
      </c>
    </row>
    <row r="1236" spans="1:16" x14ac:dyDescent="0.35">
      <c r="A1236" t="s">
        <v>1239</v>
      </c>
      <c r="B1236">
        <v>5449</v>
      </c>
      <c r="C1236">
        <v>28</v>
      </c>
      <c r="D1236">
        <v>69</v>
      </c>
      <c r="E1236">
        <v>603</v>
      </c>
      <c r="F1236">
        <v>4</v>
      </c>
      <c r="K1236" s="1">
        <f t="shared" si="125"/>
        <v>603</v>
      </c>
      <c r="L1236" s="1" t="str">
        <f t="shared" si="120"/>
        <v>Normal</v>
      </c>
      <c r="M1236" s="2">
        <f t="shared" si="121"/>
        <v>75.75</v>
      </c>
      <c r="N1236" s="1" t="str">
        <f t="shared" si="122"/>
        <v>Basah</v>
      </c>
      <c r="O1236" t="str">
        <f t="shared" si="123"/>
        <v>Fuzzy</v>
      </c>
      <c r="P1236" t="str">
        <f t="shared" si="124"/>
        <v>Fuzzy</v>
      </c>
    </row>
    <row r="1237" spans="1:16" x14ac:dyDescent="0.35">
      <c r="A1237" t="s">
        <v>1240</v>
      </c>
      <c r="B1237">
        <v>5450</v>
      </c>
      <c r="C1237">
        <v>28</v>
      </c>
      <c r="D1237">
        <v>69</v>
      </c>
      <c r="E1237">
        <v>578</v>
      </c>
      <c r="F1237">
        <v>4</v>
      </c>
      <c r="K1237" s="1">
        <f t="shared" si="125"/>
        <v>578</v>
      </c>
      <c r="L1237" s="1" t="str">
        <f t="shared" si="120"/>
        <v>Normal</v>
      </c>
      <c r="M1237" s="2">
        <f t="shared" si="121"/>
        <v>69.5</v>
      </c>
      <c r="N1237" s="1" t="str">
        <f t="shared" si="122"/>
        <v>Basah</v>
      </c>
      <c r="O1237" t="str">
        <f t="shared" si="123"/>
        <v>Fuzzy</v>
      </c>
      <c r="P1237" t="str">
        <f t="shared" si="124"/>
        <v>Fuzzy</v>
      </c>
    </row>
    <row r="1238" spans="1:16" x14ac:dyDescent="0.35">
      <c r="A1238" t="s">
        <v>1241</v>
      </c>
      <c r="B1238">
        <v>5451</v>
      </c>
      <c r="C1238">
        <v>28</v>
      </c>
      <c r="D1238">
        <v>69</v>
      </c>
      <c r="E1238">
        <v>624</v>
      </c>
      <c r="F1238">
        <v>4</v>
      </c>
      <c r="K1238" s="1">
        <f t="shared" si="125"/>
        <v>624</v>
      </c>
      <c r="L1238" s="1" t="str">
        <f t="shared" si="120"/>
        <v>Normal</v>
      </c>
      <c r="M1238" s="2">
        <f t="shared" si="121"/>
        <v>81</v>
      </c>
      <c r="N1238" s="1" t="str">
        <f t="shared" si="122"/>
        <v>Basah</v>
      </c>
      <c r="O1238" t="str">
        <f t="shared" si="123"/>
        <v>Fuzzy</v>
      </c>
      <c r="P1238" t="str">
        <f t="shared" si="124"/>
        <v>Fuzzy</v>
      </c>
    </row>
    <row r="1239" spans="1:16" x14ac:dyDescent="0.35">
      <c r="A1239" t="s">
        <v>1242</v>
      </c>
      <c r="B1239">
        <v>5452</v>
      </c>
      <c r="C1239">
        <v>28</v>
      </c>
      <c r="D1239">
        <v>69</v>
      </c>
      <c r="E1239">
        <v>574</v>
      </c>
      <c r="F1239">
        <v>4</v>
      </c>
      <c r="K1239" s="1">
        <f t="shared" si="125"/>
        <v>574</v>
      </c>
      <c r="L1239" s="1" t="str">
        <f t="shared" si="120"/>
        <v>Normal</v>
      </c>
      <c r="M1239" s="2">
        <f t="shared" si="121"/>
        <v>68.5</v>
      </c>
      <c r="N1239" s="1" t="str">
        <f t="shared" si="122"/>
        <v>Lembab</v>
      </c>
      <c r="O1239" t="str">
        <f t="shared" si="123"/>
        <v>Fuzzy</v>
      </c>
      <c r="P1239" t="str">
        <f t="shared" si="124"/>
        <v>Fuzzy</v>
      </c>
    </row>
    <row r="1240" spans="1:16" x14ac:dyDescent="0.35">
      <c r="A1240" t="s">
        <v>1243</v>
      </c>
      <c r="B1240">
        <v>5453</v>
      </c>
      <c r="C1240">
        <v>28</v>
      </c>
      <c r="D1240">
        <v>69</v>
      </c>
      <c r="E1240">
        <v>581</v>
      </c>
      <c r="F1240">
        <v>4</v>
      </c>
      <c r="K1240" s="1">
        <f t="shared" si="125"/>
        <v>581</v>
      </c>
      <c r="L1240" s="1" t="str">
        <f t="shared" si="120"/>
        <v>Normal</v>
      </c>
      <c r="M1240" s="2">
        <f t="shared" si="121"/>
        <v>70.25</v>
      </c>
      <c r="N1240" s="1" t="str">
        <f t="shared" si="122"/>
        <v>Basah</v>
      </c>
      <c r="O1240" t="str">
        <f t="shared" si="123"/>
        <v>Fuzzy</v>
      </c>
      <c r="P1240" t="str">
        <f t="shared" si="124"/>
        <v>Fuzzy</v>
      </c>
    </row>
    <row r="1241" spans="1:16" x14ac:dyDescent="0.35">
      <c r="A1241" t="s">
        <v>1244</v>
      </c>
      <c r="B1241">
        <v>5454</v>
      </c>
      <c r="C1241">
        <v>28</v>
      </c>
      <c r="D1241">
        <v>70</v>
      </c>
      <c r="E1241">
        <v>533</v>
      </c>
      <c r="F1241">
        <v>4</v>
      </c>
      <c r="K1241" s="1">
        <f t="shared" si="125"/>
        <v>533</v>
      </c>
      <c r="L1241" s="1" t="str">
        <f t="shared" si="120"/>
        <v>Normal</v>
      </c>
      <c r="M1241" s="2">
        <f t="shared" si="121"/>
        <v>58.25</v>
      </c>
      <c r="N1241" s="1" t="str">
        <f t="shared" si="122"/>
        <v>Lembab</v>
      </c>
      <c r="O1241" t="str">
        <f t="shared" si="123"/>
        <v>Fuzzy</v>
      </c>
      <c r="P1241" t="str">
        <f t="shared" si="124"/>
        <v>Fuzzy</v>
      </c>
    </row>
    <row r="1242" spans="1:16" x14ac:dyDescent="0.35">
      <c r="A1242" t="s">
        <v>1245</v>
      </c>
      <c r="B1242">
        <v>5455</v>
      </c>
      <c r="C1242">
        <v>28</v>
      </c>
      <c r="D1242">
        <v>69</v>
      </c>
      <c r="E1242">
        <v>523</v>
      </c>
      <c r="F1242">
        <v>4</v>
      </c>
      <c r="K1242" s="1">
        <f t="shared" si="125"/>
        <v>523</v>
      </c>
      <c r="L1242" s="1" t="str">
        <f t="shared" si="120"/>
        <v>Normal</v>
      </c>
      <c r="M1242" s="2">
        <f t="shared" si="121"/>
        <v>55.75</v>
      </c>
      <c r="N1242" s="1" t="str">
        <f t="shared" si="122"/>
        <v>Lembab</v>
      </c>
      <c r="O1242" t="str">
        <f t="shared" si="123"/>
        <v>Fuzzy</v>
      </c>
      <c r="P1242" t="str">
        <f t="shared" si="124"/>
        <v>Fuzzy</v>
      </c>
    </row>
    <row r="1243" spans="1:16" x14ac:dyDescent="0.35">
      <c r="A1243" t="s">
        <v>1246</v>
      </c>
      <c r="B1243">
        <v>5456</v>
      </c>
      <c r="C1243">
        <v>28</v>
      </c>
      <c r="D1243">
        <v>69</v>
      </c>
      <c r="E1243">
        <v>550</v>
      </c>
      <c r="F1243">
        <v>3</v>
      </c>
      <c r="K1243" s="1">
        <f t="shared" si="125"/>
        <v>550</v>
      </c>
      <c r="L1243" s="1" t="str">
        <f t="shared" si="120"/>
        <v>Normal</v>
      </c>
      <c r="M1243" s="2">
        <f t="shared" si="121"/>
        <v>62.5</v>
      </c>
      <c r="N1243" s="1" t="str">
        <f t="shared" si="122"/>
        <v>Lembab</v>
      </c>
      <c r="O1243" t="str">
        <f t="shared" si="123"/>
        <v>Fuzzy</v>
      </c>
      <c r="P1243" t="str">
        <f t="shared" si="124"/>
        <v>Fuzzy</v>
      </c>
    </row>
    <row r="1244" spans="1:16" x14ac:dyDescent="0.35">
      <c r="A1244" t="s">
        <v>1247</v>
      </c>
      <c r="B1244">
        <v>5457</v>
      </c>
      <c r="C1244">
        <v>28</v>
      </c>
      <c r="D1244">
        <v>70</v>
      </c>
      <c r="E1244">
        <v>596</v>
      </c>
      <c r="F1244">
        <v>4</v>
      </c>
      <c r="K1244" s="1">
        <f t="shared" si="125"/>
        <v>596</v>
      </c>
      <c r="L1244" s="1" t="str">
        <f t="shared" si="120"/>
        <v>Normal</v>
      </c>
      <c r="M1244" s="2">
        <f t="shared" si="121"/>
        <v>74</v>
      </c>
      <c r="N1244" s="1" t="str">
        <f t="shared" si="122"/>
        <v>Basah</v>
      </c>
      <c r="O1244" t="str">
        <f t="shared" si="123"/>
        <v>Fuzzy</v>
      </c>
      <c r="P1244" t="str">
        <f t="shared" si="124"/>
        <v>Fuzzy</v>
      </c>
    </row>
    <row r="1245" spans="1:16" x14ac:dyDescent="0.35">
      <c r="A1245" t="s">
        <v>1248</v>
      </c>
      <c r="B1245">
        <v>5458</v>
      </c>
      <c r="C1245">
        <v>28</v>
      </c>
      <c r="D1245">
        <v>69</v>
      </c>
      <c r="E1245">
        <v>584</v>
      </c>
      <c r="F1245">
        <v>4</v>
      </c>
      <c r="K1245" s="1">
        <f t="shared" si="125"/>
        <v>584</v>
      </c>
      <c r="L1245" s="1" t="str">
        <f t="shared" si="120"/>
        <v>Normal</v>
      </c>
      <c r="M1245" s="2">
        <f t="shared" si="121"/>
        <v>71</v>
      </c>
      <c r="N1245" s="1" t="str">
        <f t="shared" si="122"/>
        <v>Basah</v>
      </c>
      <c r="O1245" t="str">
        <f t="shared" si="123"/>
        <v>Fuzzy</v>
      </c>
      <c r="P1245" t="str">
        <f t="shared" si="124"/>
        <v>Fuzzy</v>
      </c>
    </row>
    <row r="1246" spans="1:16" x14ac:dyDescent="0.35">
      <c r="A1246" t="s">
        <v>1249</v>
      </c>
      <c r="B1246">
        <v>5459</v>
      </c>
      <c r="C1246">
        <v>28</v>
      </c>
      <c r="D1246">
        <v>69</v>
      </c>
      <c r="E1246">
        <v>578</v>
      </c>
      <c r="F1246">
        <v>4</v>
      </c>
      <c r="K1246" s="1">
        <f t="shared" si="125"/>
        <v>578</v>
      </c>
      <c r="L1246" s="1" t="str">
        <f t="shared" si="120"/>
        <v>Normal</v>
      </c>
      <c r="M1246" s="2">
        <f t="shared" si="121"/>
        <v>69.5</v>
      </c>
      <c r="N1246" s="1" t="str">
        <f t="shared" si="122"/>
        <v>Basah</v>
      </c>
      <c r="O1246" t="str">
        <f t="shared" si="123"/>
        <v>Fuzzy</v>
      </c>
      <c r="P1246" t="str">
        <f t="shared" si="124"/>
        <v>Fuzzy</v>
      </c>
    </row>
    <row r="1247" spans="1:16" x14ac:dyDescent="0.35">
      <c r="A1247" t="s">
        <v>1250</v>
      </c>
      <c r="B1247">
        <v>5460</v>
      </c>
      <c r="C1247">
        <v>28</v>
      </c>
      <c r="D1247">
        <v>69</v>
      </c>
      <c r="E1247">
        <v>557</v>
      </c>
      <c r="F1247">
        <v>3</v>
      </c>
      <c r="K1247" s="1">
        <f t="shared" si="125"/>
        <v>557</v>
      </c>
      <c r="L1247" s="1" t="str">
        <f t="shared" si="120"/>
        <v>Normal</v>
      </c>
      <c r="M1247" s="2">
        <f t="shared" si="121"/>
        <v>64.25</v>
      </c>
      <c r="N1247" s="1" t="str">
        <f t="shared" si="122"/>
        <v>Lembab</v>
      </c>
      <c r="O1247" t="str">
        <f t="shared" si="123"/>
        <v>Fuzzy</v>
      </c>
      <c r="P1247" t="str">
        <f t="shared" si="124"/>
        <v>Fuzzy</v>
      </c>
    </row>
    <row r="1248" spans="1:16" x14ac:dyDescent="0.35">
      <c r="A1248" t="s">
        <v>1251</v>
      </c>
      <c r="B1248">
        <v>5461</v>
      </c>
      <c r="C1248">
        <v>28</v>
      </c>
      <c r="D1248">
        <v>70</v>
      </c>
      <c r="E1248">
        <v>570</v>
      </c>
      <c r="F1248">
        <v>4</v>
      </c>
      <c r="K1248" s="1">
        <f t="shared" si="125"/>
        <v>570</v>
      </c>
      <c r="L1248" s="1" t="str">
        <f t="shared" si="120"/>
        <v>Normal</v>
      </c>
      <c r="M1248" s="2">
        <f t="shared" si="121"/>
        <v>67.5</v>
      </c>
      <c r="N1248" s="1" t="str">
        <f t="shared" si="122"/>
        <v>Lembab</v>
      </c>
      <c r="O1248" t="str">
        <f t="shared" si="123"/>
        <v>Fuzzy</v>
      </c>
      <c r="P1248" t="str">
        <f t="shared" si="124"/>
        <v>Fuzzy</v>
      </c>
    </row>
    <row r="1249" spans="1:16" x14ac:dyDescent="0.35">
      <c r="A1249" t="s">
        <v>1252</v>
      </c>
      <c r="B1249">
        <v>5462</v>
      </c>
      <c r="C1249">
        <v>28</v>
      </c>
      <c r="D1249">
        <v>70</v>
      </c>
      <c r="E1249">
        <v>524</v>
      </c>
      <c r="F1249">
        <v>4</v>
      </c>
      <c r="K1249" s="1">
        <f t="shared" si="125"/>
        <v>524</v>
      </c>
      <c r="L1249" s="1" t="str">
        <f t="shared" si="120"/>
        <v>Normal</v>
      </c>
      <c r="M1249" s="2">
        <f t="shared" si="121"/>
        <v>56.000000000000007</v>
      </c>
      <c r="N1249" s="1" t="str">
        <f t="shared" si="122"/>
        <v>Lembab</v>
      </c>
      <c r="O1249" t="str">
        <f t="shared" si="123"/>
        <v>Fuzzy</v>
      </c>
      <c r="P1249" t="str">
        <f t="shared" si="124"/>
        <v>Fuzzy</v>
      </c>
    </row>
    <row r="1250" spans="1:16" x14ac:dyDescent="0.35">
      <c r="A1250" t="s">
        <v>1253</v>
      </c>
      <c r="B1250">
        <v>5463</v>
      </c>
      <c r="C1250">
        <v>28</v>
      </c>
      <c r="D1250">
        <v>69</v>
      </c>
      <c r="E1250">
        <v>512</v>
      </c>
      <c r="F1250">
        <v>5</v>
      </c>
      <c r="K1250" s="1">
        <f t="shared" si="125"/>
        <v>512</v>
      </c>
      <c r="L1250" s="1" t="str">
        <f t="shared" si="120"/>
        <v>Normal</v>
      </c>
      <c r="M1250" s="2">
        <f t="shared" si="121"/>
        <v>53</v>
      </c>
      <c r="N1250" s="1" t="str">
        <f t="shared" si="122"/>
        <v>Lembab</v>
      </c>
      <c r="O1250" t="str">
        <f t="shared" si="123"/>
        <v>Fuzzy</v>
      </c>
      <c r="P1250" t="str">
        <f t="shared" si="124"/>
        <v>Fuzzy</v>
      </c>
    </row>
    <row r="1251" spans="1:16" x14ac:dyDescent="0.35">
      <c r="A1251" t="s">
        <v>1254</v>
      </c>
      <c r="B1251">
        <v>5464</v>
      </c>
      <c r="C1251">
        <v>28</v>
      </c>
      <c r="D1251">
        <v>67</v>
      </c>
      <c r="E1251">
        <v>600</v>
      </c>
      <c r="F1251">
        <v>4</v>
      </c>
      <c r="K1251" s="1">
        <f t="shared" si="125"/>
        <v>600</v>
      </c>
      <c r="L1251" s="1" t="str">
        <f t="shared" si="120"/>
        <v>Normal</v>
      </c>
      <c r="M1251" s="2">
        <f t="shared" si="121"/>
        <v>75</v>
      </c>
      <c r="N1251" s="1" t="str">
        <f t="shared" si="122"/>
        <v>Basah</v>
      </c>
      <c r="O1251" t="str">
        <f t="shared" si="123"/>
        <v>Fuzzy</v>
      </c>
      <c r="P1251" t="str">
        <f t="shared" si="124"/>
        <v>Fuzzy</v>
      </c>
    </row>
    <row r="1252" spans="1:16" x14ac:dyDescent="0.35">
      <c r="A1252" t="s">
        <v>1255</v>
      </c>
      <c r="B1252">
        <v>5465</v>
      </c>
      <c r="C1252">
        <v>28</v>
      </c>
      <c r="D1252">
        <v>67</v>
      </c>
      <c r="E1252">
        <v>649</v>
      </c>
      <c r="F1252">
        <v>4</v>
      </c>
      <c r="K1252" s="1">
        <f t="shared" si="125"/>
        <v>649</v>
      </c>
      <c r="L1252" s="1" t="str">
        <f t="shared" si="120"/>
        <v>Normal</v>
      </c>
      <c r="M1252" s="2">
        <f t="shared" si="121"/>
        <v>87.25</v>
      </c>
      <c r="N1252" s="1" t="str">
        <f t="shared" si="122"/>
        <v>Basah</v>
      </c>
      <c r="O1252" t="str">
        <f t="shared" si="123"/>
        <v>Fuzzy</v>
      </c>
      <c r="P1252" t="str">
        <f t="shared" si="124"/>
        <v>Fuzzy</v>
      </c>
    </row>
    <row r="1253" spans="1:16" x14ac:dyDescent="0.35">
      <c r="A1253" t="s">
        <v>1256</v>
      </c>
      <c r="B1253">
        <v>5466</v>
      </c>
      <c r="C1253">
        <v>28</v>
      </c>
      <c r="D1253">
        <v>68</v>
      </c>
      <c r="E1253">
        <v>688</v>
      </c>
      <c r="F1253">
        <v>4</v>
      </c>
      <c r="K1253" s="1">
        <f t="shared" si="125"/>
        <v>688</v>
      </c>
      <c r="L1253" s="1" t="str">
        <f t="shared" si="120"/>
        <v>Normal</v>
      </c>
      <c r="M1253" s="2">
        <f t="shared" si="121"/>
        <v>97</v>
      </c>
      <c r="N1253" s="1" t="str">
        <f t="shared" si="122"/>
        <v>Basah</v>
      </c>
      <c r="O1253" t="str">
        <f t="shared" si="123"/>
        <v>Fuzzy</v>
      </c>
      <c r="P1253" t="str">
        <f t="shared" si="124"/>
        <v>Fuzzy</v>
      </c>
    </row>
    <row r="1254" spans="1:16" x14ac:dyDescent="0.35">
      <c r="A1254" t="s">
        <v>1257</v>
      </c>
      <c r="B1254">
        <v>5467</v>
      </c>
      <c r="C1254">
        <v>28</v>
      </c>
      <c r="D1254">
        <v>68</v>
      </c>
      <c r="E1254">
        <v>652</v>
      </c>
      <c r="F1254">
        <v>4</v>
      </c>
      <c r="K1254" s="1">
        <f t="shared" si="125"/>
        <v>652</v>
      </c>
      <c r="L1254" s="1" t="str">
        <f t="shared" si="120"/>
        <v>Normal</v>
      </c>
      <c r="M1254" s="2">
        <f t="shared" si="121"/>
        <v>88</v>
      </c>
      <c r="N1254" s="1" t="str">
        <f t="shared" si="122"/>
        <v>Basah</v>
      </c>
      <c r="O1254" t="str">
        <f t="shared" si="123"/>
        <v>Fuzzy</v>
      </c>
      <c r="P1254" t="str">
        <f t="shared" si="124"/>
        <v>Fuzzy</v>
      </c>
    </row>
    <row r="1255" spans="1:16" x14ac:dyDescent="0.35">
      <c r="A1255" t="s">
        <v>1258</v>
      </c>
      <c r="B1255">
        <v>5468</v>
      </c>
      <c r="C1255">
        <v>28</v>
      </c>
      <c r="D1255">
        <v>69</v>
      </c>
      <c r="E1255">
        <v>554</v>
      </c>
      <c r="F1255">
        <v>4</v>
      </c>
      <c r="K1255" s="1">
        <f t="shared" si="125"/>
        <v>554</v>
      </c>
      <c r="L1255" s="1" t="str">
        <f t="shared" si="120"/>
        <v>Normal</v>
      </c>
      <c r="M1255" s="2">
        <f t="shared" si="121"/>
        <v>63.5</v>
      </c>
      <c r="N1255" s="1" t="str">
        <f t="shared" si="122"/>
        <v>Lembab</v>
      </c>
      <c r="O1255" t="str">
        <f t="shared" si="123"/>
        <v>Fuzzy</v>
      </c>
      <c r="P1255" t="str">
        <f t="shared" si="124"/>
        <v>Fuzzy</v>
      </c>
    </row>
    <row r="1256" spans="1:16" x14ac:dyDescent="0.35">
      <c r="A1256" t="s">
        <v>1259</v>
      </c>
      <c r="B1256">
        <v>5469</v>
      </c>
      <c r="C1256">
        <v>28</v>
      </c>
      <c r="D1256">
        <v>69</v>
      </c>
      <c r="E1256">
        <v>501</v>
      </c>
      <c r="F1256">
        <v>4</v>
      </c>
      <c r="K1256" s="1">
        <f t="shared" si="125"/>
        <v>501</v>
      </c>
      <c r="L1256" s="1" t="str">
        <f t="shared" si="120"/>
        <v>Normal</v>
      </c>
      <c r="M1256" s="2">
        <f t="shared" si="121"/>
        <v>50.249999999999993</v>
      </c>
      <c r="N1256" s="1" t="str">
        <f t="shared" si="122"/>
        <v>Lembab</v>
      </c>
      <c r="O1256" t="str">
        <f t="shared" si="123"/>
        <v>Fuzzy</v>
      </c>
      <c r="P1256" t="str">
        <f t="shared" si="124"/>
        <v>Fuzzy</v>
      </c>
    </row>
    <row r="1257" spans="1:16" x14ac:dyDescent="0.35">
      <c r="A1257" t="s">
        <v>1260</v>
      </c>
      <c r="B1257">
        <v>5470</v>
      </c>
      <c r="C1257">
        <v>28</v>
      </c>
      <c r="D1257">
        <v>70</v>
      </c>
      <c r="E1257">
        <v>595</v>
      </c>
      <c r="F1257">
        <v>4</v>
      </c>
      <c r="K1257" s="1">
        <f t="shared" si="125"/>
        <v>595</v>
      </c>
      <c r="L1257" s="1" t="str">
        <f t="shared" si="120"/>
        <v>Normal</v>
      </c>
      <c r="M1257" s="2">
        <f t="shared" si="121"/>
        <v>73.75</v>
      </c>
      <c r="N1257" s="1" t="str">
        <f t="shared" si="122"/>
        <v>Basah</v>
      </c>
      <c r="O1257" t="str">
        <f t="shared" si="123"/>
        <v>Fuzzy</v>
      </c>
      <c r="P1257" t="str">
        <f t="shared" si="124"/>
        <v>Fuzzy</v>
      </c>
    </row>
    <row r="1258" spans="1:16" x14ac:dyDescent="0.35">
      <c r="A1258" t="s">
        <v>1261</v>
      </c>
      <c r="B1258">
        <v>5471</v>
      </c>
      <c r="C1258">
        <v>28</v>
      </c>
      <c r="D1258">
        <v>70</v>
      </c>
      <c r="E1258">
        <v>595</v>
      </c>
      <c r="F1258">
        <v>4</v>
      </c>
      <c r="K1258" s="1">
        <f t="shared" si="125"/>
        <v>595</v>
      </c>
      <c r="L1258" s="1" t="str">
        <f t="shared" si="120"/>
        <v>Normal</v>
      </c>
      <c r="M1258" s="2">
        <f t="shared" si="121"/>
        <v>73.75</v>
      </c>
      <c r="N1258" s="1" t="str">
        <f t="shared" si="122"/>
        <v>Basah</v>
      </c>
      <c r="O1258" t="str">
        <f t="shared" si="123"/>
        <v>Fuzzy</v>
      </c>
      <c r="P1258" t="str">
        <f t="shared" si="124"/>
        <v>Fuzzy</v>
      </c>
    </row>
    <row r="1259" spans="1:16" x14ac:dyDescent="0.35">
      <c r="A1259" t="s">
        <v>1262</v>
      </c>
      <c r="B1259">
        <v>5472</v>
      </c>
      <c r="C1259">
        <v>28</v>
      </c>
      <c r="D1259">
        <v>70</v>
      </c>
      <c r="E1259">
        <v>551</v>
      </c>
      <c r="F1259">
        <v>4</v>
      </c>
      <c r="K1259" s="1">
        <f t="shared" si="125"/>
        <v>551</v>
      </c>
      <c r="L1259" s="1" t="str">
        <f t="shared" si="120"/>
        <v>Normal</v>
      </c>
      <c r="M1259" s="2">
        <f t="shared" si="121"/>
        <v>62.749999999999993</v>
      </c>
      <c r="N1259" s="1" t="str">
        <f t="shared" si="122"/>
        <v>Lembab</v>
      </c>
      <c r="O1259" t="str">
        <f t="shared" si="123"/>
        <v>Fuzzy</v>
      </c>
      <c r="P1259" t="str">
        <f t="shared" si="124"/>
        <v>Fuzzy</v>
      </c>
    </row>
    <row r="1260" spans="1:16" x14ac:dyDescent="0.35">
      <c r="A1260" t="s">
        <v>1263</v>
      </c>
      <c r="B1260">
        <v>5473</v>
      </c>
      <c r="C1260">
        <v>28</v>
      </c>
      <c r="D1260">
        <v>70</v>
      </c>
      <c r="E1260">
        <v>621</v>
      </c>
      <c r="F1260">
        <v>4</v>
      </c>
      <c r="K1260" s="1">
        <f t="shared" si="125"/>
        <v>621</v>
      </c>
      <c r="L1260" s="1" t="str">
        <f t="shared" si="120"/>
        <v>Normal</v>
      </c>
      <c r="M1260" s="2">
        <f t="shared" si="121"/>
        <v>80.25</v>
      </c>
      <c r="N1260" s="1" t="str">
        <f t="shared" si="122"/>
        <v>Basah</v>
      </c>
      <c r="O1260" t="str">
        <f t="shared" si="123"/>
        <v>Fuzzy</v>
      </c>
      <c r="P1260" t="str">
        <f t="shared" si="124"/>
        <v>Fuzzy</v>
      </c>
    </row>
    <row r="1261" spans="1:16" x14ac:dyDescent="0.35">
      <c r="A1261" t="s">
        <v>1264</v>
      </c>
      <c r="B1261">
        <v>5474</v>
      </c>
      <c r="C1261">
        <v>28</v>
      </c>
      <c r="D1261">
        <v>70</v>
      </c>
      <c r="E1261">
        <v>501</v>
      </c>
      <c r="F1261">
        <v>3</v>
      </c>
      <c r="K1261" s="1">
        <f t="shared" si="125"/>
        <v>501</v>
      </c>
      <c r="L1261" s="1" t="str">
        <f t="shared" si="120"/>
        <v>Normal</v>
      </c>
      <c r="M1261" s="2">
        <f t="shared" si="121"/>
        <v>50.249999999999993</v>
      </c>
      <c r="N1261" s="1" t="str">
        <f t="shared" si="122"/>
        <v>Lembab</v>
      </c>
      <c r="O1261" t="str">
        <f t="shared" si="123"/>
        <v>Fuzzy</v>
      </c>
      <c r="P1261" t="str">
        <f t="shared" si="124"/>
        <v>Fuzzy</v>
      </c>
    </row>
    <row r="1262" spans="1:16" x14ac:dyDescent="0.35">
      <c r="A1262" t="s">
        <v>1265</v>
      </c>
      <c r="B1262">
        <v>5475</v>
      </c>
      <c r="C1262">
        <v>28</v>
      </c>
      <c r="D1262">
        <v>70</v>
      </c>
      <c r="E1262">
        <v>616</v>
      </c>
      <c r="F1262">
        <v>4</v>
      </c>
      <c r="K1262" s="1">
        <f t="shared" si="125"/>
        <v>616</v>
      </c>
      <c r="L1262" s="1" t="str">
        <f t="shared" si="120"/>
        <v>Normal</v>
      </c>
      <c r="M1262" s="2">
        <f t="shared" si="121"/>
        <v>79</v>
      </c>
      <c r="N1262" s="1" t="str">
        <f t="shared" si="122"/>
        <v>Basah</v>
      </c>
      <c r="O1262" t="str">
        <f t="shared" si="123"/>
        <v>Fuzzy</v>
      </c>
      <c r="P1262" t="str">
        <f t="shared" si="124"/>
        <v>Fuzzy</v>
      </c>
    </row>
    <row r="1263" spans="1:16" x14ac:dyDescent="0.35">
      <c r="A1263" t="s">
        <v>1266</v>
      </c>
      <c r="B1263">
        <v>5476</v>
      </c>
      <c r="C1263">
        <v>28</v>
      </c>
      <c r="D1263">
        <v>70</v>
      </c>
      <c r="E1263">
        <v>604</v>
      </c>
      <c r="F1263">
        <v>4</v>
      </c>
      <c r="K1263" s="1">
        <f t="shared" si="125"/>
        <v>604</v>
      </c>
      <c r="L1263" s="1" t="str">
        <f t="shared" si="120"/>
        <v>Normal</v>
      </c>
      <c r="M1263" s="2">
        <f t="shared" si="121"/>
        <v>76</v>
      </c>
      <c r="N1263" s="1" t="str">
        <f t="shared" si="122"/>
        <v>Basah</v>
      </c>
      <c r="O1263" t="str">
        <f t="shared" si="123"/>
        <v>Fuzzy</v>
      </c>
      <c r="P1263" t="str">
        <f t="shared" si="124"/>
        <v>Fuzzy</v>
      </c>
    </row>
    <row r="1264" spans="1:16" x14ac:dyDescent="0.35">
      <c r="A1264" t="s">
        <v>1267</v>
      </c>
      <c r="B1264">
        <v>5477</v>
      </c>
      <c r="C1264">
        <v>28</v>
      </c>
      <c r="D1264">
        <v>70</v>
      </c>
      <c r="E1264">
        <v>614</v>
      </c>
      <c r="F1264">
        <v>4</v>
      </c>
      <c r="K1264" s="1">
        <f t="shared" si="125"/>
        <v>614</v>
      </c>
      <c r="L1264" s="1" t="str">
        <f t="shared" si="120"/>
        <v>Normal</v>
      </c>
      <c r="M1264" s="2">
        <f t="shared" si="121"/>
        <v>78.5</v>
      </c>
      <c r="N1264" s="1" t="str">
        <f t="shared" si="122"/>
        <v>Basah</v>
      </c>
      <c r="O1264" t="str">
        <f t="shared" si="123"/>
        <v>Fuzzy</v>
      </c>
      <c r="P1264" t="str">
        <f t="shared" si="124"/>
        <v>Fuzzy</v>
      </c>
    </row>
    <row r="1265" spans="1:16" x14ac:dyDescent="0.35">
      <c r="A1265" t="s">
        <v>1268</v>
      </c>
      <c r="B1265">
        <v>5478</v>
      </c>
      <c r="C1265">
        <v>28</v>
      </c>
      <c r="D1265">
        <v>70</v>
      </c>
      <c r="E1265">
        <v>633</v>
      </c>
      <c r="F1265">
        <v>3</v>
      </c>
      <c r="K1265" s="1">
        <f t="shared" si="125"/>
        <v>633</v>
      </c>
      <c r="L1265" s="1" t="str">
        <f t="shared" si="120"/>
        <v>Normal</v>
      </c>
      <c r="M1265" s="2">
        <f t="shared" si="121"/>
        <v>83.25</v>
      </c>
      <c r="N1265" s="1" t="str">
        <f t="shared" si="122"/>
        <v>Basah</v>
      </c>
      <c r="O1265" t="str">
        <f t="shared" si="123"/>
        <v>Fuzzy</v>
      </c>
      <c r="P1265" t="str">
        <f t="shared" si="124"/>
        <v>Fuzzy</v>
      </c>
    </row>
    <row r="1266" spans="1:16" x14ac:dyDescent="0.35">
      <c r="A1266" t="s">
        <v>1269</v>
      </c>
      <c r="B1266">
        <v>5479</v>
      </c>
      <c r="C1266">
        <v>28</v>
      </c>
      <c r="D1266">
        <v>70</v>
      </c>
      <c r="E1266">
        <v>566</v>
      </c>
      <c r="F1266">
        <v>4</v>
      </c>
      <c r="K1266" s="1">
        <f t="shared" si="125"/>
        <v>566</v>
      </c>
      <c r="L1266" s="1" t="str">
        <f t="shared" si="120"/>
        <v>Normal</v>
      </c>
      <c r="M1266" s="2">
        <f t="shared" si="121"/>
        <v>66.5</v>
      </c>
      <c r="N1266" s="1" t="str">
        <f t="shared" si="122"/>
        <v>Lembab</v>
      </c>
      <c r="O1266" t="str">
        <f t="shared" si="123"/>
        <v>Fuzzy</v>
      </c>
      <c r="P1266" t="str">
        <f t="shared" si="124"/>
        <v>Fuzzy</v>
      </c>
    </row>
    <row r="1267" spans="1:16" x14ac:dyDescent="0.35">
      <c r="A1267" t="s">
        <v>1270</v>
      </c>
      <c r="B1267">
        <v>5480</v>
      </c>
      <c r="C1267">
        <v>28</v>
      </c>
      <c r="D1267">
        <v>70</v>
      </c>
      <c r="E1267">
        <v>562</v>
      </c>
      <c r="F1267">
        <v>3</v>
      </c>
      <c r="K1267" s="1">
        <f t="shared" si="125"/>
        <v>562</v>
      </c>
      <c r="L1267" s="1" t="str">
        <f t="shared" si="120"/>
        <v>Normal</v>
      </c>
      <c r="M1267" s="2">
        <f t="shared" si="121"/>
        <v>65.5</v>
      </c>
      <c r="N1267" s="1" t="str">
        <f t="shared" si="122"/>
        <v>Lembab</v>
      </c>
      <c r="O1267" t="str">
        <f t="shared" si="123"/>
        <v>Fuzzy</v>
      </c>
      <c r="P1267" t="str">
        <f t="shared" si="124"/>
        <v>Fuzzy</v>
      </c>
    </row>
    <row r="1268" spans="1:16" x14ac:dyDescent="0.35">
      <c r="A1268" t="s">
        <v>1271</v>
      </c>
      <c r="B1268">
        <v>5481</v>
      </c>
      <c r="C1268">
        <v>28</v>
      </c>
      <c r="D1268">
        <v>70</v>
      </c>
      <c r="E1268">
        <v>629</v>
      </c>
      <c r="F1268">
        <v>4</v>
      </c>
      <c r="K1268" s="1">
        <f t="shared" si="125"/>
        <v>629</v>
      </c>
      <c r="L1268" s="1" t="str">
        <f t="shared" si="120"/>
        <v>Normal</v>
      </c>
      <c r="M1268" s="2">
        <f t="shared" si="121"/>
        <v>82.25</v>
      </c>
      <c r="N1268" s="1" t="str">
        <f t="shared" si="122"/>
        <v>Basah</v>
      </c>
      <c r="O1268" t="str">
        <f t="shared" si="123"/>
        <v>Fuzzy</v>
      </c>
      <c r="P1268" t="str">
        <f t="shared" si="124"/>
        <v>Fuzzy</v>
      </c>
    </row>
    <row r="1269" spans="1:16" x14ac:dyDescent="0.35">
      <c r="A1269" t="s">
        <v>1272</v>
      </c>
      <c r="B1269">
        <v>5482</v>
      </c>
      <c r="C1269">
        <v>28</v>
      </c>
      <c r="D1269">
        <v>70</v>
      </c>
      <c r="E1269">
        <v>581</v>
      </c>
      <c r="F1269">
        <v>4</v>
      </c>
      <c r="K1269" s="1">
        <f t="shared" si="125"/>
        <v>581</v>
      </c>
      <c r="L1269" s="1" t="str">
        <f t="shared" si="120"/>
        <v>Normal</v>
      </c>
      <c r="M1269" s="2">
        <f t="shared" si="121"/>
        <v>70.25</v>
      </c>
      <c r="N1269" s="1" t="str">
        <f t="shared" si="122"/>
        <v>Basah</v>
      </c>
      <c r="O1269" t="str">
        <f t="shared" si="123"/>
        <v>Fuzzy</v>
      </c>
      <c r="P1269" t="str">
        <f t="shared" si="124"/>
        <v>Fuzzy</v>
      </c>
    </row>
    <row r="1270" spans="1:16" x14ac:dyDescent="0.35">
      <c r="A1270" t="s">
        <v>1273</v>
      </c>
      <c r="B1270">
        <v>5483</v>
      </c>
      <c r="C1270">
        <v>28</v>
      </c>
      <c r="D1270">
        <v>70</v>
      </c>
      <c r="E1270">
        <v>824</v>
      </c>
      <c r="F1270">
        <v>4</v>
      </c>
      <c r="K1270" s="1">
        <f t="shared" si="125"/>
        <v>824</v>
      </c>
      <c r="L1270" s="1" t="str">
        <f t="shared" si="120"/>
        <v>Normal</v>
      </c>
      <c r="M1270" s="2">
        <f t="shared" si="121"/>
        <v>38.390092879256969</v>
      </c>
      <c r="N1270" s="1" t="str">
        <f t="shared" si="122"/>
        <v>Lembab</v>
      </c>
      <c r="O1270" t="str">
        <f t="shared" si="123"/>
        <v>Fuzzy</v>
      </c>
      <c r="P1270" t="str">
        <f t="shared" si="124"/>
        <v>Fuzzy</v>
      </c>
    </row>
    <row r="1271" spans="1:16" x14ac:dyDescent="0.35">
      <c r="A1271" t="s">
        <v>1274</v>
      </c>
      <c r="B1271">
        <v>5484</v>
      </c>
      <c r="C1271">
        <v>28</v>
      </c>
      <c r="D1271">
        <v>69</v>
      </c>
      <c r="E1271">
        <v>598</v>
      </c>
      <c r="F1271">
        <v>3</v>
      </c>
      <c r="K1271" s="1">
        <f t="shared" si="125"/>
        <v>598</v>
      </c>
      <c r="L1271" s="1" t="str">
        <f t="shared" si="120"/>
        <v>Normal</v>
      </c>
      <c r="M1271" s="2">
        <f t="shared" si="121"/>
        <v>74.5</v>
      </c>
      <c r="N1271" s="1" t="str">
        <f t="shared" si="122"/>
        <v>Basah</v>
      </c>
      <c r="O1271" t="str">
        <f t="shared" si="123"/>
        <v>Fuzzy</v>
      </c>
      <c r="P1271" t="str">
        <f t="shared" si="124"/>
        <v>Fuzzy</v>
      </c>
    </row>
    <row r="1272" spans="1:16" x14ac:dyDescent="0.35">
      <c r="A1272" t="s">
        <v>1275</v>
      </c>
      <c r="B1272">
        <v>5485</v>
      </c>
      <c r="C1272">
        <v>28</v>
      </c>
      <c r="D1272">
        <v>69</v>
      </c>
      <c r="E1272">
        <v>615</v>
      </c>
      <c r="F1272">
        <v>4</v>
      </c>
      <c r="K1272" s="1">
        <f t="shared" si="125"/>
        <v>615</v>
      </c>
      <c r="L1272" s="1" t="str">
        <f t="shared" si="120"/>
        <v>Normal</v>
      </c>
      <c r="M1272" s="2">
        <f t="shared" si="121"/>
        <v>78.75</v>
      </c>
      <c r="N1272" s="1" t="str">
        <f t="shared" si="122"/>
        <v>Basah</v>
      </c>
      <c r="O1272" t="str">
        <f t="shared" si="123"/>
        <v>Fuzzy</v>
      </c>
      <c r="P1272" t="str">
        <f t="shared" si="124"/>
        <v>Fuzzy</v>
      </c>
    </row>
    <row r="1273" spans="1:16" x14ac:dyDescent="0.35">
      <c r="A1273" t="s">
        <v>1276</v>
      </c>
      <c r="B1273">
        <v>5486</v>
      </c>
      <c r="C1273">
        <v>28</v>
      </c>
      <c r="D1273">
        <v>69</v>
      </c>
      <c r="E1273">
        <v>579</v>
      </c>
      <c r="F1273">
        <v>4</v>
      </c>
      <c r="K1273" s="1">
        <f t="shared" si="125"/>
        <v>579</v>
      </c>
      <c r="L1273" s="1" t="str">
        <f t="shared" si="120"/>
        <v>Normal</v>
      </c>
      <c r="M1273" s="2">
        <f t="shared" si="121"/>
        <v>69.75</v>
      </c>
      <c r="N1273" s="1" t="str">
        <f t="shared" si="122"/>
        <v>Basah</v>
      </c>
      <c r="O1273" t="str">
        <f t="shared" si="123"/>
        <v>Fuzzy</v>
      </c>
      <c r="P1273" t="str">
        <f t="shared" si="124"/>
        <v>Fuzzy</v>
      </c>
    </row>
    <row r="1274" spans="1:16" x14ac:dyDescent="0.35">
      <c r="A1274" t="s">
        <v>1277</v>
      </c>
      <c r="B1274">
        <v>5487</v>
      </c>
      <c r="C1274">
        <v>28</v>
      </c>
      <c r="D1274">
        <v>69</v>
      </c>
      <c r="E1274">
        <v>572</v>
      </c>
      <c r="F1274">
        <v>4</v>
      </c>
      <c r="K1274" s="1">
        <f t="shared" si="125"/>
        <v>572</v>
      </c>
      <c r="L1274" s="1" t="str">
        <f t="shared" si="120"/>
        <v>Normal</v>
      </c>
      <c r="M1274" s="2">
        <f t="shared" si="121"/>
        <v>68</v>
      </c>
      <c r="N1274" s="1" t="str">
        <f t="shared" si="122"/>
        <v>Lembab</v>
      </c>
      <c r="O1274" t="str">
        <f t="shared" si="123"/>
        <v>Fuzzy</v>
      </c>
      <c r="P1274" t="str">
        <f t="shared" si="124"/>
        <v>Fuzzy</v>
      </c>
    </row>
    <row r="1275" spans="1:16" x14ac:dyDescent="0.35">
      <c r="A1275" t="s">
        <v>1278</v>
      </c>
      <c r="B1275">
        <v>5488</v>
      </c>
      <c r="C1275">
        <v>28</v>
      </c>
      <c r="D1275">
        <v>67</v>
      </c>
      <c r="E1275">
        <v>532</v>
      </c>
      <c r="F1275">
        <v>4</v>
      </c>
      <c r="K1275" s="1">
        <f t="shared" si="125"/>
        <v>532</v>
      </c>
      <c r="L1275" s="1" t="str">
        <f t="shared" si="120"/>
        <v>Normal</v>
      </c>
      <c r="M1275" s="2">
        <f t="shared" si="121"/>
        <v>57.999999999999993</v>
      </c>
      <c r="N1275" s="1" t="str">
        <f t="shared" si="122"/>
        <v>Lembab</v>
      </c>
      <c r="O1275" t="str">
        <f t="shared" si="123"/>
        <v>Fuzzy</v>
      </c>
      <c r="P1275" t="str">
        <f t="shared" si="124"/>
        <v>Fuzzy</v>
      </c>
    </row>
    <row r="1276" spans="1:16" x14ac:dyDescent="0.35">
      <c r="A1276" t="s">
        <v>1279</v>
      </c>
      <c r="B1276">
        <v>5489</v>
      </c>
      <c r="C1276">
        <v>28</v>
      </c>
      <c r="D1276">
        <v>67</v>
      </c>
      <c r="E1276">
        <v>331</v>
      </c>
      <c r="F1276">
        <v>4</v>
      </c>
      <c r="K1276" s="1">
        <f t="shared" si="125"/>
        <v>331</v>
      </c>
      <c r="L1276" s="1" t="str">
        <f t="shared" si="120"/>
        <v>Normal</v>
      </c>
      <c r="M1276" s="2">
        <f t="shared" si="121"/>
        <v>7.75</v>
      </c>
      <c r="N1276" s="1" t="str">
        <f t="shared" si="122"/>
        <v>Kering</v>
      </c>
      <c r="O1276" t="str">
        <f t="shared" si="123"/>
        <v>Fuzzy</v>
      </c>
      <c r="P1276" t="str">
        <f t="shared" si="124"/>
        <v>Fuzzy</v>
      </c>
    </row>
    <row r="1277" spans="1:16" x14ac:dyDescent="0.35">
      <c r="A1277" t="s">
        <v>1280</v>
      </c>
      <c r="B1277">
        <v>5490</v>
      </c>
      <c r="C1277">
        <v>28</v>
      </c>
      <c r="D1277">
        <v>66</v>
      </c>
      <c r="E1277">
        <v>580</v>
      </c>
      <c r="F1277">
        <v>4</v>
      </c>
      <c r="K1277" s="1">
        <f t="shared" si="125"/>
        <v>580</v>
      </c>
      <c r="L1277" s="1" t="str">
        <f t="shared" si="120"/>
        <v>Normal</v>
      </c>
      <c r="M1277" s="2">
        <f t="shared" si="121"/>
        <v>70</v>
      </c>
      <c r="N1277" s="1" t="str">
        <f t="shared" si="122"/>
        <v>Basah</v>
      </c>
      <c r="O1277" t="str">
        <f t="shared" si="123"/>
        <v>Fuzzy</v>
      </c>
      <c r="P1277" t="str">
        <f t="shared" si="124"/>
        <v>Fuzzy</v>
      </c>
    </row>
    <row r="1278" spans="1:16" x14ac:dyDescent="0.35">
      <c r="A1278" t="s">
        <v>1281</v>
      </c>
      <c r="B1278">
        <v>5491</v>
      </c>
      <c r="C1278">
        <v>28</v>
      </c>
      <c r="D1278">
        <v>67</v>
      </c>
      <c r="E1278">
        <v>559</v>
      </c>
      <c r="F1278">
        <v>4</v>
      </c>
      <c r="K1278" s="1">
        <f t="shared" si="125"/>
        <v>559</v>
      </c>
      <c r="L1278" s="1" t="str">
        <f t="shared" si="120"/>
        <v>Normal</v>
      </c>
      <c r="M1278" s="2">
        <f t="shared" si="121"/>
        <v>64.75</v>
      </c>
      <c r="N1278" s="1" t="str">
        <f t="shared" si="122"/>
        <v>Lembab</v>
      </c>
      <c r="O1278" t="str">
        <f t="shared" si="123"/>
        <v>Fuzzy</v>
      </c>
      <c r="P1278" t="str">
        <f t="shared" si="124"/>
        <v>Fuzzy</v>
      </c>
    </row>
    <row r="1279" spans="1:16" x14ac:dyDescent="0.35">
      <c r="A1279" t="s">
        <v>1282</v>
      </c>
      <c r="B1279">
        <v>5492</v>
      </c>
      <c r="C1279">
        <v>28</v>
      </c>
      <c r="D1279">
        <v>67</v>
      </c>
      <c r="E1279">
        <v>615</v>
      </c>
      <c r="F1279">
        <v>3</v>
      </c>
      <c r="K1279" s="1">
        <f t="shared" si="125"/>
        <v>615</v>
      </c>
      <c r="L1279" s="1" t="str">
        <f t="shared" si="120"/>
        <v>Normal</v>
      </c>
      <c r="M1279" s="2">
        <f t="shared" si="121"/>
        <v>78.75</v>
      </c>
      <c r="N1279" s="1" t="str">
        <f t="shared" si="122"/>
        <v>Basah</v>
      </c>
      <c r="O1279" t="str">
        <f t="shared" si="123"/>
        <v>Fuzzy</v>
      </c>
      <c r="P1279" t="str">
        <f t="shared" si="124"/>
        <v>Fuzzy</v>
      </c>
    </row>
    <row r="1280" spans="1:16" x14ac:dyDescent="0.35">
      <c r="A1280" t="s">
        <v>1283</v>
      </c>
      <c r="B1280">
        <v>5493</v>
      </c>
      <c r="C1280">
        <v>28</v>
      </c>
      <c r="D1280">
        <v>67</v>
      </c>
      <c r="E1280">
        <v>559</v>
      </c>
      <c r="F1280">
        <v>4</v>
      </c>
      <c r="K1280" s="1">
        <f t="shared" si="125"/>
        <v>559</v>
      </c>
      <c r="L1280" s="1" t="str">
        <f t="shared" si="120"/>
        <v>Normal</v>
      </c>
      <c r="M1280" s="2">
        <f t="shared" si="121"/>
        <v>64.75</v>
      </c>
      <c r="N1280" s="1" t="str">
        <f t="shared" si="122"/>
        <v>Lembab</v>
      </c>
      <c r="O1280" t="str">
        <f t="shared" si="123"/>
        <v>Fuzzy</v>
      </c>
      <c r="P1280" t="str">
        <f t="shared" si="124"/>
        <v>Fuzzy</v>
      </c>
    </row>
    <row r="1281" spans="1:16" x14ac:dyDescent="0.35">
      <c r="A1281" t="s">
        <v>1284</v>
      </c>
      <c r="B1281">
        <v>5494</v>
      </c>
      <c r="C1281">
        <v>28</v>
      </c>
      <c r="D1281">
        <v>68</v>
      </c>
      <c r="E1281">
        <v>555</v>
      </c>
      <c r="F1281">
        <v>4</v>
      </c>
      <c r="K1281" s="1">
        <f t="shared" si="125"/>
        <v>555</v>
      </c>
      <c r="L1281" s="1" t="str">
        <f t="shared" si="120"/>
        <v>Normal</v>
      </c>
      <c r="M1281" s="2">
        <f t="shared" si="121"/>
        <v>63.749999999999993</v>
      </c>
      <c r="N1281" s="1" t="str">
        <f t="shared" si="122"/>
        <v>Lembab</v>
      </c>
      <c r="O1281" t="str">
        <f t="shared" si="123"/>
        <v>Fuzzy</v>
      </c>
      <c r="P1281" t="str">
        <f t="shared" si="124"/>
        <v>Fuzzy</v>
      </c>
    </row>
    <row r="1282" spans="1:16" x14ac:dyDescent="0.35">
      <c r="A1282" t="s">
        <v>1285</v>
      </c>
      <c r="B1282">
        <v>5495</v>
      </c>
      <c r="C1282">
        <v>28</v>
      </c>
      <c r="D1282">
        <v>68</v>
      </c>
      <c r="E1282">
        <v>496</v>
      </c>
      <c r="F1282">
        <v>4</v>
      </c>
      <c r="K1282" s="1">
        <f t="shared" si="125"/>
        <v>496</v>
      </c>
      <c r="L1282" s="1" t="str">
        <f t="shared" si="120"/>
        <v>Normal</v>
      </c>
      <c r="M1282" s="2">
        <f t="shared" si="121"/>
        <v>49</v>
      </c>
      <c r="N1282" s="1" t="str">
        <f t="shared" si="122"/>
        <v>Lembab</v>
      </c>
      <c r="O1282" t="str">
        <f t="shared" si="123"/>
        <v>Fuzzy</v>
      </c>
      <c r="P1282" t="str">
        <f t="shared" si="124"/>
        <v>Fuzzy</v>
      </c>
    </row>
    <row r="1283" spans="1:16" x14ac:dyDescent="0.35">
      <c r="A1283" t="s">
        <v>1286</v>
      </c>
      <c r="B1283">
        <v>5496</v>
      </c>
      <c r="C1283">
        <v>28</v>
      </c>
      <c r="D1283">
        <v>69</v>
      </c>
      <c r="E1283">
        <v>536</v>
      </c>
      <c r="F1283">
        <v>3</v>
      </c>
      <c r="K1283" s="1">
        <f t="shared" si="125"/>
        <v>536</v>
      </c>
      <c r="L1283" s="1" t="str">
        <f t="shared" ref="L1283:L1346" si="126">IF(A1282 &lt;= 10, "Dingin", IF(OR(A1282 &gt;= 10, A1282 &lt; 35), "Normal", "Panas"))</f>
        <v>Normal</v>
      </c>
      <c r="M1283" s="2">
        <f t="shared" ref="M1283:M1346" si="127">IF(K1283&lt;=300, K1283/1023*100, IF(K1283&lt;=700, (K1283-300)/(700-301+1)*100, (K1283-700)/(1023-701+1)*100))</f>
        <v>59</v>
      </c>
      <c r="N1283" s="1" t="str">
        <f t="shared" ref="N1283:N1346" si="128">IF(M1283&lt;=29.32, "Kering", IF(M1283&lt;=68.53, "Lembab", "Basah"))</f>
        <v>Lembab</v>
      </c>
      <c r="O1283" t="str">
        <f t="shared" ref="O1283:O1346" si="129">IF(OR(AND(C1283 &gt; 10, C1283 &lt; 22.5), AND(C1283 &gt;= 22.5, C1283 &lt; 35)), "Fuzzy", "")</f>
        <v>Fuzzy</v>
      </c>
      <c r="P1283" t="str">
        <f t="shared" ref="P1283:P1346" si="130">IF(OR(AND(M1283 &gt;= 0, M1283 &lt; 50), AND(M1283 &gt;= 50, M1283 &lt; 100)), "Fuzzy", "")</f>
        <v>Fuzzy</v>
      </c>
    </row>
    <row r="1284" spans="1:16" x14ac:dyDescent="0.35">
      <c r="A1284" t="s">
        <v>1287</v>
      </c>
      <c r="B1284">
        <v>5497</v>
      </c>
      <c r="C1284">
        <v>28</v>
      </c>
      <c r="D1284">
        <v>69</v>
      </c>
      <c r="E1284">
        <v>584</v>
      </c>
      <c r="F1284">
        <v>3</v>
      </c>
      <c r="K1284" s="1">
        <f t="shared" si="125"/>
        <v>584</v>
      </c>
      <c r="L1284" s="1" t="str">
        <f t="shared" si="126"/>
        <v>Normal</v>
      </c>
      <c r="M1284" s="2">
        <f t="shared" si="127"/>
        <v>71</v>
      </c>
      <c r="N1284" s="1" t="str">
        <f t="shared" si="128"/>
        <v>Basah</v>
      </c>
      <c r="O1284" t="str">
        <f t="shared" si="129"/>
        <v>Fuzzy</v>
      </c>
      <c r="P1284" t="str">
        <f t="shared" si="130"/>
        <v>Fuzzy</v>
      </c>
    </row>
    <row r="1285" spans="1:16" x14ac:dyDescent="0.35">
      <c r="A1285" t="s">
        <v>1288</v>
      </c>
      <c r="B1285">
        <v>5498</v>
      </c>
      <c r="C1285">
        <v>28</v>
      </c>
      <c r="D1285">
        <v>70</v>
      </c>
      <c r="E1285">
        <v>528</v>
      </c>
      <c r="F1285">
        <v>4</v>
      </c>
      <c r="K1285" s="1">
        <f t="shared" si="125"/>
        <v>528</v>
      </c>
      <c r="L1285" s="1" t="str">
        <f t="shared" si="126"/>
        <v>Normal</v>
      </c>
      <c r="M1285" s="2">
        <f t="shared" si="127"/>
        <v>56.999999999999993</v>
      </c>
      <c r="N1285" s="1" t="str">
        <f t="shared" si="128"/>
        <v>Lembab</v>
      </c>
      <c r="O1285" t="str">
        <f t="shared" si="129"/>
        <v>Fuzzy</v>
      </c>
      <c r="P1285" t="str">
        <f t="shared" si="130"/>
        <v>Fuzzy</v>
      </c>
    </row>
    <row r="1286" spans="1:16" x14ac:dyDescent="0.35">
      <c r="A1286" t="s">
        <v>1289</v>
      </c>
      <c r="B1286">
        <v>5499</v>
      </c>
      <c r="C1286">
        <v>28</v>
      </c>
      <c r="D1286">
        <v>70</v>
      </c>
      <c r="E1286">
        <v>527</v>
      </c>
      <c r="F1286">
        <v>4</v>
      </c>
      <c r="K1286" s="1">
        <f t="shared" si="125"/>
        <v>527</v>
      </c>
      <c r="L1286" s="1" t="str">
        <f t="shared" si="126"/>
        <v>Normal</v>
      </c>
      <c r="M1286" s="2">
        <f t="shared" si="127"/>
        <v>56.75</v>
      </c>
      <c r="N1286" s="1" t="str">
        <f t="shared" si="128"/>
        <v>Lembab</v>
      </c>
      <c r="O1286" t="str">
        <f t="shared" si="129"/>
        <v>Fuzzy</v>
      </c>
      <c r="P1286" t="str">
        <f t="shared" si="130"/>
        <v>Fuzzy</v>
      </c>
    </row>
    <row r="1287" spans="1:16" x14ac:dyDescent="0.35">
      <c r="A1287" t="s">
        <v>1290</v>
      </c>
      <c r="B1287">
        <v>5500</v>
      </c>
      <c r="C1287">
        <v>28</v>
      </c>
      <c r="D1287">
        <v>69</v>
      </c>
      <c r="E1287">
        <v>633</v>
      </c>
      <c r="F1287">
        <v>4</v>
      </c>
      <c r="K1287" s="1">
        <f t="shared" si="125"/>
        <v>633</v>
      </c>
      <c r="L1287" s="1" t="str">
        <f t="shared" si="126"/>
        <v>Normal</v>
      </c>
      <c r="M1287" s="2">
        <f t="shared" si="127"/>
        <v>83.25</v>
      </c>
      <c r="N1287" s="1" t="str">
        <f t="shared" si="128"/>
        <v>Basah</v>
      </c>
      <c r="O1287" t="str">
        <f t="shared" si="129"/>
        <v>Fuzzy</v>
      </c>
      <c r="P1287" t="str">
        <f t="shared" si="130"/>
        <v>Fuzzy</v>
      </c>
    </row>
    <row r="1288" spans="1:16" x14ac:dyDescent="0.35">
      <c r="A1288" t="s">
        <v>1291</v>
      </c>
      <c r="B1288">
        <v>5501</v>
      </c>
      <c r="C1288">
        <v>28</v>
      </c>
      <c r="D1288">
        <v>69</v>
      </c>
      <c r="E1288">
        <v>543</v>
      </c>
      <c r="F1288">
        <v>4</v>
      </c>
      <c r="K1288" s="1">
        <f t="shared" si="125"/>
        <v>543</v>
      </c>
      <c r="L1288" s="1" t="str">
        <f t="shared" si="126"/>
        <v>Normal</v>
      </c>
      <c r="M1288" s="2">
        <f t="shared" si="127"/>
        <v>60.750000000000007</v>
      </c>
      <c r="N1288" s="1" t="str">
        <f t="shared" si="128"/>
        <v>Lembab</v>
      </c>
      <c r="O1288" t="str">
        <f t="shared" si="129"/>
        <v>Fuzzy</v>
      </c>
      <c r="P1288" t="str">
        <f t="shared" si="130"/>
        <v>Fuzzy</v>
      </c>
    </row>
    <row r="1289" spans="1:16" x14ac:dyDescent="0.35">
      <c r="A1289" t="s">
        <v>1292</v>
      </c>
      <c r="B1289">
        <v>5502</v>
      </c>
      <c r="C1289">
        <v>28</v>
      </c>
      <c r="D1289">
        <v>69</v>
      </c>
      <c r="E1289">
        <v>660</v>
      </c>
      <c r="F1289">
        <v>4</v>
      </c>
      <c r="K1289" s="1">
        <f t="shared" si="125"/>
        <v>660</v>
      </c>
      <c r="L1289" s="1" t="str">
        <f t="shared" si="126"/>
        <v>Normal</v>
      </c>
      <c r="M1289" s="2">
        <f t="shared" si="127"/>
        <v>90</v>
      </c>
      <c r="N1289" s="1" t="str">
        <f t="shared" si="128"/>
        <v>Basah</v>
      </c>
      <c r="O1289" t="str">
        <f t="shared" si="129"/>
        <v>Fuzzy</v>
      </c>
      <c r="P1289" t="str">
        <f t="shared" si="130"/>
        <v>Fuzzy</v>
      </c>
    </row>
    <row r="1290" spans="1:16" x14ac:dyDescent="0.35">
      <c r="A1290" t="s">
        <v>1293</v>
      </c>
      <c r="B1290">
        <v>5503</v>
      </c>
      <c r="C1290">
        <v>28</v>
      </c>
      <c r="D1290">
        <v>70</v>
      </c>
      <c r="E1290">
        <v>619</v>
      </c>
      <c r="F1290">
        <v>4</v>
      </c>
      <c r="K1290" s="1">
        <f t="shared" si="125"/>
        <v>619</v>
      </c>
      <c r="L1290" s="1" t="str">
        <f t="shared" si="126"/>
        <v>Normal</v>
      </c>
      <c r="M1290" s="2">
        <f t="shared" si="127"/>
        <v>79.75</v>
      </c>
      <c r="N1290" s="1" t="str">
        <f t="shared" si="128"/>
        <v>Basah</v>
      </c>
      <c r="O1290" t="str">
        <f t="shared" si="129"/>
        <v>Fuzzy</v>
      </c>
      <c r="P1290" t="str">
        <f t="shared" si="130"/>
        <v>Fuzzy</v>
      </c>
    </row>
    <row r="1291" spans="1:16" x14ac:dyDescent="0.35">
      <c r="A1291" t="s">
        <v>1294</v>
      </c>
      <c r="B1291">
        <v>5504</v>
      </c>
      <c r="C1291">
        <v>28</v>
      </c>
      <c r="D1291">
        <v>69</v>
      </c>
      <c r="E1291">
        <v>572</v>
      </c>
      <c r="F1291">
        <v>4</v>
      </c>
      <c r="K1291" s="1">
        <f t="shared" si="125"/>
        <v>572</v>
      </c>
      <c r="L1291" s="1" t="str">
        <f t="shared" si="126"/>
        <v>Normal</v>
      </c>
      <c r="M1291" s="2">
        <f t="shared" si="127"/>
        <v>68</v>
      </c>
      <c r="N1291" s="1" t="str">
        <f t="shared" si="128"/>
        <v>Lembab</v>
      </c>
      <c r="O1291" t="str">
        <f t="shared" si="129"/>
        <v>Fuzzy</v>
      </c>
      <c r="P1291" t="str">
        <f t="shared" si="130"/>
        <v>Fuzzy</v>
      </c>
    </row>
    <row r="1292" spans="1:16" x14ac:dyDescent="0.35">
      <c r="A1292" t="s">
        <v>1295</v>
      </c>
      <c r="B1292">
        <v>5505</v>
      </c>
      <c r="C1292">
        <v>28</v>
      </c>
      <c r="D1292">
        <v>69</v>
      </c>
      <c r="E1292">
        <v>496</v>
      </c>
      <c r="F1292">
        <v>4</v>
      </c>
      <c r="K1292" s="1">
        <f t="shared" si="125"/>
        <v>496</v>
      </c>
      <c r="L1292" s="1" t="str">
        <f t="shared" si="126"/>
        <v>Normal</v>
      </c>
      <c r="M1292" s="2">
        <f t="shared" si="127"/>
        <v>49</v>
      </c>
      <c r="N1292" s="1" t="str">
        <f t="shared" si="128"/>
        <v>Lembab</v>
      </c>
      <c r="O1292" t="str">
        <f t="shared" si="129"/>
        <v>Fuzzy</v>
      </c>
      <c r="P1292" t="str">
        <f t="shared" si="130"/>
        <v>Fuzzy</v>
      </c>
    </row>
    <row r="1293" spans="1:16" x14ac:dyDescent="0.35">
      <c r="A1293" t="s">
        <v>1296</v>
      </c>
      <c r="B1293">
        <v>5506</v>
      </c>
      <c r="C1293">
        <v>28</v>
      </c>
      <c r="D1293">
        <v>69</v>
      </c>
      <c r="E1293">
        <v>574</v>
      </c>
      <c r="F1293">
        <v>4</v>
      </c>
      <c r="K1293" s="1">
        <f t="shared" ref="K1293:K1356" si="131">IF(E1293&lt;=1023, E1293, "")</f>
        <v>574</v>
      </c>
      <c r="L1293" s="1" t="str">
        <f t="shared" si="126"/>
        <v>Normal</v>
      </c>
      <c r="M1293" s="2">
        <f t="shared" si="127"/>
        <v>68.5</v>
      </c>
      <c r="N1293" s="1" t="str">
        <f t="shared" si="128"/>
        <v>Lembab</v>
      </c>
      <c r="O1293" t="str">
        <f t="shared" si="129"/>
        <v>Fuzzy</v>
      </c>
      <c r="P1293" t="str">
        <f t="shared" si="130"/>
        <v>Fuzzy</v>
      </c>
    </row>
    <row r="1294" spans="1:16" x14ac:dyDescent="0.35">
      <c r="A1294" t="s">
        <v>1297</v>
      </c>
      <c r="B1294">
        <v>5507</v>
      </c>
      <c r="C1294">
        <v>28</v>
      </c>
      <c r="D1294">
        <v>70</v>
      </c>
      <c r="E1294">
        <v>382</v>
      </c>
      <c r="F1294">
        <v>4</v>
      </c>
      <c r="K1294" s="1">
        <f t="shared" si="131"/>
        <v>382</v>
      </c>
      <c r="L1294" s="1" t="str">
        <f t="shared" si="126"/>
        <v>Normal</v>
      </c>
      <c r="M1294" s="2">
        <f t="shared" si="127"/>
        <v>20.5</v>
      </c>
      <c r="N1294" s="1" t="str">
        <f t="shared" si="128"/>
        <v>Kering</v>
      </c>
      <c r="O1294" t="str">
        <f t="shared" si="129"/>
        <v>Fuzzy</v>
      </c>
      <c r="P1294" t="str">
        <f t="shared" si="130"/>
        <v>Fuzzy</v>
      </c>
    </row>
    <row r="1295" spans="1:16" x14ac:dyDescent="0.35">
      <c r="A1295" t="s">
        <v>1298</v>
      </c>
      <c r="B1295">
        <v>5508</v>
      </c>
      <c r="C1295">
        <v>28</v>
      </c>
      <c r="D1295">
        <v>69</v>
      </c>
      <c r="E1295">
        <v>562</v>
      </c>
      <c r="F1295">
        <v>4</v>
      </c>
      <c r="K1295" s="1">
        <f t="shared" si="131"/>
        <v>562</v>
      </c>
      <c r="L1295" s="1" t="str">
        <f t="shared" si="126"/>
        <v>Normal</v>
      </c>
      <c r="M1295" s="2">
        <f t="shared" si="127"/>
        <v>65.5</v>
      </c>
      <c r="N1295" s="1" t="str">
        <f t="shared" si="128"/>
        <v>Lembab</v>
      </c>
      <c r="O1295" t="str">
        <f t="shared" si="129"/>
        <v>Fuzzy</v>
      </c>
      <c r="P1295" t="str">
        <f t="shared" si="130"/>
        <v>Fuzzy</v>
      </c>
    </row>
    <row r="1296" spans="1:16" x14ac:dyDescent="0.35">
      <c r="A1296" t="s">
        <v>1299</v>
      </c>
      <c r="B1296">
        <v>5509</v>
      </c>
      <c r="C1296">
        <v>28</v>
      </c>
      <c r="D1296">
        <v>69</v>
      </c>
      <c r="E1296">
        <v>620</v>
      </c>
      <c r="F1296">
        <v>4</v>
      </c>
      <c r="K1296" s="1">
        <f t="shared" si="131"/>
        <v>620</v>
      </c>
      <c r="L1296" s="1" t="str">
        <f t="shared" si="126"/>
        <v>Normal</v>
      </c>
      <c r="M1296" s="2">
        <f t="shared" si="127"/>
        <v>80</v>
      </c>
      <c r="N1296" s="1" t="str">
        <f t="shared" si="128"/>
        <v>Basah</v>
      </c>
      <c r="O1296" t="str">
        <f t="shared" si="129"/>
        <v>Fuzzy</v>
      </c>
      <c r="P1296" t="str">
        <f t="shared" si="130"/>
        <v>Fuzzy</v>
      </c>
    </row>
    <row r="1297" spans="1:16" x14ac:dyDescent="0.35">
      <c r="A1297" t="s">
        <v>1300</v>
      </c>
      <c r="B1297">
        <v>5510</v>
      </c>
      <c r="C1297">
        <v>28</v>
      </c>
      <c r="D1297">
        <v>69</v>
      </c>
      <c r="E1297">
        <v>802</v>
      </c>
      <c r="F1297">
        <v>3</v>
      </c>
      <c r="K1297" s="1">
        <f t="shared" si="131"/>
        <v>802</v>
      </c>
      <c r="L1297" s="1" t="str">
        <f t="shared" si="126"/>
        <v>Normal</v>
      </c>
      <c r="M1297" s="2">
        <f t="shared" si="127"/>
        <v>31.578947368421051</v>
      </c>
      <c r="N1297" s="1" t="str">
        <f t="shared" si="128"/>
        <v>Lembab</v>
      </c>
      <c r="O1297" t="str">
        <f t="shared" si="129"/>
        <v>Fuzzy</v>
      </c>
      <c r="P1297" t="str">
        <f t="shared" si="130"/>
        <v>Fuzzy</v>
      </c>
    </row>
    <row r="1298" spans="1:16" x14ac:dyDescent="0.35">
      <c r="A1298" t="s">
        <v>1301</v>
      </c>
      <c r="B1298">
        <v>5511</v>
      </c>
      <c r="C1298">
        <v>28</v>
      </c>
      <c r="D1298">
        <v>69</v>
      </c>
      <c r="E1298">
        <v>546</v>
      </c>
      <c r="F1298">
        <v>4</v>
      </c>
      <c r="K1298" s="1">
        <f t="shared" si="131"/>
        <v>546</v>
      </c>
      <c r="L1298" s="1" t="str">
        <f t="shared" si="126"/>
        <v>Normal</v>
      </c>
      <c r="M1298" s="2">
        <f t="shared" si="127"/>
        <v>61.5</v>
      </c>
      <c r="N1298" s="1" t="str">
        <f t="shared" si="128"/>
        <v>Lembab</v>
      </c>
      <c r="O1298" t="str">
        <f t="shared" si="129"/>
        <v>Fuzzy</v>
      </c>
      <c r="P1298" t="str">
        <f t="shared" si="130"/>
        <v>Fuzzy</v>
      </c>
    </row>
    <row r="1299" spans="1:16" x14ac:dyDescent="0.35">
      <c r="A1299" t="s">
        <v>1302</v>
      </c>
      <c r="B1299">
        <v>5512</v>
      </c>
      <c r="C1299">
        <v>28</v>
      </c>
      <c r="D1299">
        <v>69</v>
      </c>
      <c r="E1299">
        <v>694</v>
      </c>
      <c r="F1299">
        <v>4</v>
      </c>
      <c r="K1299" s="1">
        <f t="shared" si="131"/>
        <v>694</v>
      </c>
      <c r="L1299" s="1" t="str">
        <f t="shared" si="126"/>
        <v>Normal</v>
      </c>
      <c r="M1299" s="2">
        <f t="shared" si="127"/>
        <v>98.5</v>
      </c>
      <c r="N1299" s="1" t="str">
        <f t="shared" si="128"/>
        <v>Basah</v>
      </c>
      <c r="O1299" t="str">
        <f t="shared" si="129"/>
        <v>Fuzzy</v>
      </c>
      <c r="P1299" t="str">
        <f t="shared" si="130"/>
        <v>Fuzzy</v>
      </c>
    </row>
    <row r="1300" spans="1:16" x14ac:dyDescent="0.35">
      <c r="A1300" t="s">
        <v>1303</v>
      </c>
      <c r="B1300">
        <v>5513</v>
      </c>
      <c r="C1300">
        <v>28</v>
      </c>
      <c r="D1300">
        <v>68</v>
      </c>
      <c r="E1300">
        <v>567</v>
      </c>
      <c r="F1300">
        <v>4</v>
      </c>
      <c r="K1300" s="1">
        <f t="shared" si="131"/>
        <v>567</v>
      </c>
      <c r="L1300" s="1" t="str">
        <f t="shared" si="126"/>
        <v>Normal</v>
      </c>
      <c r="M1300" s="2">
        <f t="shared" si="127"/>
        <v>66.75</v>
      </c>
      <c r="N1300" s="1" t="str">
        <f t="shared" si="128"/>
        <v>Lembab</v>
      </c>
      <c r="O1300" t="str">
        <f t="shared" si="129"/>
        <v>Fuzzy</v>
      </c>
      <c r="P1300" t="str">
        <f t="shared" si="130"/>
        <v>Fuzzy</v>
      </c>
    </row>
    <row r="1301" spans="1:16" x14ac:dyDescent="0.35">
      <c r="A1301" t="s">
        <v>1304</v>
      </c>
      <c r="B1301">
        <v>5514</v>
      </c>
      <c r="C1301">
        <v>28</v>
      </c>
      <c r="D1301">
        <v>67</v>
      </c>
      <c r="E1301">
        <v>599</v>
      </c>
      <c r="F1301">
        <v>4</v>
      </c>
      <c r="K1301" s="1">
        <f t="shared" si="131"/>
        <v>599</v>
      </c>
      <c r="L1301" s="1" t="str">
        <f t="shared" si="126"/>
        <v>Normal</v>
      </c>
      <c r="M1301" s="2">
        <f t="shared" si="127"/>
        <v>74.75</v>
      </c>
      <c r="N1301" s="1" t="str">
        <f t="shared" si="128"/>
        <v>Basah</v>
      </c>
      <c r="O1301" t="str">
        <f t="shared" si="129"/>
        <v>Fuzzy</v>
      </c>
      <c r="P1301" t="str">
        <f t="shared" si="130"/>
        <v>Fuzzy</v>
      </c>
    </row>
    <row r="1302" spans="1:16" x14ac:dyDescent="0.35">
      <c r="A1302" t="s">
        <v>1305</v>
      </c>
      <c r="B1302">
        <v>5515</v>
      </c>
      <c r="C1302">
        <v>28</v>
      </c>
      <c r="D1302">
        <v>66</v>
      </c>
      <c r="E1302">
        <v>582</v>
      </c>
      <c r="F1302">
        <v>4</v>
      </c>
      <c r="K1302" s="1">
        <f t="shared" si="131"/>
        <v>582</v>
      </c>
      <c r="L1302" s="1" t="str">
        <f t="shared" si="126"/>
        <v>Normal</v>
      </c>
      <c r="M1302" s="2">
        <f t="shared" si="127"/>
        <v>70.5</v>
      </c>
      <c r="N1302" s="1" t="str">
        <f t="shared" si="128"/>
        <v>Basah</v>
      </c>
      <c r="O1302" t="str">
        <f t="shared" si="129"/>
        <v>Fuzzy</v>
      </c>
      <c r="P1302" t="str">
        <f t="shared" si="130"/>
        <v>Fuzzy</v>
      </c>
    </row>
    <row r="1303" spans="1:16" x14ac:dyDescent="0.35">
      <c r="A1303" t="s">
        <v>1306</v>
      </c>
      <c r="B1303">
        <v>5516</v>
      </c>
      <c r="C1303">
        <v>28</v>
      </c>
      <c r="D1303">
        <v>67</v>
      </c>
      <c r="E1303">
        <v>580</v>
      </c>
      <c r="F1303">
        <v>3</v>
      </c>
      <c r="K1303" s="1">
        <f t="shared" si="131"/>
        <v>580</v>
      </c>
      <c r="L1303" s="1" t="str">
        <f t="shared" si="126"/>
        <v>Normal</v>
      </c>
      <c r="M1303" s="2">
        <f t="shared" si="127"/>
        <v>70</v>
      </c>
      <c r="N1303" s="1" t="str">
        <f t="shared" si="128"/>
        <v>Basah</v>
      </c>
      <c r="O1303" t="str">
        <f t="shared" si="129"/>
        <v>Fuzzy</v>
      </c>
      <c r="P1303" t="str">
        <f t="shared" si="130"/>
        <v>Fuzzy</v>
      </c>
    </row>
    <row r="1304" spans="1:16" x14ac:dyDescent="0.35">
      <c r="A1304" t="s">
        <v>1307</v>
      </c>
      <c r="B1304">
        <v>5517</v>
      </c>
      <c r="C1304">
        <v>28</v>
      </c>
      <c r="D1304">
        <v>67</v>
      </c>
      <c r="E1304">
        <v>571</v>
      </c>
      <c r="F1304">
        <v>4</v>
      </c>
      <c r="K1304" s="1">
        <f t="shared" si="131"/>
        <v>571</v>
      </c>
      <c r="L1304" s="1" t="str">
        <f t="shared" si="126"/>
        <v>Normal</v>
      </c>
      <c r="M1304" s="2">
        <f t="shared" si="127"/>
        <v>67.75</v>
      </c>
      <c r="N1304" s="1" t="str">
        <f t="shared" si="128"/>
        <v>Lembab</v>
      </c>
      <c r="O1304" t="str">
        <f t="shared" si="129"/>
        <v>Fuzzy</v>
      </c>
      <c r="P1304" t="str">
        <f t="shared" si="130"/>
        <v>Fuzzy</v>
      </c>
    </row>
    <row r="1305" spans="1:16" x14ac:dyDescent="0.35">
      <c r="A1305" t="s">
        <v>1308</v>
      </c>
      <c r="B1305">
        <v>5518</v>
      </c>
      <c r="C1305">
        <v>28</v>
      </c>
      <c r="D1305">
        <v>68</v>
      </c>
      <c r="E1305">
        <v>793</v>
      </c>
      <c r="F1305">
        <v>4</v>
      </c>
      <c r="K1305" s="1">
        <f t="shared" si="131"/>
        <v>793</v>
      </c>
      <c r="L1305" s="1" t="str">
        <f t="shared" si="126"/>
        <v>Normal</v>
      </c>
      <c r="M1305" s="2">
        <f t="shared" si="127"/>
        <v>28.792569659442723</v>
      </c>
      <c r="N1305" s="1" t="str">
        <f t="shared" si="128"/>
        <v>Kering</v>
      </c>
      <c r="O1305" t="str">
        <f t="shared" si="129"/>
        <v>Fuzzy</v>
      </c>
      <c r="P1305" t="str">
        <f t="shared" si="130"/>
        <v>Fuzzy</v>
      </c>
    </row>
    <row r="1306" spans="1:16" x14ac:dyDescent="0.35">
      <c r="A1306" t="s">
        <v>1309</v>
      </c>
      <c r="B1306">
        <v>5519</v>
      </c>
      <c r="C1306">
        <v>28</v>
      </c>
      <c r="D1306">
        <v>68</v>
      </c>
      <c r="E1306">
        <v>590</v>
      </c>
      <c r="F1306">
        <v>4</v>
      </c>
      <c r="K1306" s="1">
        <f t="shared" si="131"/>
        <v>590</v>
      </c>
      <c r="L1306" s="1" t="str">
        <f t="shared" si="126"/>
        <v>Normal</v>
      </c>
      <c r="M1306" s="2">
        <f t="shared" si="127"/>
        <v>72.5</v>
      </c>
      <c r="N1306" s="1" t="str">
        <f t="shared" si="128"/>
        <v>Basah</v>
      </c>
      <c r="O1306" t="str">
        <f t="shared" si="129"/>
        <v>Fuzzy</v>
      </c>
      <c r="P1306" t="str">
        <f t="shared" si="130"/>
        <v>Fuzzy</v>
      </c>
    </row>
    <row r="1307" spans="1:16" x14ac:dyDescent="0.35">
      <c r="A1307" t="s">
        <v>1310</v>
      </c>
      <c r="B1307">
        <v>5520</v>
      </c>
      <c r="C1307">
        <v>28</v>
      </c>
      <c r="D1307">
        <v>69</v>
      </c>
      <c r="E1307">
        <v>509</v>
      </c>
      <c r="F1307">
        <v>4</v>
      </c>
      <c r="K1307" s="1">
        <f t="shared" si="131"/>
        <v>509</v>
      </c>
      <c r="L1307" s="1" t="str">
        <f t="shared" si="126"/>
        <v>Normal</v>
      </c>
      <c r="M1307" s="2">
        <f t="shared" si="127"/>
        <v>52.25</v>
      </c>
      <c r="N1307" s="1" t="str">
        <f t="shared" si="128"/>
        <v>Lembab</v>
      </c>
      <c r="O1307" t="str">
        <f t="shared" si="129"/>
        <v>Fuzzy</v>
      </c>
      <c r="P1307" t="str">
        <f t="shared" si="130"/>
        <v>Fuzzy</v>
      </c>
    </row>
    <row r="1308" spans="1:16" x14ac:dyDescent="0.35">
      <c r="A1308" t="s">
        <v>1311</v>
      </c>
      <c r="B1308">
        <v>5521</v>
      </c>
      <c r="C1308">
        <v>28</v>
      </c>
      <c r="D1308">
        <v>69</v>
      </c>
      <c r="E1308">
        <v>549</v>
      </c>
      <c r="F1308">
        <v>3</v>
      </c>
      <c r="K1308" s="1">
        <f t="shared" si="131"/>
        <v>549</v>
      </c>
      <c r="L1308" s="1" t="str">
        <f t="shared" si="126"/>
        <v>Normal</v>
      </c>
      <c r="M1308" s="2">
        <f t="shared" si="127"/>
        <v>62.250000000000007</v>
      </c>
      <c r="N1308" s="1" t="str">
        <f t="shared" si="128"/>
        <v>Lembab</v>
      </c>
      <c r="O1308" t="str">
        <f t="shared" si="129"/>
        <v>Fuzzy</v>
      </c>
      <c r="P1308" t="str">
        <f t="shared" si="130"/>
        <v>Fuzzy</v>
      </c>
    </row>
    <row r="1309" spans="1:16" x14ac:dyDescent="0.35">
      <c r="A1309" t="s">
        <v>1312</v>
      </c>
      <c r="B1309">
        <v>5522</v>
      </c>
      <c r="C1309">
        <v>28</v>
      </c>
      <c r="D1309">
        <v>69</v>
      </c>
      <c r="E1309">
        <v>591</v>
      </c>
      <c r="F1309">
        <v>4</v>
      </c>
      <c r="K1309" s="1">
        <f t="shared" si="131"/>
        <v>591</v>
      </c>
      <c r="L1309" s="1" t="str">
        <f t="shared" si="126"/>
        <v>Normal</v>
      </c>
      <c r="M1309" s="2">
        <f t="shared" si="127"/>
        <v>72.75</v>
      </c>
      <c r="N1309" s="1" t="str">
        <f t="shared" si="128"/>
        <v>Basah</v>
      </c>
      <c r="O1309" t="str">
        <f t="shared" si="129"/>
        <v>Fuzzy</v>
      </c>
      <c r="P1309" t="str">
        <f t="shared" si="130"/>
        <v>Fuzzy</v>
      </c>
    </row>
    <row r="1310" spans="1:16" x14ac:dyDescent="0.35">
      <c r="A1310" t="s">
        <v>1313</v>
      </c>
      <c r="B1310">
        <v>5523</v>
      </c>
      <c r="C1310">
        <v>28</v>
      </c>
      <c r="D1310">
        <v>69</v>
      </c>
      <c r="E1310">
        <v>575</v>
      </c>
      <c r="F1310">
        <v>4</v>
      </c>
      <c r="K1310" s="1">
        <f t="shared" si="131"/>
        <v>575</v>
      </c>
      <c r="L1310" s="1" t="str">
        <f t="shared" si="126"/>
        <v>Normal</v>
      </c>
      <c r="M1310" s="2">
        <f t="shared" si="127"/>
        <v>68.75</v>
      </c>
      <c r="N1310" s="1" t="str">
        <f t="shared" si="128"/>
        <v>Basah</v>
      </c>
      <c r="O1310" t="str">
        <f t="shared" si="129"/>
        <v>Fuzzy</v>
      </c>
      <c r="P1310" t="str">
        <f t="shared" si="130"/>
        <v>Fuzzy</v>
      </c>
    </row>
    <row r="1311" spans="1:16" x14ac:dyDescent="0.35">
      <c r="A1311" t="s">
        <v>1314</v>
      </c>
      <c r="B1311">
        <v>5524</v>
      </c>
      <c r="C1311">
        <v>28</v>
      </c>
      <c r="D1311">
        <v>70</v>
      </c>
      <c r="E1311">
        <v>648</v>
      </c>
      <c r="F1311">
        <v>3</v>
      </c>
      <c r="K1311" s="1">
        <f t="shared" si="131"/>
        <v>648</v>
      </c>
      <c r="L1311" s="1" t="str">
        <f t="shared" si="126"/>
        <v>Normal</v>
      </c>
      <c r="M1311" s="2">
        <f t="shared" si="127"/>
        <v>87</v>
      </c>
      <c r="N1311" s="1" t="str">
        <f t="shared" si="128"/>
        <v>Basah</v>
      </c>
      <c r="O1311" t="str">
        <f t="shared" si="129"/>
        <v>Fuzzy</v>
      </c>
      <c r="P1311" t="str">
        <f t="shared" si="130"/>
        <v>Fuzzy</v>
      </c>
    </row>
    <row r="1312" spans="1:16" x14ac:dyDescent="0.35">
      <c r="A1312" t="s">
        <v>1315</v>
      </c>
      <c r="B1312">
        <v>5525</v>
      </c>
      <c r="C1312">
        <v>28</v>
      </c>
      <c r="D1312">
        <v>70</v>
      </c>
      <c r="E1312">
        <v>569</v>
      </c>
      <c r="F1312">
        <v>4</v>
      </c>
      <c r="K1312" s="1">
        <f t="shared" si="131"/>
        <v>569</v>
      </c>
      <c r="L1312" s="1" t="str">
        <f t="shared" si="126"/>
        <v>Normal</v>
      </c>
      <c r="M1312" s="2">
        <f t="shared" si="127"/>
        <v>67.25</v>
      </c>
      <c r="N1312" s="1" t="str">
        <f t="shared" si="128"/>
        <v>Lembab</v>
      </c>
      <c r="O1312" t="str">
        <f t="shared" si="129"/>
        <v>Fuzzy</v>
      </c>
      <c r="P1312" t="str">
        <f t="shared" si="130"/>
        <v>Fuzzy</v>
      </c>
    </row>
    <row r="1313" spans="1:16" x14ac:dyDescent="0.35">
      <c r="A1313" t="s">
        <v>1316</v>
      </c>
      <c r="B1313">
        <v>5526</v>
      </c>
      <c r="C1313">
        <v>28</v>
      </c>
      <c r="D1313">
        <v>70</v>
      </c>
      <c r="E1313">
        <v>623</v>
      </c>
      <c r="F1313">
        <v>3</v>
      </c>
      <c r="K1313" s="1">
        <f t="shared" si="131"/>
        <v>623</v>
      </c>
      <c r="L1313" s="1" t="str">
        <f t="shared" si="126"/>
        <v>Normal</v>
      </c>
      <c r="M1313" s="2">
        <f t="shared" si="127"/>
        <v>80.75</v>
      </c>
      <c r="N1313" s="1" t="str">
        <f t="shared" si="128"/>
        <v>Basah</v>
      </c>
      <c r="O1313" t="str">
        <f t="shared" si="129"/>
        <v>Fuzzy</v>
      </c>
      <c r="P1313" t="str">
        <f t="shared" si="130"/>
        <v>Fuzzy</v>
      </c>
    </row>
    <row r="1314" spans="1:16" x14ac:dyDescent="0.35">
      <c r="A1314" t="s">
        <v>1317</v>
      </c>
      <c r="B1314">
        <v>5527</v>
      </c>
      <c r="C1314">
        <v>28</v>
      </c>
      <c r="D1314">
        <v>70</v>
      </c>
      <c r="E1314">
        <v>617</v>
      </c>
      <c r="F1314">
        <v>4</v>
      </c>
      <c r="K1314" s="1">
        <f t="shared" si="131"/>
        <v>617</v>
      </c>
      <c r="L1314" s="1" t="str">
        <f t="shared" si="126"/>
        <v>Normal</v>
      </c>
      <c r="M1314" s="2">
        <f t="shared" si="127"/>
        <v>79.25</v>
      </c>
      <c r="N1314" s="1" t="str">
        <f t="shared" si="128"/>
        <v>Basah</v>
      </c>
      <c r="O1314" t="str">
        <f t="shared" si="129"/>
        <v>Fuzzy</v>
      </c>
      <c r="P1314" t="str">
        <f t="shared" si="130"/>
        <v>Fuzzy</v>
      </c>
    </row>
    <row r="1315" spans="1:16" x14ac:dyDescent="0.35">
      <c r="A1315" t="s">
        <v>1318</v>
      </c>
      <c r="B1315">
        <v>5528</v>
      </c>
      <c r="C1315">
        <v>28</v>
      </c>
      <c r="D1315">
        <v>70</v>
      </c>
      <c r="E1315">
        <v>658</v>
      </c>
      <c r="F1315">
        <v>4</v>
      </c>
      <c r="K1315" s="1">
        <f t="shared" si="131"/>
        <v>658</v>
      </c>
      <c r="L1315" s="1" t="str">
        <f t="shared" si="126"/>
        <v>Normal</v>
      </c>
      <c r="M1315" s="2">
        <f t="shared" si="127"/>
        <v>89.5</v>
      </c>
      <c r="N1315" s="1" t="str">
        <f t="shared" si="128"/>
        <v>Basah</v>
      </c>
      <c r="O1315" t="str">
        <f t="shared" si="129"/>
        <v>Fuzzy</v>
      </c>
      <c r="P1315" t="str">
        <f t="shared" si="130"/>
        <v>Fuzzy</v>
      </c>
    </row>
    <row r="1316" spans="1:16" x14ac:dyDescent="0.35">
      <c r="A1316" t="s">
        <v>1319</v>
      </c>
      <c r="B1316">
        <v>5529</v>
      </c>
      <c r="C1316">
        <v>28</v>
      </c>
      <c r="D1316">
        <v>70</v>
      </c>
      <c r="E1316">
        <v>596</v>
      </c>
      <c r="F1316">
        <v>3</v>
      </c>
      <c r="K1316" s="1">
        <f t="shared" si="131"/>
        <v>596</v>
      </c>
      <c r="L1316" s="1" t="str">
        <f t="shared" si="126"/>
        <v>Normal</v>
      </c>
      <c r="M1316" s="2">
        <f t="shared" si="127"/>
        <v>74</v>
      </c>
      <c r="N1316" s="1" t="str">
        <f t="shared" si="128"/>
        <v>Basah</v>
      </c>
      <c r="O1316" t="str">
        <f t="shared" si="129"/>
        <v>Fuzzy</v>
      </c>
      <c r="P1316" t="str">
        <f t="shared" si="130"/>
        <v>Fuzzy</v>
      </c>
    </row>
    <row r="1317" spans="1:16" x14ac:dyDescent="0.35">
      <c r="A1317" t="s">
        <v>1320</v>
      </c>
      <c r="B1317">
        <v>5530</v>
      </c>
      <c r="C1317">
        <v>28</v>
      </c>
      <c r="D1317">
        <v>70</v>
      </c>
      <c r="E1317">
        <v>495</v>
      </c>
      <c r="F1317">
        <v>4</v>
      </c>
      <c r="K1317" s="1">
        <f t="shared" si="131"/>
        <v>495</v>
      </c>
      <c r="L1317" s="1" t="str">
        <f t="shared" si="126"/>
        <v>Normal</v>
      </c>
      <c r="M1317" s="2">
        <f t="shared" si="127"/>
        <v>48.75</v>
      </c>
      <c r="N1317" s="1" t="str">
        <f t="shared" si="128"/>
        <v>Lembab</v>
      </c>
      <c r="O1317" t="str">
        <f t="shared" si="129"/>
        <v>Fuzzy</v>
      </c>
      <c r="P1317" t="str">
        <f t="shared" si="130"/>
        <v>Fuzzy</v>
      </c>
    </row>
    <row r="1318" spans="1:16" x14ac:dyDescent="0.35">
      <c r="A1318" t="s">
        <v>1321</v>
      </c>
      <c r="B1318">
        <v>5531</v>
      </c>
      <c r="C1318">
        <v>28</v>
      </c>
      <c r="D1318">
        <v>70</v>
      </c>
      <c r="E1318">
        <v>562</v>
      </c>
      <c r="F1318">
        <v>3</v>
      </c>
      <c r="K1318" s="1">
        <f t="shared" si="131"/>
        <v>562</v>
      </c>
      <c r="L1318" s="1" t="str">
        <f t="shared" si="126"/>
        <v>Normal</v>
      </c>
      <c r="M1318" s="2">
        <f t="shared" si="127"/>
        <v>65.5</v>
      </c>
      <c r="N1318" s="1" t="str">
        <f t="shared" si="128"/>
        <v>Lembab</v>
      </c>
      <c r="O1318" t="str">
        <f t="shared" si="129"/>
        <v>Fuzzy</v>
      </c>
      <c r="P1318" t="str">
        <f t="shared" si="130"/>
        <v>Fuzzy</v>
      </c>
    </row>
    <row r="1319" spans="1:16" x14ac:dyDescent="0.35">
      <c r="A1319" t="s">
        <v>1322</v>
      </c>
      <c r="B1319">
        <v>5532</v>
      </c>
      <c r="C1319">
        <v>28</v>
      </c>
      <c r="D1319">
        <v>70</v>
      </c>
      <c r="E1319">
        <v>523</v>
      </c>
      <c r="F1319">
        <v>3</v>
      </c>
      <c r="K1319" s="1">
        <f t="shared" si="131"/>
        <v>523</v>
      </c>
      <c r="L1319" s="1" t="str">
        <f t="shared" si="126"/>
        <v>Normal</v>
      </c>
      <c r="M1319" s="2">
        <f t="shared" si="127"/>
        <v>55.75</v>
      </c>
      <c r="N1319" s="1" t="str">
        <f t="shared" si="128"/>
        <v>Lembab</v>
      </c>
      <c r="O1319" t="str">
        <f t="shared" si="129"/>
        <v>Fuzzy</v>
      </c>
      <c r="P1319" t="str">
        <f t="shared" si="130"/>
        <v>Fuzzy</v>
      </c>
    </row>
    <row r="1320" spans="1:16" x14ac:dyDescent="0.35">
      <c r="A1320" t="s">
        <v>1323</v>
      </c>
      <c r="B1320">
        <v>5533</v>
      </c>
      <c r="C1320">
        <v>28</v>
      </c>
      <c r="D1320">
        <v>69</v>
      </c>
      <c r="E1320">
        <v>576</v>
      </c>
      <c r="F1320">
        <v>3</v>
      </c>
      <c r="K1320" s="1">
        <f t="shared" si="131"/>
        <v>576</v>
      </c>
      <c r="L1320" s="1" t="str">
        <f t="shared" si="126"/>
        <v>Normal</v>
      </c>
      <c r="M1320" s="2">
        <f t="shared" si="127"/>
        <v>69</v>
      </c>
      <c r="N1320" s="1" t="str">
        <f t="shared" si="128"/>
        <v>Basah</v>
      </c>
      <c r="O1320" t="str">
        <f t="shared" si="129"/>
        <v>Fuzzy</v>
      </c>
      <c r="P1320" t="str">
        <f t="shared" si="130"/>
        <v>Fuzzy</v>
      </c>
    </row>
    <row r="1321" spans="1:16" x14ac:dyDescent="0.35">
      <c r="A1321" t="s">
        <v>1324</v>
      </c>
      <c r="B1321">
        <v>5534</v>
      </c>
      <c r="C1321">
        <v>28</v>
      </c>
      <c r="D1321">
        <v>69</v>
      </c>
      <c r="E1321">
        <v>582</v>
      </c>
      <c r="F1321">
        <v>4</v>
      </c>
      <c r="K1321" s="1">
        <f t="shared" si="131"/>
        <v>582</v>
      </c>
      <c r="L1321" s="1" t="str">
        <f t="shared" si="126"/>
        <v>Normal</v>
      </c>
      <c r="M1321" s="2">
        <f t="shared" si="127"/>
        <v>70.5</v>
      </c>
      <c r="N1321" s="1" t="str">
        <f t="shared" si="128"/>
        <v>Basah</v>
      </c>
      <c r="O1321" t="str">
        <f t="shared" si="129"/>
        <v>Fuzzy</v>
      </c>
      <c r="P1321" t="str">
        <f t="shared" si="130"/>
        <v>Fuzzy</v>
      </c>
    </row>
    <row r="1322" spans="1:16" x14ac:dyDescent="0.35">
      <c r="A1322" t="s">
        <v>1325</v>
      </c>
      <c r="B1322">
        <v>5535</v>
      </c>
      <c r="C1322">
        <v>28</v>
      </c>
      <c r="D1322">
        <v>69</v>
      </c>
      <c r="E1322">
        <v>677</v>
      </c>
      <c r="F1322">
        <v>3</v>
      </c>
      <c r="K1322" s="1">
        <f t="shared" si="131"/>
        <v>677</v>
      </c>
      <c r="L1322" s="1" t="str">
        <f t="shared" si="126"/>
        <v>Normal</v>
      </c>
      <c r="M1322" s="2">
        <f t="shared" si="127"/>
        <v>94.25</v>
      </c>
      <c r="N1322" s="1" t="str">
        <f t="shared" si="128"/>
        <v>Basah</v>
      </c>
      <c r="O1322" t="str">
        <f t="shared" si="129"/>
        <v>Fuzzy</v>
      </c>
      <c r="P1322" t="str">
        <f t="shared" si="130"/>
        <v>Fuzzy</v>
      </c>
    </row>
    <row r="1323" spans="1:16" x14ac:dyDescent="0.35">
      <c r="A1323" t="s">
        <v>1326</v>
      </c>
      <c r="B1323">
        <v>5536</v>
      </c>
      <c r="C1323">
        <v>28</v>
      </c>
      <c r="D1323">
        <v>69</v>
      </c>
      <c r="E1323">
        <v>584</v>
      </c>
      <c r="F1323">
        <v>4</v>
      </c>
      <c r="K1323" s="1">
        <f t="shared" si="131"/>
        <v>584</v>
      </c>
      <c r="L1323" s="1" t="str">
        <f t="shared" si="126"/>
        <v>Normal</v>
      </c>
      <c r="M1323" s="2">
        <f t="shared" si="127"/>
        <v>71</v>
      </c>
      <c r="N1323" s="1" t="str">
        <f t="shared" si="128"/>
        <v>Basah</v>
      </c>
      <c r="O1323" t="str">
        <f t="shared" si="129"/>
        <v>Fuzzy</v>
      </c>
      <c r="P1323" t="str">
        <f t="shared" si="130"/>
        <v>Fuzzy</v>
      </c>
    </row>
    <row r="1324" spans="1:16" x14ac:dyDescent="0.35">
      <c r="A1324" t="s">
        <v>1327</v>
      </c>
      <c r="B1324">
        <v>5537</v>
      </c>
      <c r="C1324">
        <v>28</v>
      </c>
      <c r="D1324">
        <v>69</v>
      </c>
      <c r="E1324">
        <v>700</v>
      </c>
      <c r="F1324">
        <v>4</v>
      </c>
      <c r="K1324" s="1">
        <f t="shared" si="131"/>
        <v>700</v>
      </c>
      <c r="L1324" s="1" t="str">
        <f t="shared" si="126"/>
        <v>Normal</v>
      </c>
      <c r="M1324" s="2">
        <f t="shared" si="127"/>
        <v>100</v>
      </c>
      <c r="N1324" s="1" t="str">
        <f t="shared" si="128"/>
        <v>Basah</v>
      </c>
      <c r="O1324" t="str">
        <f t="shared" si="129"/>
        <v>Fuzzy</v>
      </c>
      <c r="P1324" t="str">
        <f t="shared" si="130"/>
        <v/>
      </c>
    </row>
    <row r="1325" spans="1:16" x14ac:dyDescent="0.35">
      <c r="A1325" t="s">
        <v>1328</v>
      </c>
      <c r="B1325">
        <v>5538</v>
      </c>
      <c r="C1325">
        <v>28</v>
      </c>
      <c r="D1325">
        <v>68</v>
      </c>
      <c r="E1325">
        <v>432</v>
      </c>
      <c r="F1325">
        <v>3</v>
      </c>
      <c r="K1325" s="1">
        <f t="shared" si="131"/>
        <v>432</v>
      </c>
      <c r="L1325" s="1" t="str">
        <f t="shared" si="126"/>
        <v>Normal</v>
      </c>
      <c r="M1325" s="2">
        <f t="shared" si="127"/>
        <v>33</v>
      </c>
      <c r="N1325" s="1" t="str">
        <f t="shared" si="128"/>
        <v>Lembab</v>
      </c>
      <c r="O1325" t="str">
        <f t="shared" si="129"/>
        <v>Fuzzy</v>
      </c>
      <c r="P1325" t="str">
        <f t="shared" si="130"/>
        <v>Fuzzy</v>
      </c>
    </row>
    <row r="1326" spans="1:16" x14ac:dyDescent="0.35">
      <c r="A1326" t="s">
        <v>1329</v>
      </c>
      <c r="B1326">
        <v>5539</v>
      </c>
      <c r="C1326">
        <v>28</v>
      </c>
      <c r="D1326">
        <v>67</v>
      </c>
      <c r="E1326">
        <v>543</v>
      </c>
      <c r="F1326">
        <v>4</v>
      </c>
      <c r="K1326" s="1">
        <f t="shared" si="131"/>
        <v>543</v>
      </c>
      <c r="L1326" s="1" t="str">
        <f t="shared" si="126"/>
        <v>Normal</v>
      </c>
      <c r="M1326" s="2">
        <f t="shared" si="127"/>
        <v>60.750000000000007</v>
      </c>
      <c r="N1326" s="1" t="str">
        <f t="shared" si="128"/>
        <v>Lembab</v>
      </c>
      <c r="O1326" t="str">
        <f t="shared" si="129"/>
        <v>Fuzzy</v>
      </c>
      <c r="P1326" t="str">
        <f t="shared" si="130"/>
        <v>Fuzzy</v>
      </c>
    </row>
    <row r="1327" spans="1:16" x14ac:dyDescent="0.35">
      <c r="A1327" t="s">
        <v>1330</v>
      </c>
      <c r="B1327">
        <v>5540</v>
      </c>
      <c r="C1327">
        <v>28</v>
      </c>
      <c r="D1327">
        <v>67</v>
      </c>
      <c r="E1327">
        <v>571</v>
      </c>
      <c r="F1327">
        <v>4</v>
      </c>
      <c r="K1327" s="1">
        <f t="shared" si="131"/>
        <v>571</v>
      </c>
      <c r="L1327" s="1" t="str">
        <f t="shared" si="126"/>
        <v>Normal</v>
      </c>
      <c r="M1327" s="2">
        <f t="shared" si="127"/>
        <v>67.75</v>
      </c>
      <c r="N1327" s="1" t="str">
        <f t="shared" si="128"/>
        <v>Lembab</v>
      </c>
      <c r="O1327" t="str">
        <f t="shared" si="129"/>
        <v>Fuzzy</v>
      </c>
      <c r="P1327" t="str">
        <f t="shared" si="130"/>
        <v>Fuzzy</v>
      </c>
    </row>
    <row r="1328" spans="1:16" x14ac:dyDescent="0.35">
      <c r="A1328" t="s">
        <v>1331</v>
      </c>
      <c r="B1328">
        <v>5541</v>
      </c>
      <c r="C1328">
        <v>28</v>
      </c>
      <c r="D1328">
        <v>67</v>
      </c>
      <c r="E1328">
        <v>580</v>
      </c>
      <c r="F1328">
        <v>4</v>
      </c>
      <c r="K1328" s="1">
        <f t="shared" si="131"/>
        <v>580</v>
      </c>
      <c r="L1328" s="1" t="str">
        <f t="shared" si="126"/>
        <v>Normal</v>
      </c>
      <c r="M1328" s="2">
        <f t="shared" si="127"/>
        <v>70</v>
      </c>
      <c r="N1328" s="1" t="str">
        <f t="shared" si="128"/>
        <v>Basah</v>
      </c>
      <c r="O1328" t="str">
        <f t="shared" si="129"/>
        <v>Fuzzy</v>
      </c>
      <c r="P1328" t="str">
        <f t="shared" si="130"/>
        <v>Fuzzy</v>
      </c>
    </row>
    <row r="1329" spans="1:16" x14ac:dyDescent="0.35">
      <c r="A1329" t="s">
        <v>1332</v>
      </c>
      <c r="B1329">
        <v>5542</v>
      </c>
      <c r="C1329">
        <v>28</v>
      </c>
      <c r="D1329">
        <v>67</v>
      </c>
      <c r="E1329">
        <v>453</v>
      </c>
      <c r="F1329">
        <v>5</v>
      </c>
      <c r="K1329" s="1">
        <f t="shared" si="131"/>
        <v>453</v>
      </c>
      <c r="L1329" s="1" t="str">
        <f t="shared" si="126"/>
        <v>Normal</v>
      </c>
      <c r="M1329" s="2">
        <f t="shared" si="127"/>
        <v>38.25</v>
      </c>
      <c r="N1329" s="1" t="str">
        <f t="shared" si="128"/>
        <v>Lembab</v>
      </c>
      <c r="O1329" t="str">
        <f t="shared" si="129"/>
        <v>Fuzzy</v>
      </c>
      <c r="P1329" t="str">
        <f t="shared" si="130"/>
        <v>Fuzzy</v>
      </c>
    </row>
    <row r="1330" spans="1:16" x14ac:dyDescent="0.35">
      <c r="A1330" t="s">
        <v>1333</v>
      </c>
      <c r="B1330">
        <v>5543</v>
      </c>
      <c r="C1330">
        <v>28</v>
      </c>
      <c r="D1330">
        <v>67</v>
      </c>
      <c r="E1330">
        <v>757</v>
      </c>
      <c r="F1330">
        <v>4</v>
      </c>
      <c r="K1330" s="1">
        <f t="shared" si="131"/>
        <v>757</v>
      </c>
      <c r="L1330" s="1" t="str">
        <f t="shared" si="126"/>
        <v>Normal</v>
      </c>
      <c r="M1330" s="2">
        <f t="shared" si="127"/>
        <v>17.647058823529413</v>
      </c>
      <c r="N1330" s="1" t="str">
        <f t="shared" si="128"/>
        <v>Kering</v>
      </c>
      <c r="O1330" t="str">
        <f t="shared" si="129"/>
        <v>Fuzzy</v>
      </c>
      <c r="P1330" t="str">
        <f t="shared" si="130"/>
        <v>Fuzzy</v>
      </c>
    </row>
    <row r="1331" spans="1:16" x14ac:dyDescent="0.35">
      <c r="A1331" t="s">
        <v>1334</v>
      </c>
      <c r="B1331">
        <v>5544</v>
      </c>
      <c r="C1331">
        <v>28</v>
      </c>
      <c r="D1331">
        <v>68</v>
      </c>
      <c r="E1331">
        <v>468</v>
      </c>
      <c r="F1331">
        <v>4</v>
      </c>
      <c r="K1331" s="1">
        <f t="shared" si="131"/>
        <v>468</v>
      </c>
      <c r="L1331" s="1" t="str">
        <f t="shared" si="126"/>
        <v>Normal</v>
      </c>
      <c r="M1331" s="2">
        <f t="shared" si="127"/>
        <v>42</v>
      </c>
      <c r="N1331" s="1" t="str">
        <f t="shared" si="128"/>
        <v>Lembab</v>
      </c>
      <c r="O1331" t="str">
        <f t="shared" si="129"/>
        <v>Fuzzy</v>
      </c>
      <c r="P1331" t="str">
        <f t="shared" si="130"/>
        <v>Fuzzy</v>
      </c>
    </row>
    <row r="1332" spans="1:16" x14ac:dyDescent="0.35">
      <c r="A1332" t="s">
        <v>1335</v>
      </c>
      <c r="B1332">
        <v>5545</v>
      </c>
      <c r="C1332">
        <v>28</v>
      </c>
      <c r="D1332">
        <v>68</v>
      </c>
      <c r="E1332">
        <v>534</v>
      </c>
      <c r="F1332">
        <v>3</v>
      </c>
      <c r="K1332" s="1">
        <f t="shared" si="131"/>
        <v>534</v>
      </c>
      <c r="L1332" s="1" t="str">
        <f t="shared" si="126"/>
        <v>Normal</v>
      </c>
      <c r="M1332" s="2">
        <f t="shared" si="127"/>
        <v>58.5</v>
      </c>
      <c r="N1332" s="1" t="str">
        <f t="shared" si="128"/>
        <v>Lembab</v>
      </c>
      <c r="O1332" t="str">
        <f t="shared" si="129"/>
        <v>Fuzzy</v>
      </c>
      <c r="P1332" t="str">
        <f t="shared" si="130"/>
        <v>Fuzzy</v>
      </c>
    </row>
    <row r="1333" spans="1:16" x14ac:dyDescent="0.35">
      <c r="A1333" t="s">
        <v>1336</v>
      </c>
      <c r="B1333">
        <v>5546</v>
      </c>
      <c r="C1333">
        <v>28</v>
      </c>
      <c r="D1333">
        <v>68</v>
      </c>
      <c r="E1333">
        <v>540</v>
      </c>
      <c r="F1333">
        <v>3</v>
      </c>
      <c r="K1333" s="1">
        <f t="shared" si="131"/>
        <v>540</v>
      </c>
      <c r="L1333" s="1" t="str">
        <f t="shared" si="126"/>
        <v>Normal</v>
      </c>
      <c r="M1333" s="2">
        <f t="shared" si="127"/>
        <v>60</v>
      </c>
      <c r="N1333" s="1" t="str">
        <f t="shared" si="128"/>
        <v>Lembab</v>
      </c>
      <c r="O1333" t="str">
        <f t="shared" si="129"/>
        <v>Fuzzy</v>
      </c>
      <c r="P1333" t="str">
        <f t="shared" si="130"/>
        <v>Fuzzy</v>
      </c>
    </row>
    <row r="1334" spans="1:16" x14ac:dyDescent="0.35">
      <c r="A1334" t="s">
        <v>1337</v>
      </c>
      <c r="B1334">
        <v>5547</v>
      </c>
      <c r="C1334">
        <v>28</v>
      </c>
      <c r="D1334">
        <v>68</v>
      </c>
      <c r="E1334">
        <v>595</v>
      </c>
      <c r="F1334">
        <v>4</v>
      </c>
      <c r="K1334" s="1">
        <f t="shared" si="131"/>
        <v>595</v>
      </c>
      <c r="L1334" s="1" t="str">
        <f t="shared" si="126"/>
        <v>Normal</v>
      </c>
      <c r="M1334" s="2">
        <f t="shared" si="127"/>
        <v>73.75</v>
      </c>
      <c r="N1334" s="1" t="str">
        <f t="shared" si="128"/>
        <v>Basah</v>
      </c>
      <c r="O1334" t="str">
        <f t="shared" si="129"/>
        <v>Fuzzy</v>
      </c>
      <c r="P1334" t="str">
        <f t="shared" si="130"/>
        <v>Fuzzy</v>
      </c>
    </row>
    <row r="1335" spans="1:16" x14ac:dyDescent="0.35">
      <c r="A1335" t="s">
        <v>1338</v>
      </c>
      <c r="B1335">
        <v>5548</v>
      </c>
      <c r="C1335">
        <v>28</v>
      </c>
      <c r="D1335">
        <v>69</v>
      </c>
      <c r="E1335">
        <v>658</v>
      </c>
      <c r="F1335">
        <v>4</v>
      </c>
      <c r="K1335" s="1">
        <f t="shared" si="131"/>
        <v>658</v>
      </c>
      <c r="L1335" s="1" t="str">
        <f t="shared" si="126"/>
        <v>Normal</v>
      </c>
      <c r="M1335" s="2">
        <f t="shared" si="127"/>
        <v>89.5</v>
      </c>
      <c r="N1335" s="1" t="str">
        <f t="shared" si="128"/>
        <v>Basah</v>
      </c>
      <c r="O1335" t="str">
        <f t="shared" si="129"/>
        <v>Fuzzy</v>
      </c>
      <c r="P1335" t="str">
        <f t="shared" si="130"/>
        <v>Fuzzy</v>
      </c>
    </row>
    <row r="1336" spans="1:16" x14ac:dyDescent="0.35">
      <c r="A1336" t="s">
        <v>1339</v>
      </c>
      <c r="B1336">
        <v>5549</v>
      </c>
      <c r="C1336">
        <v>28</v>
      </c>
      <c r="D1336">
        <v>69</v>
      </c>
      <c r="E1336">
        <v>625</v>
      </c>
      <c r="F1336">
        <v>4</v>
      </c>
      <c r="K1336" s="1">
        <f t="shared" si="131"/>
        <v>625</v>
      </c>
      <c r="L1336" s="1" t="str">
        <f t="shared" si="126"/>
        <v>Normal</v>
      </c>
      <c r="M1336" s="2">
        <f t="shared" si="127"/>
        <v>81.25</v>
      </c>
      <c r="N1336" s="1" t="str">
        <f t="shared" si="128"/>
        <v>Basah</v>
      </c>
      <c r="O1336" t="str">
        <f t="shared" si="129"/>
        <v>Fuzzy</v>
      </c>
      <c r="P1336" t="str">
        <f t="shared" si="130"/>
        <v>Fuzzy</v>
      </c>
    </row>
    <row r="1337" spans="1:16" x14ac:dyDescent="0.35">
      <c r="A1337" t="s">
        <v>1340</v>
      </c>
      <c r="B1337">
        <v>5550</v>
      </c>
      <c r="C1337">
        <v>28</v>
      </c>
      <c r="D1337">
        <v>69</v>
      </c>
      <c r="E1337">
        <v>643</v>
      </c>
      <c r="F1337">
        <v>4</v>
      </c>
      <c r="K1337" s="1">
        <f t="shared" si="131"/>
        <v>643</v>
      </c>
      <c r="L1337" s="1" t="str">
        <f t="shared" si="126"/>
        <v>Normal</v>
      </c>
      <c r="M1337" s="2">
        <f t="shared" si="127"/>
        <v>85.75</v>
      </c>
      <c r="N1337" s="1" t="str">
        <f t="shared" si="128"/>
        <v>Basah</v>
      </c>
      <c r="O1337" t="str">
        <f t="shared" si="129"/>
        <v>Fuzzy</v>
      </c>
      <c r="P1337" t="str">
        <f t="shared" si="130"/>
        <v>Fuzzy</v>
      </c>
    </row>
    <row r="1338" spans="1:16" x14ac:dyDescent="0.35">
      <c r="A1338" t="s">
        <v>1341</v>
      </c>
      <c r="B1338">
        <v>5551</v>
      </c>
      <c r="C1338">
        <v>28</v>
      </c>
      <c r="D1338">
        <v>70</v>
      </c>
      <c r="E1338">
        <v>577</v>
      </c>
      <c r="F1338">
        <v>4</v>
      </c>
      <c r="K1338" s="1">
        <f t="shared" si="131"/>
        <v>577</v>
      </c>
      <c r="L1338" s="1" t="str">
        <f t="shared" si="126"/>
        <v>Normal</v>
      </c>
      <c r="M1338" s="2">
        <f t="shared" si="127"/>
        <v>69.25</v>
      </c>
      <c r="N1338" s="1" t="str">
        <f t="shared" si="128"/>
        <v>Basah</v>
      </c>
      <c r="O1338" t="str">
        <f t="shared" si="129"/>
        <v>Fuzzy</v>
      </c>
      <c r="P1338" t="str">
        <f t="shared" si="130"/>
        <v>Fuzzy</v>
      </c>
    </row>
    <row r="1339" spans="1:16" x14ac:dyDescent="0.35">
      <c r="A1339" t="s">
        <v>1342</v>
      </c>
      <c r="B1339">
        <v>5552</v>
      </c>
      <c r="C1339">
        <v>28</v>
      </c>
      <c r="D1339">
        <v>70</v>
      </c>
      <c r="E1339">
        <v>570</v>
      </c>
      <c r="F1339">
        <v>4</v>
      </c>
      <c r="K1339" s="1">
        <f t="shared" si="131"/>
        <v>570</v>
      </c>
      <c r="L1339" s="1" t="str">
        <f t="shared" si="126"/>
        <v>Normal</v>
      </c>
      <c r="M1339" s="2">
        <f t="shared" si="127"/>
        <v>67.5</v>
      </c>
      <c r="N1339" s="1" t="str">
        <f t="shared" si="128"/>
        <v>Lembab</v>
      </c>
      <c r="O1339" t="str">
        <f t="shared" si="129"/>
        <v>Fuzzy</v>
      </c>
      <c r="P1339" t="str">
        <f t="shared" si="130"/>
        <v>Fuzzy</v>
      </c>
    </row>
    <row r="1340" spans="1:16" x14ac:dyDescent="0.35">
      <c r="A1340" t="s">
        <v>1343</v>
      </c>
      <c r="B1340">
        <v>5553</v>
      </c>
      <c r="C1340">
        <v>28</v>
      </c>
      <c r="D1340">
        <v>70</v>
      </c>
      <c r="E1340">
        <v>588</v>
      </c>
      <c r="F1340">
        <v>4</v>
      </c>
      <c r="K1340" s="1">
        <f t="shared" si="131"/>
        <v>588</v>
      </c>
      <c r="L1340" s="1" t="str">
        <f t="shared" si="126"/>
        <v>Normal</v>
      </c>
      <c r="M1340" s="2">
        <f t="shared" si="127"/>
        <v>72</v>
      </c>
      <c r="N1340" s="1" t="str">
        <f t="shared" si="128"/>
        <v>Basah</v>
      </c>
      <c r="O1340" t="str">
        <f t="shared" si="129"/>
        <v>Fuzzy</v>
      </c>
      <c r="P1340" t="str">
        <f t="shared" si="130"/>
        <v>Fuzzy</v>
      </c>
    </row>
    <row r="1341" spans="1:16" x14ac:dyDescent="0.35">
      <c r="A1341" t="s">
        <v>1344</v>
      </c>
      <c r="B1341">
        <v>5554</v>
      </c>
      <c r="C1341">
        <v>28</v>
      </c>
      <c r="D1341">
        <v>70</v>
      </c>
      <c r="E1341">
        <v>538</v>
      </c>
      <c r="F1341">
        <v>4</v>
      </c>
      <c r="K1341" s="1">
        <f t="shared" si="131"/>
        <v>538</v>
      </c>
      <c r="L1341" s="1" t="str">
        <f t="shared" si="126"/>
        <v>Normal</v>
      </c>
      <c r="M1341" s="2">
        <f t="shared" si="127"/>
        <v>59.5</v>
      </c>
      <c r="N1341" s="1" t="str">
        <f t="shared" si="128"/>
        <v>Lembab</v>
      </c>
      <c r="O1341" t="str">
        <f t="shared" si="129"/>
        <v>Fuzzy</v>
      </c>
      <c r="P1341" t="str">
        <f t="shared" si="130"/>
        <v>Fuzzy</v>
      </c>
    </row>
    <row r="1342" spans="1:16" x14ac:dyDescent="0.35">
      <c r="A1342" t="s">
        <v>1345</v>
      </c>
      <c r="B1342">
        <v>5555</v>
      </c>
      <c r="C1342">
        <v>28</v>
      </c>
      <c r="D1342">
        <v>69</v>
      </c>
      <c r="E1342">
        <v>948</v>
      </c>
      <c r="F1342">
        <v>5</v>
      </c>
      <c r="K1342" s="1">
        <f t="shared" si="131"/>
        <v>948</v>
      </c>
      <c r="L1342" s="1" t="str">
        <f t="shared" si="126"/>
        <v>Normal</v>
      </c>
      <c r="M1342" s="2">
        <f t="shared" si="127"/>
        <v>76.780185758513937</v>
      </c>
      <c r="N1342" s="1" t="str">
        <f t="shared" si="128"/>
        <v>Basah</v>
      </c>
      <c r="O1342" t="str">
        <f t="shared" si="129"/>
        <v>Fuzzy</v>
      </c>
      <c r="P1342" t="str">
        <f t="shared" si="130"/>
        <v>Fuzzy</v>
      </c>
    </row>
    <row r="1343" spans="1:16" x14ac:dyDescent="0.35">
      <c r="A1343" t="s">
        <v>1346</v>
      </c>
      <c r="B1343">
        <v>5556</v>
      </c>
      <c r="C1343">
        <v>28</v>
      </c>
      <c r="D1343">
        <v>69</v>
      </c>
      <c r="E1343">
        <v>582</v>
      </c>
      <c r="F1343">
        <v>4</v>
      </c>
      <c r="K1343" s="1">
        <f t="shared" si="131"/>
        <v>582</v>
      </c>
      <c r="L1343" s="1" t="str">
        <f t="shared" si="126"/>
        <v>Normal</v>
      </c>
      <c r="M1343" s="2">
        <f t="shared" si="127"/>
        <v>70.5</v>
      </c>
      <c r="N1343" s="1" t="str">
        <f t="shared" si="128"/>
        <v>Basah</v>
      </c>
      <c r="O1343" t="str">
        <f t="shared" si="129"/>
        <v>Fuzzy</v>
      </c>
      <c r="P1343" t="str">
        <f t="shared" si="130"/>
        <v>Fuzzy</v>
      </c>
    </row>
    <row r="1344" spans="1:16" x14ac:dyDescent="0.35">
      <c r="A1344" t="s">
        <v>1347</v>
      </c>
      <c r="B1344">
        <v>5557</v>
      </c>
      <c r="C1344">
        <v>28</v>
      </c>
      <c r="D1344">
        <v>70</v>
      </c>
      <c r="E1344">
        <v>570</v>
      </c>
      <c r="F1344">
        <v>3</v>
      </c>
      <c r="K1344" s="1">
        <f t="shared" si="131"/>
        <v>570</v>
      </c>
      <c r="L1344" s="1" t="str">
        <f t="shared" si="126"/>
        <v>Normal</v>
      </c>
      <c r="M1344" s="2">
        <f t="shared" si="127"/>
        <v>67.5</v>
      </c>
      <c r="N1344" s="1" t="str">
        <f t="shared" si="128"/>
        <v>Lembab</v>
      </c>
      <c r="O1344" t="str">
        <f t="shared" si="129"/>
        <v>Fuzzy</v>
      </c>
      <c r="P1344" t="str">
        <f t="shared" si="130"/>
        <v>Fuzzy</v>
      </c>
    </row>
    <row r="1345" spans="1:16" x14ac:dyDescent="0.35">
      <c r="A1345" t="s">
        <v>1348</v>
      </c>
      <c r="B1345">
        <v>5558</v>
      </c>
      <c r="C1345">
        <v>28</v>
      </c>
      <c r="D1345">
        <v>69</v>
      </c>
      <c r="E1345">
        <v>521</v>
      </c>
      <c r="F1345">
        <v>4</v>
      </c>
      <c r="K1345" s="1">
        <f t="shared" si="131"/>
        <v>521</v>
      </c>
      <c r="L1345" s="1" t="str">
        <f t="shared" si="126"/>
        <v>Normal</v>
      </c>
      <c r="M1345" s="2">
        <f t="shared" si="127"/>
        <v>55.25</v>
      </c>
      <c r="N1345" s="1" t="str">
        <f t="shared" si="128"/>
        <v>Lembab</v>
      </c>
      <c r="O1345" t="str">
        <f t="shared" si="129"/>
        <v>Fuzzy</v>
      </c>
      <c r="P1345" t="str">
        <f t="shared" si="130"/>
        <v>Fuzzy</v>
      </c>
    </row>
    <row r="1346" spans="1:16" x14ac:dyDescent="0.35">
      <c r="A1346" t="s">
        <v>1349</v>
      </c>
      <c r="B1346">
        <v>5559</v>
      </c>
      <c r="C1346">
        <v>28</v>
      </c>
      <c r="D1346">
        <v>69</v>
      </c>
      <c r="E1346">
        <v>766</v>
      </c>
      <c r="F1346">
        <v>3</v>
      </c>
      <c r="K1346" s="1">
        <f t="shared" si="131"/>
        <v>766</v>
      </c>
      <c r="L1346" s="1" t="str">
        <f t="shared" si="126"/>
        <v>Normal</v>
      </c>
      <c r="M1346" s="2">
        <f t="shared" si="127"/>
        <v>20.433436532507741</v>
      </c>
      <c r="N1346" s="1" t="str">
        <f t="shared" si="128"/>
        <v>Kering</v>
      </c>
      <c r="O1346" t="str">
        <f t="shared" si="129"/>
        <v>Fuzzy</v>
      </c>
      <c r="P1346" t="str">
        <f t="shared" si="130"/>
        <v>Fuzzy</v>
      </c>
    </row>
    <row r="1347" spans="1:16" x14ac:dyDescent="0.35">
      <c r="A1347" t="s">
        <v>1350</v>
      </c>
      <c r="B1347">
        <v>5560</v>
      </c>
      <c r="C1347">
        <v>28</v>
      </c>
      <c r="D1347">
        <v>69</v>
      </c>
      <c r="E1347">
        <v>808</v>
      </c>
      <c r="F1347">
        <v>4</v>
      </c>
      <c r="K1347" s="1">
        <f t="shared" si="131"/>
        <v>808</v>
      </c>
      <c r="L1347" s="1" t="str">
        <f t="shared" ref="L1347:L1410" si="132">IF(A1346 &lt;= 10, "Dingin", IF(OR(A1346 &gt;= 10, A1346 &lt; 35), "Normal", "Panas"))</f>
        <v>Normal</v>
      </c>
      <c r="M1347" s="2">
        <f t="shared" ref="M1347:M1410" si="133">IF(K1347&lt;=300, K1347/1023*100, IF(K1347&lt;=700, (K1347-300)/(700-301+1)*100, (K1347-700)/(1023-701+1)*100))</f>
        <v>33.436532507739933</v>
      </c>
      <c r="N1347" s="1" t="str">
        <f t="shared" ref="N1347:N1410" si="134">IF(M1347&lt;=29.32, "Kering", IF(M1347&lt;=68.53, "Lembab", "Basah"))</f>
        <v>Lembab</v>
      </c>
      <c r="O1347" t="str">
        <f t="shared" ref="O1347:O1410" si="135">IF(OR(AND(C1347 &gt; 10, C1347 &lt; 22.5), AND(C1347 &gt;= 22.5, C1347 &lt; 35)), "Fuzzy", "")</f>
        <v>Fuzzy</v>
      </c>
      <c r="P1347" t="str">
        <f t="shared" ref="P1347:P1410" si="136">IF(OR(AND(M1347 &gt;= 0, M1347 &lt; 50), AND(M1347 &gt;= 50, M1347 &lt; 100)), "Fuzzy", "")</f>
        <v>Fuzzy</v>
      </c>
    </row>
    <row r="1348" spans="1:16" x14ac:dyDescent="0.35">
      <c r="A1348" t="s">
        <v>1351</v>
      </c>
      <c r="B1348">
        <v>5561</v>
      </c>
      <c r="C1348">
        <v>28</v>
      </c>
      <c r="D1348">
        <v>69</v>
      </c>
      <c r="E1348">
        <v>574</v>
      </c>
      <c r="F1348">
        <v>4</v>
      </c>
      <c r="K1348" s="1">
        <f t="shared" si="131"/>
        <v>574</v>
      </c>
      <c r="L1348" s="1" t="str">
        <f t="shared" si="132"/>
        <v>Normal</v>
      </c>
      <c r="M1348" s="2">
        <f t="shared" si="133"/>
        <v>68.5</v>
      </c>
      <c r="N1348" s="1" t="str">
        <f t="shared" si="134"/>
        <v>Lembab</v>
      </c>
      <c r="O1348" t="str">
        <f t="shared" si="135"/>
        <v>Fuzzy</v>
      </c>
      <c r="P1348" t="str">
        <f t="shared" si="136"/>
        <v>Fuzzy</v>
      </c>
    </row>
    <row r="1349" spans="1:16" x14ac:dyDescent="0.35">
      <c r="A1349" t="s">
        <v>1352</v>
      </c>
      <c r="B1349">
        <v>5562</v>
      </c>
      <c r="C1349">
        <v>28</v>
      </c>
      <c r="D1349">
        <v>69</v>
      </c>
      <c r="E1349">
        <v>559</v>
      </c>
      <c r="F1349">
        <v>4</v>
      </c>
      <c r="K1349" s="1">
        <f t="shared" si="131"/>
        <v>559</v>
      </c>
      <c r="L1349" s="1" t="str">
        <f t="shared" si="132"/>
        <v>Normal</v>
      </c>
      <c r="M1349" s="2">
        <f t="shared" si="133"/>
        <v>64.75</v>
      </c>
      <c r="N1349" s="1" t="str">
        <f t="shared" si="134"/>
        <v>Lembab</v>
      </c>
      <c r="O1349" t="str">
        <f t="shared" si="135"/>
        <v>Fuzzy</v>
      </c>
      <c r="P1349" t="str">
        <f t="shared" si="136"/>
        <v>Fuzzy</v>
      </c>
    </row>
    <row r="1350" spans="1:16" x14ac:dyDescent="0.35">
      <c r="A1350" t="s">
        <v>1353</v>
      </c>
      <c r="B1350">
        <v>5563</v>
      </c>
      <c r="C1350">
        <v>28</v>
      </c>
      <c r="D1350">
        <v>67</v>
      </c>
      <c r="E1350">
        <v>613</v>
      </c>
      <c r="F1350">
        <v>4</v>
      </c>
      <c r="K1350" s="1">
        <f t="shared" si="131"/>
        <v>613</v>
      </c>
      <c r="L1350" s="1" t="str">
        <f t="shared" si="132"/>
        <v>Normal</v>
      </c>
      <c r="M1350" s="2">
        <f t="shared" si="133"/>
        <v>78.25</v>
      </c>
      <c r="N1350" s="1" t="str">
        <f t="shared" si="134"/>
        <v>Basah</v>
      </c>
      <c r="O1350" t="str">
        <f t="shared" si="135"/>
        <v>Fuzzy</v>
      </c>
      <c r="P1350" t="str">
        <f t="shared" si="136"/>
        <v>Fuzzy</v>
      </c>
    </row>
    <row r="1351" spans="1:16" x14ac:dyDescent="0.35">
      <c r="A1351" t="s">
        <v>1354</v>
      </c>
      <c r="B1351">
        <v>5564</v>
      </c>
      <c r="C1351">
        <v>28</v>
      </c>
      <c r="D1351">
        <v>66</v>
      </c>
      <c r="E1351">
        <v>573</v>
      </c>
      <c r="F1351">
        <v>4</v>
      </c>
      <c r="K1351" s="1">
        <f t="shared" si="131"/>
        <v>573</v>
      </c>
      <c r="L1351" s="1" t="str">
        <f t="shared" si="132"/>
        <v>Normal</v>
      </c>
      <c r="M1351" s="2">
        <f t="shared" si="133"/>
        <v>68.25</v>
      </c>
      <c r="N1351" s="1" t="str">
        <f t="shared" si="134"/>
        <v>Lembab</v>
      </c>
      <c r="O1351" t="str">
        <f t="shared" si="135"/>
        <v>Fuzzy</v>
      </c>
      <c r="P1351" t="str">
        <f t="shared" si="136"/>
        <v>Fuzzy</v>
      </c>
    </row>
    <row r="1352" spans="1:16" x14ac:dyDescent="0.35">
      <c r="A1352" t="s">
        <v>1355</v>
      </c>
      <c r="B1352">
        <v>5565</v>
      </c>
      <c r="C1352">
        <v>28</v>
      </c>
      <c r="D1352">
        <v>66</v>
      </c>
      <c r="E1352">
        <v>587</v>
      </c>
      <c r="F1352">
        <v>4</v>
      </c>
      <c r="K1352" s="1">
        <f t="shared" si="131"/>
        <v>587</v>
      </c>
      <c r="L1352" s="1" t="str">
        <f t="shared" si="132"/>
        <v>Normal</v>
      </c>
      <c r="M1352" s="2">
        <f t="shared" si="133"/>
        <v>71.75</v>
      </c>
      <c r="N1352" s="1" t="str">
        <f t="shared" si="134"/>
        <v>Basah</v>
      </c>
      <c r="O1352" t="str">
        <f t="shared" si="135"/>
        <v>Fuzzy</v>
      </c>
      <c r="P1352" t="str">
        <f t="shared" si="136"/>
        <v>Fuzzy</v>
      </c>
    </row>
    <row r="1353" spans="1:16" x14ac:dyDescent="0.35">
      <c r="A1353" t="s">
        <v>1356</v>
      </c>
      <c r="B1353">
        <v>5566</v>
      </c>
      <c r="C1353">
        <v>28</v>
      </c>
      <c r="D1353">
        <v>66</v>
      </c>
      <c r="E1353">
        <v>557</v>
      </c>
      <c r="F1353">
        <v>4</v>
      </c>
      <c r="K1353" s="1">
        <f t="shared" si="131"/>
        <v>557</v>
      </c>
      <c r="L1353" s="1" t="str">
        <f t="shared" si="132"/>
        <v>Normal</v>
      </c>
      <c r="M1353" s="2">
        <f t="shared" si="133"/>
        <v>64.25</v>
      </c>
      <c r="N1353" s="1" t="str">
        <f t="shared" si="134"/>
        <v>Lembab</v>
      </c>
      <c r="O1353" t="str">
        <f t="shared" si="135"/>
        <v>Fuzzy</v>
      </c>
      <c r="P1353" t="str">
        <f t="shared" si="136"/>
        <v>Fuzzy</v>
      </c>
    </row>
    <row r="1354" spans="1:16" x14ac:dyDescent="0.35">
      <c r="A1354" t="s">
        <v>1357</v>
      </c>
      <c r="B1354">
        <v>5567</v>
      </c>
      <c r="C1354">
        <v>28</v>
      </c>
      <c r="D1354">
        <v>67</v>
      </c>
      <c r="E1354">
        <v>645</v>
      </c>
      <c r="F1354">
        <v>4</v>
      </c>
      <c r="K1354" s="1">
        <f t="shared" si="131"/>
        <v>645</v>
      </c>
      <c r="L1354" s="1" t="str">
        <f t="shared" si="132"/>
        <v>Normal</v>
      </c>
      <c r="M1354" s="2">
        <f t="shared" si="133"/>
        <v>86.25</v>
      </c>
      <c r="N1354" s="1" t="str">
        <f t="shared" si="134"/>
        <v>Basah</v>
      </c>
      <c r="O1354" t="str">
        <f t="shared" si="135"/>
        <v>Fuzzy</v>
      </c>
      <c r="P1354" t="str">
        <f t="shared" si="136"/>
        <v>Fuzzy</v>
      </c>
    </row>
    <row r="1355" spans="1:16" x14ac:dyDescent="0.35">
      <c r="A1355" t="s">
        <v>1358</v>
      </c>
      <c r="B1355">
        <v>5568</v>
      </c>
      <c r="C1355">
        <v>28</v>
      </c>
      <c r="D1355">
        <v>68</v>
      </c>
      <c r="E1355">
        <v>537</v>
      </c>
      <c r="F1355">
        <v>4</v>
      </c>
      <c r="K1355" s="1">
        <f t="shared" si="131"/>
        <v>537</v>
      </c>
      <c r="L1355" s="1" t="str">
        <f t="shared" si="132"/>
        <v>Normal</v>
      </c>
      <c r="M1355" s="2">
        <f t="shared" si="133"/>
        <v>59.25</v>
      </c>
      <c r="N1355" s="1" t="str">
        <f t="shared" si="134"/>
        <v>Lembab</v>
      </c>
      <c r="O1355" t="str">
        <f t="shared" si="135"/>
        <v>Fuzzy</v>
      </c>
      <c r="P1355" t="str">
        <f t="shared" si="136"/>
        <v>Fuzzy</v>
      </c>
    </row>
    <row r="1356" spans="1:16" x14ac:dyDescent="0.35">
      <c r="A1356" t="s">
        <v>1359</v>
      </c>
      <c r="B1356">
        <v>5569</v>
      </c>
      <c r="C1356">
        <v>28</v>
      </c>
      <c r="D1356">
        <v>68</v>
      </c>
      <c r="E1356">
        <v>609</v>
      </c>
      <c r="F1356">
        <v>3</v>
      </c>
      <c r="K1356" s="1">
        <f t="shared" si="131"/>
        <v>609</v>
      </c>
      <c r="L1356" s="1" t="str">
        <f t="shared" si="132"/>
        <v>Normal</v>
      </c>
      <c r="M1356" s="2">
        <f t="shared" si="133"/>
        <v>77.25</v>
      </c>
      <c r="N1356" s="1" t="str">
        <f t="shared" si="134"/>
        <v>Basah</v>
      </c>
      <c r="O1356" t="str">
        <f t="shared" si="135"/>
        <v>Fuzzy</v>
      </c>
      <c r="P1356" t="str">
        <f t="shared" si="136"/>
        <v>Fuzzy</v>
      </c>
    </row>
    <row r="1357" spans="1:16" x14ac:dyDescent="0.35">
      <c r="A1357" t="s">
        <v>1360</v>
      </c>
      <c r="B1357">
        <v>5570</v>
      </c>
      <c r="C1357">
        <v>28</v>
      </c>
      <c r="D1357">
        <v>68</v>
      </c>
      <c r="E1357">
        <v>572</v>
      </c>
      <c r="F1357">
        <v>4</v>
      </c>
      <c r="K1357" s="1">
        <f t="shared" ref="K1357:K1420" si="137">IF(E1357&lt;=1023, E1357, "")</f>
        <v>572</v>
      </c>
      <c r="L1357" s="1" t="str">
        <f t="shared" si="132"/>
        <v>Normal</v>
      </c>
      <c r="M1357" s="2">
        <f t="shared" si="133"/>
        <v>68</v>
      </c>
      <c r="N1357" s="1" t="str">
        <f t="shared" si="134"/>
        <v>Lembab</v>
      </c>
      <c r="O1357" t="str">
        <f t="shared" si="135"/>
        <v>Fuzzy</v>
      </c>
      <c r="P1357" t="str">
        <f t="shared" si="136"/>
        <v>Fuzzy</v>
      </c>
    </row>
    <row r="1358" spans="1:16" x14ac:dyDescent="0.35">
      <c r="A1358" t="s">
        <v>1361</v>
      </c>
      <c r="B1358">
        <v>5571</v>
      </c>
      <c r="C1358">
        <v>28</v>
      </c>
      <c r="D1358">
        <v>69</v>
      </c>
      <c r="E1358">
        <v>547</v>
      </c>
      <c r="F1358">
        <v>4</v>
      </c>
      <c r="K1358" s="1">
        <f t="shared" si="137"/>
        <v>547</v>
      </c>
      <c r="L1358" s="1" t="str">
        <f t="shared" si="132"/>
        <v>Normal</v>
      </c>
      <c r="M1358" s="2">
        <f t="shared" si="133"/>
        <v>61.750000000000007</v>
      </c>
      <c r="N1358" s="1" t="str">
        <f t="shared" si="134"/>
        <v>Lembab</v>
      </c>
      <c r="O1358" t="str">
        <f t="shared" si="135"/>
        <v>Fuzzy</v>
      </c>
      <c r="P1358" t="str">
        <f t="shared" si="136"/>
        <v>Fuzzy</v>
      </c>
    </row>
    <row r="1359" spans="1:16" x14ac:dyDescent="0.35">
      <c r="A1359" t="s">
        <v>1362</v>
      </c>
      <c r="B1359">
        <v>5572</v>
      </c>
      <c r="C1359">
        <v>28</v>
      </c>
      <c r="D1359">
        <v>69</v>
      </c>
      <c r="E1359">
        <v>584</v>
      </c>
      <c r="F1359">
        <v>4</v>
      </c>
      <c r="K1359" s="1">
        <f t="shared" si="137"/>
        <v>584</v>
      </c>
      <c r="L1359" s="1" t="str">
        <f t="shared" si="132"/>
        <v>Normal</v>
      </c>
      <c r="M1359" s="2">
        <f t="shared" si="133"/>
        <v>71</v>
      </c>
      <c r="N1359" s="1" t="str">
        <f t="shared" si="134"/>
        <v>Basah</v>
      </c>
      <c r="O1359" t="str">
        <f t="shared" si="135"/>
        <v>Fuzzy</v>
      </c>
      <c r="P1359" t="str">
        <f t="shared" si="136"/>
        <v>Fuzzy</v>
      </c>
    </row>
    <row r="1360" spans="1:16" x14ac:dyDescent="0.35">
      <c r="A1360" t="s">
        <v>1363</v>
      </c>
      <c r="B1360">
        <v>5573</v>
      </c>
      <c r="C1360">
        <v>28</v>
      </c>
      <c r="D1360">
        <v>69</v>
      </c>
      <c r="E1360">
        <v>636</v>
      </c>
      <c r="F1360">
        <v>4</v>
      </c>
      <c r="K1360" s="1">
        <f t="shared" si="137"/>
        <v>636</v>
      </c>
      <c r="L1360" s="1" t="str">
        <f t="shared" si="132"/>
        <v>Normal</v>
      </c>
      <c r="M1360" s="2">
        <f t="shared" si="133"/>
        <v>84</v>
      </c>
      <c r="N1360" s="1" t="str">
        <f t="shared" si="134"/>
        <v>Basah</v>
      </c>
      <c r="O1360" t="str">
        <f t="shared" si="135"/>
        <v>Fuzzy</v>
      </c>
      <c r="P1360" t="str">
        <f t="shared" si="136"/>
        <v>Fuzzy</v>
      </c>
    </row>
    <row r="1361" spans="1:16" x14ac:dyDescent="0.35">
      <c r="A1361" t="s">
        <v>1364</v>
      </c>
      <c r="B1361">
        <v>5574</v>
      </c>
      <c r="C1361">
        <v>28</v>
      </c>
      <c r="D1361">
        <v>69</v>
      </c>
      <c r="E1361">
        <v>569</v>
      </c>
      <c r="F1361">
        <v>4</v>
      </c>
      <c r="K1361" s="1">
        <f t="shared" si="137"/>
        <v>569</v>
      </c>
      <c r="L1361" s="1" t="str">
        <f t="shared" si="132"/>
        <v>Normal</v>
      </c>
      <c r="M1361" s="2">
        <f t="shared" si="133"/>
        <v>67.25</v>
      </c>
      <c r="N1361" s="1" t="str">
        <f t="shared" si="134"/>
        <v>Lembab</v>
      </c>
      <c r="O1361" t="str">
        <f t="shared" si="135"/>
        <v>Fuzzy</v>
      </c>
      <c r="P1361" t="str">
        <f t="shared" si="136"/>
        <v>Fuzzy</v>
      </c>
    </row>
    <row r="1362" spans="1:16" x14ac:dyDescent="0.35">
      <c r="A1362" t="s">
        <v>1365</v>
      </c>
      <c r="B1362">
        <v>5575</v>
      </c>
      <c r="C1362">
        <v>28</v>
      </c>
      <c r="D1362">
        <v>69</v>
      </c>
      <c r="E1362">
        <v>572</v>
      </c>
      <c r="F1362">
        <v>4</v>
      </c>
      <c r="K1362" s="1">
        <f t="shared" si="137"/>
        <v>572</v>
      </c>
      <c r="L1362" s="1" t="str">
        <f t="shared" si="132"/>
        <v>Normal</v>
      </c>
      <c r="M1362" s="2">
        <f t="shared" si="133"/>
        <v>68</v>
      </c>
      <c r="N1362" s="1" t="str">
        <f t="shared" si="134"/>
        <v>Lembab</v>
      </c>
      <c r="O1362" t="str">
        <f t="shared" si="135"/>
        <v>Fuzzy</v>
      </c>
      <c r="P1362" t="str">
        <f t="shared" si="136"/>
        <v>Fuzzy</v>
      </c>
    </row>
    <row r="1363" spans="1:16" x14ac:dyDescent="0.35">
      <c r="A1363" t="s">
        <v>1366</v>
      </c>
      <c r="B1363">
        <v>5576</v>
      </c>
      <c r="C1363">
        <v>28</v>
      </c>
      <c r="D1363">
        <v>69</v>
      </c>
      <c r="E1363">
        <v>562</v>
      </c>
      <c r="F1363">
        <v>4</v>
      </c>
      <c r="K1363" s="1">
        <f t="shared" si="137"/>
        <v>562</v>
      </c>
      <c r="L1363" s="1" t="str">
        <f t="shared" si="132"/>
        <v>Normal</v>
      </c>
      <c r="M1363" s="2">
        <f t="shared" si="133"/>
        <v>65.5</v>
      </c>
      <c r="N1363" s="1" t="str">
        <f t="shared" si="134"/>
        <v>Lembab</v>
      </c>
      <c r="O1363" t="str">
        <f t="shared" si="135"/>
        <v>Fuzzy</v>
      </c>
      <c r="P1363" t="str">
        <f t="shared" si="136"/>
        <v>Fuzzy</v>
      </c>
    </row>
    <row r="1364" spans="1:16" x14ac:dyDescent="0.35">
      <c r="A1364" t="s">
        <v>1367</v>
      </c>
      <c r="B1364">
        <v>5577</v>
      </c>
      <c r="C1364">
        <v>28</v>
      </c>
      <c r="D1364">
        <v>69</v>
      </c>
      <c r="E1364">
        <v>537</v>
      </c>
      <c r="F1364">
        <v>4</v>
      </c>
      <c r="K1364" s="1">
        <f t="shared" si="137"/>
        <v>537</v>
      </c>
      <c r="L1364" s="1" t="str">
        <f t="shared" si="132"/>
        <v>Normal</v>
      </c>
      <c r="M1364" s="2">
        <f t="shared" si="133"/>
        <v>59.25</v>
      </c>
      <c r="N1364" s="1" t="str">
        <f t="shared" si="134"/>
        <v>Lembab</v>
      </c>
      <c r="O1364" t="str">
        <f t="shared" si="135"/>
        <v>Fuzzy</v>
      </c>
      <c r="P1364" t="str">
        <f t="shared" si="136"/>
        <v>Fuzzy</v>
      </c>
    </row>
    <row r="1365" spans="1:16" x14ac:dyDescent="0.35">
      <c r="A1365" t="s">
        <v>1368</v>
      </c>
      <c r="B1365">
        <v>5578</v>
      </c>
      <c r="C1365">
        <v>28</v>
      </c>
      <c r="D1365">
        <v>69</v>
      </c>
      <c r="E1365">
        <v>633</v>
      </c>
      <c r="F1365">
        <v>4</v>
      </c>
      <c r="K1365" s="1">
        <f t="shared" si="137"/>
        <v>633</v>
      </c>
      <c r="L1365" s="1" t="str">
        <f t="shared" si="132"/>
        <v>Normal</v>
      </c>
      <c r="M1365" s="2">
        <f t="shared" si="133"/>
        <v>83.25</v>
      </c>
      <c r="N1365" s="1" t="str">
        <f t="shared" si="134"/>
        <v>Basah</v>
      </c>
      <c r="O1365" t="str">
        <f t="shared" si="135"/>
        <v>Fuzzy</v>
      </c>
      <c r="P1365" t="str">
        <f t="shared" si="136"/>
        <v>Fuzzy</v>
      </c>
    </row>
    <row r="1366" spans="1:16" x14ac:dyDescent="0.35">
      <c r="A1366" t="s">
        <v>1369</v>
      </c>
      <c r="B1366">
        <v>5579</v>
      </c>
      <c r="C1366">
        <v>28</v>
      </c>
      <c r="D1366">
        <v>69</v>
      </c>
      <c r="E1366">
        <v>396</v>
      </c>
      <c r="F1366">
        <v>3</v>
      </c>
      <c r="K1366" s="1">
        <f t="shared" si="137"/>
        <v>396</v>
      </c>
      <c r="L1366" s="1" t="str">
        <f t="shared" si="132"/>
        <v>Normal</v>
      </c>
      <c r="M1366" s="2">
        <f t="shared" si="133"/>
        <v>24</v>
      </c>
      <c r="N1366" s="1" t="str">
        <f t="shared" si="134"/>
        <v>Kering</v>
      </c>
      <c r="O1366" t="str">
        <f t="shared" si="135"/>
        <v>Fuzzy</v>
      </c>
      <c r="P1366" t="str">
        <f t="shared" si="136"/>
        <v>Fuzzy</v>
      </c>
    </row>
    <row r="1367" spans="1:16" x14ac:dyDescent="0.35">
      <c r="A1367" t="s">
        <v>1370</v>
      </c>
      <c r="B1367">
        <v>5580</v>
      </c>
      <c r="C1367">
        <v>28</v>
      </c>
      <c r="D1367">
        <v>69</v>
      </c>
      <c r="E1367">
        <v>597</v>
      </c>
      <c r="F1367">
        <v>4</v>
      </c>
      <c r="K1367" s="1">
        <f t="shared" si="137"/>
        <v>597</v>
      </c>
      <c r="L1367" s="1" t="str">
        <f t="shared" si="132"/>
        <v>Normal</v>
      </c>
      <c r="M1367" s="2">
        <f t="shared" si="133"/>
        <v>74.25</v>
      </c>
      <c r="N1367" s="1" t="str">
        <f t="shared" si="134"/>
        <v>Basah</v>
      </c>
      <c r="O1367" t="str">
        <f t="shared" si="135"/>
        <v>Fuzzy</v>
      </c>
      <c r="P1367" t="str">
        <f t="shared" si="136"/>
        <v>Fuzzy</v>
      </c>
    </row>
    <row r="1368" spans="1:16" x14ac:dyDescent="0.35">
      <c r="A1368" t="s">
        <v>1371</v>
      </c>
      <c r="B1368">
        <v>5581</v>
      </c>
      <c r="C1368">
        <v>28</v>
      </c>
      <c r="D1368">
        <v>69</v>
      </c>
      <c r="E1368">
        <v>518</v>
      </c>
      <c r="F1368">
        <v>4</v>
      </c>
      <c r="K1368" s="1">
        <f t="shared" si="137"/>
        <v>518</v>
      </c>
      <c r="L1368" s="1" t="str">
        <f t="shared" si="132"/>
        <v>Normal</v>
      </c>
      <c r="M1368" s="2">
        <f t="shared" si="133"/>
        <v>54.500000000000007</v>
      </c>
      <c r="N1368" s="1" t="str">
        <f t="shared" si="134"/>
        <v>Lembab</v>
      </c>
      <c r="O1368" t="str">
        <f t="shared" si="135"/>
        <v>Fuzzy</v>
      </c>
      <c r="P1368" t="str">
        <f t="shared" si="136"/>
        <v>Fuzzy</v>
      </c>
    </row>
    <row r="1369" spans="1:16" x14ac:dyDescent="0.35">
      <c r="A1369" t="s">
        <v>1372</v>
      </c>
      <c r="B1369">
        <v>5582</v>
      </c>
      <c r="C1369">
        <v>28</v>
      </c>
      <c r="D1369">
        <v>69</v>
      </c>
      <c r="E1369">
        <v>580</v>
      </c>
      <c r="F1369">
        <v>4</v>
      </c>
      <c r="K1369" s="1">
        <f t="shared" si="137"/>
        <v>580</v>
      </c>
      <c r="L1369" s="1" t="str">
        <f t="shared" si="132"/>
        <v>Normal</v>
      </c>
      <c r="M1369" s="2">
        <f t="shared" si="133"/>
        <v>70</v>
      </c>
      <c r="N1369" s="1" t="str">
        <f t="shared" si="134"/>
        <v>Basah</v>
      </c>
      <c r="O1369" t="str">
        <f t="shared" si="135"/>
        <v>Fuzzy</v>
      </c>
      <c r="P1369" t="str">
        <f t="shared" si="136"/>
        <v>Fuzzy</v>
      </c>
    </row>
    <row r="1370" spans="1:16" x14ac:dyDescent="0.35">
      <c r="A1370" t="s">
        <v>1373</v>
      </c>
      <c r="B1370">
        <v>5583</v>
      </c>
      <c r="C1370">
        <v>28</v>
      </c>
      <c r="D1370">
        <v>69</v>
      </c>
      <c r="E1370">
        <v>621</v>
      </c>
      <c r="F1370">
        <v>4</v>
      </c>
      <c r="K1370" s="1">
        <f t="shared" si="137"/>
        <v>621</v>
      </c>
      <c r="L1370" s="1" t="str">
        <f t="shared" si="132"/>
        <v>Normal</v>
      </c>
      <c r="M1370" s="2">
        <f t="shared" si="133"/>
        <v>80.25</v>
      </c>
      <c r="N1370" s="1" t="str">
        <f t="shared" si="134"/>
        <v>Basah</v>
      </c>
      <c r="O1370" t="str">
        <f t="shared" si="135"/>
        <v>Fuzzy</v>
      </c>
      <c r="P1370" t="str">
        <f t="shared" si="136"/>
        <v>Fuzzy</v>
      </c>
    </row>
    <row r="1371" spans="1:16" x14ac:dyDescent="0.35">
      <c r="A1371" t="s">
        <v>1374</v>
      </c>
      <c r="B1371">
        <v>5584</v>
      </c>
      <c r="C1371">
        <v>28</v>
      </c>
      <c r="D1371">
        <v>69</v>
      </c>
      <c r="E1371">
        <v>619</v>
      </c>
      <c r="F1371">
        <v>4</v>
      </c>
      <c r="K1371" s="1">
        <f t="shared" si="137"/>
        <v>619</v>
      </c>
      <c r="L1371" s="1" t="str">
        <f t="shared" si="132"/>
        <v>Normal</v>
      </c>
      <c r="M1371" s="2">
        <f t="shared" si="133"/>
        <v>79.75</v>
      </c>
      <c r="N1371" s="1" t="str">
        <f t="shared" si="134"/>
        <v>Basah</v>
      </c>
      <c r="O1371" t="str">
        <f t="shared" si="135"/>
        <v>Fuzzy</v>
      </c>
      <c r="P1371" t="str">
        <f t="shared" si="136"/>
        <v>Fuzzy</v>
      </c>
    </row>
    <row r="1372" spans="1:16" x14ac:dyDescent="0.35">
      <c r="A1372" t="s">
        <v>1375</v>
      </c>
      <c r="B1372">
        <v>5585</v>
      </c>
      <c r="C1372">
        <v>28</v>
      </c>
      <c r="D1372">
        <v>69</v>
      </c>
      <c r="E1372">
        <v>567</v>
      </c>
      <c r="F1372">
        <v>3</v>
      </c>
      <c r="K1372" s="1">
        <f t="shared" si="137"/>
        <v>567</v>
      </c>
      <c r="L1372" s="1" t="str">
        <f t="shared" si="132"/>
        <v>Normal</v>
      </c>
      <c r="M1372" s="2">
        <f t="shared" si="133"/>
        <v>66.75</v>
      </c>
      <c r="N1372" s="1" t="str">
        <f t="shared" si="134"/>
        <v>Lembab</v>
      </c>
      <c r="O1372" t="str">
        <f t="shared" si="135"/>
        <v>Fuzzy</v>
      </c>
      <c r="P1372" t="str">
        <f t="shared" si="136"/>
        <v>Fuzzy</v>
      </c>
    </row>
    <row r="1373" spans="1:16" x14ac:dyDescent="0.35">
      <c r="A1373" t="s">
        <v>1376</v>
      </c>
      <c r="B1373">
        <v>5586</v>
      </c>
      <c r="C1373">
        <v>28</v>
      </c>
      <c r="D1373">
        <v>69</v>
      </c>
      <c r="E1373">
        <v>619</v>
      </c>
      <c r="F1373">
        <v>4</v>
      </c>
      <c r="K1373" s="1">
        <f t="shared" si="137"/>
        <v>619</v>
      </c>
      <c r="L1373" s="1" t="str">
        <f t="shared" si="132"/>
        <v>Normal</v>
      </c>
      <c r="M1373" s="2">
        <f t="shared" si="133"/>
        <v>79.75</v>
      </c>
      <c r="N1373" s="1" t="str">
        <f t="shared" si="134"/>
        <v>Basah</v>
      </c>
      <c r="O1373" t="str">
        <f t="shared" si="135"/>
        <v>Fuzzy</v>
      </c>
      <c r="P1373" t="str">
        <f t="shared" si="136"/>
        <v>Fuzzy</v>
      </c>
    </row>
    <row r="1374" spans="1:16" x14ac:dyDescent="0.35">
      <c r="A1374" t="s">
        <v>1377</v>
      </c>
      <c r="B1374">
        <v>5587</v>
      </c>
      <c r="C1374">
        <v>28</v>
      </c>
      <c r="D1374">
        <v>69</v>
      </c>
      <c r="E1374">
        <v>530</v>
      </c>
      <c r="F1374">
        <v>3</v>
      </c>
      <c r="K1374" s="1">
        <f t="shared" si="137"/>
        <v>530</v>
      </c>
      <c r="L1374" s="1" t="str">
        <f t="shared" si="132"/>
        <v>Normal</v>
      </c>
      <c r="M1374" s="2">
        <f t="shared" si="133"/>
        <v>57.499999999999993</v>
      </c>
      <c r="N1374" s="1" t="str">
        <f t="shared" si="134"/>
        <v>Lembab</v>
      </c>
      <c r="O1374" t="str">
        <f t="shared" si="135"/>
        <v>Fuzzy</v>
      </c>
      <c r="P1374" t="str">
        <f t="shared" si="136"/>
        <v>Fuzzy</v>
      </c>
    </row>
    <row r="1375" spans="1:16" x14ac:dyDescent="0.35">
      <c r="A1375" t="s">
        <v>1378</v>
      </c>
      <c r="B1375">
        <v>5588</v>
      </c>
      <c r="C1375">
        <v>28</v>
      </c>
      <c r="D1375">
        <v>68</v>
      </c>
      <c r="E1375">
        <v>761</v>
      </c>
      <c r="F1375">
        <v>3</v>
      </c>
      <c r="K1375" s="1">
        <f t="shared" si="137"/>
        <v>761</v>
      </c>
      <c r="L1375" s="1" t="str">
        <f t="shared" si="132"/>
        <v>Normal</v>
      </c>
      <c r="M1375" s="2">
        <f t="shared" si="133"/>
        <v>18.885448916408667</v>
      </c>
      <c r="N1375" s="1" t="str">
        <f t="shared" si="134"/>
        <v>Kering</v>
      </c>
      <c r="O1375" t="str">
        <f t="shared" si="135"/>
        <v>Fuzzy</v>
      </c>
      <c r="P1375" t="str">
        <f t="shared" si="136"/>
        <v>Fuzzy</v>
      </c>
    </row>
    <row r="1376" spans="1:16" x14ac:dyDescent="0.35">
      <c r="A1376" t="s">
        <v>1379</v>
      </c>
      <c r="B1376">
        <v>5589</v>
      </c>
      <c r="C1376">
        <v>28</v>
      </c>
      <c r="D1376">
        <v>67</v>
      </c>
      <c r="E1376">
        <v>593</v>
      </c>
      <c r="F1376">
        <v>4</v>
      </c>
      <c r="K1376" s="1">
        <f t="shared" si="137"/>
        <v>593</v>
      </c>
      <c r="L1376" s="1" t="str">
        <f t="shared" si="132"/>
        <v>Normal</v>
      </c>
      <c r="M1376" s="2">
        <f t="shared" si="133"/>
        <v>73.25</v>
      </c>
      <c r="N1376" s="1" t="str">
        <f t="shared" si="134"/>
        <v>Basah</v>
      </c>
      <c r="O1376" t="str">
        <f t="shared" si="135"/>
        <v>Fuzzy</v>
      </c>
      <c r="P1376" t="str">
        <f t="shared" si="136"/>
        <v>Fuzzy</v>
      </c>
    </row>
    <row r="1377" spans="1:16" x14ac:dyDescent="0.35">
      <c r="A1377" t="s">
        <v>1380</v>
      </c>
      <c r="B1377">
        <v>5590</v>
      </c>
      <c r="C1377">
        <v>28</v>
      </c>
      <c r="D1377">
        <v>67</v>
      </c>
      <c r="E1377">
        <v>660</v>
      </c>
      <c r="F1377">
        <v>4</v>
      </c>
      <c r="K1377" s="1">
        <f t="shared" si="137"/>
        <v>660</v>
      </c>
      <c r="L1377" s="1" t="str">
        <f t="shared" si="132"/>
        <v>Normal</v>
      </c>
      <c r="M1377" s="2">
        <f t="shared" si="133"/>
        <v>90</v>
      </c>
      <c r="N1377" s="1" t="str">
        <f t="shared" si="134"/>
        <v>Basah</v>
      </c>
      <c r="O1377" t="str">
        <f t="shared" si="135"/>
        <v>Fuzzy</v>
      </c>
      <c r="P1377" t="str">
        <f t="shared" si="136"/>
        <v>Fuzzy</v>
      </c>
    </row>
    <row r="1378" spans="1:16" x14ac:dyDescent="0.35">
      <c r="A1378" t="s">
        <v>1381</v>
      </c>
      <c r="B1378">
        <v>5591</v>
      </c>
      <c r="C1378">
        <v>28</v>
      </c>
      <c r="D1378">
        <v>67</v>
      </c>
      <c r="E1378">
        <v>621</v>
      </c>
      <c r="F1378">
        <v>3</v>
      </c>
      <c r="K1378" s="1">
        <f t="shared" si="137"/>
        <v>621</v>
      </c>
      <c r="L1378" s="1" t="str">
        <f t="shared" si="132"/>
        <v>Normal</v>
      </c>
      <c r="M1378" s="2">
        <f t="shared" si="133"/>
        <v>80.25</v>
      </c>
      <c r="N1378" s="1" t="str">
        <f t="shared" si="134"/>
        <v>Basah</v>
      </c>
      <c r="O1378" t="str">
        <f t="shared" si="135"/>
        <v>Fuzzy</v>
      </c>
      <c r="P1378" t="str">
        <f t="shared" si="136"/>
        <v>Fuzzy</v>
      </c>
    </row>
    <row r="1379" spans="1:16" x14ac:dyDescent="0.35">
      <c r="A1379" t="s">
        <v>1382</v>
      </c>
      <c r="B1379">
        <v>5592</v>
      </c>
      <c r="C1379">
        <v>28</v>
      </c>
      <c r="D1379">
        <v>67</v>
      </c>
      <c r="E1379">
        <v>562</v>
      </c>
      <c r="F1379">
        <v>4</v>
      </c>
      <c r="K1379" s="1">
        <f t="shared" si="137"/>
        <v>562</v>
      </c>
      <c r="L1379" s="1" t="str">
        <f t="shared" si="132"/>
        <v>Normal</v>
      </c>
      <c r="M1379" s="2">
        <f t="shared" si="133"/>
        <v>65.5</v>
      </c>
      <c r="N1379" s="1" t="str">
        <f t="shared" si="134"/>
        <v>Lembab</v>
      </c>
      <c r="O1379" t="str">
        <f t="shared" si="135"/>
        <v>Fuzzy</v>
      </c>
      <c r="P1379" t="str">
        <f t="shared" si="136"/>
        <v>Fuzzy</v>
      </c>
    </row>
    <row r="1380" spans="1:16" x14ac:dyDescent="0.35">
      <c r="A1380" t="s">
        <v>1383</v>
      </c>
      <c r="B1380">
        <v>5593</v>
      </c>
      <c r="C1380">
        <v>28</v>
      </c>
      <c r="D1380">
        <v>67</v>
      </c>
      <c r="E1380">
        <v>552</v>
      </c>
      <c r="F1380">
        <v>4</v>
      </c>
      <c r="K1380" s="1">
        <f t="shared" si="137"/>
        <v>552</v>
      </c>
      <c r="L1380" s="1" t="str">
        <f t="shared" si="132"/>
        <v>Normal</v>
      </c>
      <c r="M1380" s="2">
        <f t="shared" si="133"/>
        <v>63</v>
      </c>
      <c r="N1380" s="1" t="str">
        <f t="shared" si="134"/>
        <v>Lembab</v>
      </c>
      <c r="O1380" t="str">
        <f t="shared" si="135"/>
        <v>Fuzzy</v>
      </c>
      <c r="P1380" t="str">
        <f t="shared" si="136"/>
        <v>Fuzzy</v>
      </c>
    </row>
    <row r="1381" spans="1:16" x14ac:dyDescent="0.35">
      <c r="A1381" t="s">
        <v>1384</v>
      </c>
      <c r="B1381">
        <v>5594</v>
      </c>
      <c r="C1381">
        <v>28</v>
      </c>
      <c r="D1381">
        <v>67</v>
      </c>
      <c r="E1381">
        <v>587</v>
      </c>
      <c r="F1381">
        <v>4</v>
      </c>
      <c r="K1381" s="1">
        <f t="shared" si="137"/>
        <v>587</v>
      </c>
      <c r="L1381" s="1" t="str">
        <f t="shared" si="132"/>
        <v>Normal</v>
      </c>
      <c r="M1381" s="2">
        <f t="shared" si="133"/>
        <v>71.75</v>
      </c>
      <c r="N1381" s="1" t="str">
        <f t="shared" si="134"/>
        <v>Basah</v>
      </c>
      <c r="O1381" t="str">
        <f t="shared" si="135"/>
        <v>Fuzzy</v>
      </c>
      <c r="P1381" t="str">
        <f t="shared" si="136"/>
        <v>Fuzzy</v>
      </c>
    </row>
    <row r="1382" spans="1:16" x14ac:dyDescent="0.35">
      <c r="A1382" t="s">
        <v>1385</v>
      </c>
      <c r="B1382">
        <v>5595</v>
      </c>
      <c r="C1382">
        <v>28</v>
      </c>
      <c r="D1382">
        <v>68</v>
      </c>
      <c r="E1382">
        <v>389</v>
      </c>
      <c r="F1382">
        <v>4</v>
      </c>
      <c r="K1382" s="1">
        <f t="shared" si="137"/>
        <v>389</v>
      </c>
      <c r="L1382" s="1" t="str">
        <f t="shared" si="132"/>
        <v>Normal</v>
      </c>
      <c r="M1382" s="2">
        <f t="shared" si="133"/>
        <v>22.25</v>
      </c>
      <c r="N1382" s="1" t="str">
        <f t="shared" si="134"/>
        <v>Kering</v>
      </c>
      <c r="O1382" t="str">
        <f t="shared" si="135"/>
        <v>Fuzzy</v>
      </c>
      <c r="P1382" t="str">
        <f t="shared" si="136"/>
        <v>Fuzzy</v>
      </c>
    </row>
    <row r="1383" spans="1:16" x14ac:dyDescent="0.35">
      <c r="A1383" t="s">
        <v>1386</v>
      </c>
      <c r="B1383">
        <v>5596</v>
      </c>
      <c r="C1383">
        <v>28</v>
      </c>
      <c r="D1383">
        <v>68</v>
      </c>
      <c r="E1383">
        <v>598</v>
      </c>
      <c r="F1383">
        <v>4</v>
      </c>
      <c r="K1383" s="1">
        <f t="shared" si="137"/>
        <v>598</v>
      </c>
      <c r="L1383" s="1" t="str">
        <f t="shared" si="132"/>
        <v>Normal</v>
      </c>
      <c r="M1383" s="2">
        <f t="shared" si="133"/>
        <v>74.5</v>
      </c>
      <c r="N1383" s="1" t="str">
        <f t="shared" si="134"/>
        <v>Basah</v>
      </c>
      <c r="O1383" t="str">
        <f t="shared" si="135"/>
        <v>Fuzzy</v>
      </c>
      <c r="P1383" t="str">
        <f t="shared" si="136"/>
        <v>Fuzzy</v>
      </c>
    </row>
    <row r="1384" spans="1:16" x14ac:dyDescent="0.35">
      <c r="A1384" t="s">
        <v>1387</v>
      </c>
      <c r="B1384">
        <v>5597</v>
      </c>
      <c r="C1384">
        <v>28</v>
      </c>
      <c r="D1384">
        <v>68</v>
      </c>
      <c r="E1384">
        <v>497</v>
      </c>
      <c r="F1384">
        <v>4</v>
      </c>
      <c r="K1384" s="1">
        <f t="shared" si="137"/>
        <v>497</v>
      </c>
      <c r="L1384" s="1" t="str">
        <f t="shared" si="132"/>
        <v>Normal</v>
      </c>
      <c r="M1384" s="2">
        <f t="shared" si="133"/>
        <v>49.25</v>
      </c>
      <c r="N1384" s="1" t="str">
        <f t="shared" si="134"/>
        <v>Lembab</v>
      </c>
      <c r="O1384" t="str">
        <f t="shared" si="135"/>
        <v>Fuzzy</v>
      </c>
      <c r="P1384" t="str">
        <f t="shared" si="136"/>
        <v>Fuzzy</v>
      </c>
    </row>
    <row r="1385" spans="1:16" x14ac:dyDescent="0.35">
      <c r="A1385" t="s">
        <v>1388</v>
      </c>
      <c r="B1385">
        <v>5598</v>
      </c>
      <c r="C1385">
        <v>28</v>
      </c>
      <c r="D1385">
        <v>68</v>
      </c>
      <c r="E1385">
        <v>561</v>
      </c>
      <c r="F1385">
        <v>3</v>
      </c>
      <c r="K1385" s="1">
        <f t="shared" si="137"/>
        <v>561</v>
      </c>
      <c r="L1385" s="1" t="str">
        <f t="shared" si="132"/>
        <v>Normal</v>
      </c>
      <c r="M1385" s="2">
        <f t="shared" si="133"/>
        <v>65.25</v>
      </c>
      <c r="N1385" s="1" t="str">
        <f t="shared" si="134"/>
        <v>Lembab</v>
      </c>
      <c r="O1385" t="str">
        <f t="shared" si="135"/>
        <v>Fuzzy</v>
      </c>
      <c r="P1385" t="str">
        <f t="shared" si="136"/>
        <v>Fuzzy</v>
      </c>
    </row>
    <row r="1386" spans="1:16" x14ac:dyDescent="0.35">
      <c r="A1386" t="s">
        <v>1389</v>
      </c>
      <c r="B1386">
        <v>5599</v>
      </c>
      <c r="C1386">
        <v>28</v>
      </c>
      <c r="D1386">
        <v>69</v>
      </c>
      <c r="E1386">
        <v>575</v>
      </c>
      <c r="F1386">
        <v>4</v>
      </c>
      <c r="K1386" s="1">
        <f t="shared" si="137"/>
        <v>575</v>
      </c>
      <c r="L1386" s="1" t="str">
        <f t="shared" si="132"/>
        <v>Normal</v>
      </c>
      <c r="M1386" s="2">
        <f t="shared" si="133"/>
        <v>68.75</v>
      </c>
      <c r="N1386" s="1" t="str">
        <f t="shared" si="134"/>
        <v>Basah</v>
      </c>
      <c r="O1386" t="str">
        <f t="shared" si="135"/>
        <v>Fuzzy</v>
      </c>
      <c r="P1386" t="str">
        <f t="shared" si="136"/>
        <v>Fuzzy</v>
      </c>
    </row>
    <row r="1387" spans="1:16" x14ac:dyDescent="0.35">
      <c r="A1387" t="s">
        <v>1390</v>
      </c>
      <c r="B1387">
        <v>5600</v>
      </c>
      <c r="C1387">
        <v>28</v>
      </c>
      <c r="D1387">
        <v>69</v>
      </c>
      <c r="E1387">
        <v>553</v>
      </c>
      <c r="F1387">
        <v>4</v>
      </c>
      <c r="K1387" s="1">
        <f t="shared" si="137"/>
        <v>553</v>
      </c>
      <c r="L1387" s="1" t="str">
        <f t="shared" si="132"/>
        <v>Normal</v>
      </c>
      <c r="M1387" s="2">
        <f t="shared" si="133"/>
        <v>63.249999999999993</v>
      </c>
      <c r="N1387" s="1" t="str">
        <f t="shared" si="134"/>
        <v>Lembab</v>
      </c>
      <c r="O1387" t="str">
        <f t="shared" si="135"/>
        <v>Fuzzy</v>
      </c>
      <c r="P1387" t="str">
        <f t="shared" si="136"/>
        <v>Fuzzy</v>
      </c>
    </row>
    <row r="1388" spans="1:16" x14ac:dyDescent="0.35">
      <c r="A1388" t="s">
        <v>1391</v>
      </c>
      <c r="B1388">
        <v>5601</v>
      </c>
      <c r="C1388">
        <v>28</v>
      </c>
      <c r="D1388">
        <v>69</v>
      </c>
      <c r="E1388">
        <v>586</v>
      </c>
      <c r="F1388">
        <v>4</v>
      </c>
      <c r="K1388" s="1">
        <f t="shared" si="137"/>
        <v>586</v>
      </c>
      <c r="L1388" s="1" t="str">
        <f t="shared" si="132"/>
        <v>Normal</v>
      </c>
      <c r="M1388" s="2">
        <f t="shared" si="133"/>
        <v>71.5</v>
      </c>
      <c r="N1388" s="1" t="str">
        <f t="shared" si="134"/>
        <v>Basah</v>
      </c>
      <c r="O1388" t="str">
        <f t="shared" si="135"/>
        <v>Fuzzy</v>
      </c>
      <c r="P1388" t="str">
        <f t="shared" si="136"/>
        <v>Fuzzy</v>
      </c>
    </row>
    <row r="1389" spans="1:16" x14ac:dyDescent="0.35">
      <c r="A1389" t="s">
        <v>1392</v>
      </c>
      <c r="B1389">
        <v>5602</v>
      </c>
      <c r="C1389">
        <v>28</v>
      </c>
      <c r="D1389">
        <v>69</v>
      </c>
      <c r="E1389">
        <v>526</v>
      </c>
      <c r="F1389">
        <v>3</v>
      </c>
      <c r="K1389" s="1">
        <f t="shared" si="137"/>
        <v>526</v>
      </c>
      <c r="L1389" s="1" t="str">
        <f t="shared" si="132"/>
        <v>Normal</v>
      </c>
      <c r="M1389" s="2">
        <f t="shared" si="133"/>
        <v>56.499999999999993</v>
      </c>
      <c r="N1389" s="1" t="str">
        <f t="shared" si="134"/>
        <v>Lembab</v>
      </c>
      <c r="O1389" t="str">
        <f t="shared" si="135"/>
        <v>Fuzzy</v>
      </c>
      <c r="P1389" t="str">
        <f t="shared" si="136"/>
        <v>Fuzzy</v>
      </c>
    </row>
    <row r="1390" spans="1:16" x14ac:dyDescent="0.35">
      <c r="A1390" t="s">
        <v>1393</v>
      </c>
      <c r="B1390">
        <v>5603</v>
      </c>
      <c r="C1390">
        <v>28</v>
      </c>
      <c r="D1390">
        <v>69</v>
      </c>
      <c r="E1390">
        <v>559</v>
      </c>
      <c r="F1390">
        <v>4</v>
      </c>
      <c r="K1390" s="1">
        <f t="shared" si="137"/>
        <v>559</v>
      </c>
      <c r="L1390" s="1" t="str">
        <f t="shared" si="132"/>
        <v>Normal</v>
      </c>
      <c r="M1390" s="2">
        <f t="shared" si="133"/>
        <v>64.75</v>
      </c>
      <c r="N1390" s="1" t="str">
        <f t="shared" si="134"/>
        <v>Lembab</v>
      </c>
      <c r="O1390" t="str">
        <f t="shared" si="135"/>
        <v>Fuzzy</v>
      </c>
      <c r="P1390" t="str">
        <f t="shared" si="136"/>
        <v>Fuzzy</v>
      </c>
    </row>
    <row r="1391" spans="1:16" x14ac:dyDescent="0.35">
      <c r="A1391" t="s">
        <v>1394</v>
      </c>
      <c r="B1391">
        <v>5604</v>
      </c>
      <c r="C1391">
        <v>28</v>
      </c>
      <c r="D1391">
        <v>68</v>
      </c>
      <c r="E1391">
        <v>555</v>
      </c>
      <c r="F1391">
        <v>3</v>
      </c>
      <c r="K1391" s="1">
        <f t="shared" si="137"/>
        <v>555</v>
      </c>
      <c r="L1391" s="1" t="str">
        <f t="shared" si="132"/>
        <v>Normal</v>
      </c>
      <c r="M1391" s="2">
        <f t="shared" si="133"/>
        <v>63.749999999999993</v>
      </c>
      <c r="N1391" s="1" t="str">
        <f t="shared" si="134"/>
        <v>Lembab</v>
      </c>
      <c r="O1391" t="str">
        <f t="shared" si="135"/>
        <v>Fuzzy</v>
      </c>
      <c r="P1391" t="str">
        <f t="shared" si="136"/>
        <v>Fuzzy</v>
      </c>
    </row>
    <row r="1392" spans="1:16" x14ac:dyDescent="0.35">
      <c r="A1392" t="s">
        <v>1395</v>
      </c>
      <c r="B1392">
        <v>5605</v>
      </c>
      <c r="C1392">
        <v>28</v>
      </c>
      <c r="D1392">
        <v>69</v>
      </c>
      <c r="E1392">
        <v>547</v>
      </c>
      <c r="F1392">
        <v>3</v>
      </c>
      <c r="K1392" s="1">
        <f t="shared" si="137"/>
        <v>547</v>
      </c>
      <c r="L1392" s="1" t="str">
        <f t="shared" si="132"/>
        <v>Normal</v>
      </c>
      <c r="M1392" s="2">
        <f t="shared" si="133"/>
        <v>61.750000000000007</v>
      </c>
      <c r="N1392" s="1" t="str">
        <f t="shared" si="134"/>
        <v>Lembab</v>
      </c>
      <c r="O1392" t="str">
        <f t="shared" si="135"/>
        <v>Fuzzy</v>
      </c>
      <c r="P1392" t="str">
        <f t="shared" si="136"/>
        <v>Fuzzy</v>
      </c>
    </row>
    <row r="1393" spans="1:16" x14ac:dyDescent="0.35">
      <c r="A1393" t="s">
        <v>1396</v>
      </c>
      <c r="B1393">
        <v>5606</v>
      </c>
      <c r="C1393">
        <v>28</v>
      </c>
      <c r="D1393">
        <v>69</v>
      </c>
      <c r="E1393">
        <v>588</v>
      </c>
      <c r="F1393">
        <v>4</v>
      </c>
      <c r="K1393" s="1">
        <f t="shared" si="137"/>
        <v>588</v>
      </c>
      <c r="L1393" s="1" t="str">
        <f t="shared" si="132"/>
        <v>Normal</v>
      </c>
      <c r="M1393" s="2">
        <f t="shared" si="133"/>
        <v>72</v>
      </c>
      <c r="N1393" s="1" t="str">
        <f t="shared" si="134"/>
        <v>Basah</v>
      </c>
      <c r="O1393" t="str">
        <f t="shared" si="135"/>
        <v>Fuzzy</v>
      </c>
      <c r="P1393" t="str">
        <f t="shared" si="136"/>
        <v>Fuzzy</v>
      </c>
    </row>
    <row r="1394" spans="1:16" x14ac:dyDescent="0.35">
      <c r="A1394" t="s">
        <v>1397</v>
      </c>
      <c r="B1394">
        <v>5607</v>
      </c>
      <c r="C1394">
        <v>28</v>
      </c>
      <c r="D1394">
        <v>69</v>
      </c>
      <c r="E1394">
        <v>574</v>
      </c>
      <c r="F1394">
        <v>4</v>
      </c>
      <c r="K1394" s="1">
        <f t="shared" si="137"/>
        <v>574</v>
      </c>
      <c r="L1394" s="1" t="str">
        <f t="shared" si="132"/>
        <v>Normal</v>
      </c>
      <c r="M1394" s="2">
        <f t="shared" si="133"/>
        <v>68.5</v>
      </c>
      <c r="N1394" s="1" t="str">
        <f t="shared" si="134"/>
        <v>Lembab</v>
      </c>
      <c r="O1394" t="str">
        <f t="shared" si="135"/>
        <v>Fuzzy</v>
      </c>
      <c r="P1394" t="str">
        <f t="shared" si="136"/>
        <v>Fuzzy</v>
      </c>
    </row>
    <row r="1395" spans="1:16" x14ac:dyDescent="0.35">
      <c r="A1395" t="s">
        <v>1398</v>
      </c>
      <c r="B1395">
        <v>5608</v>
      </c>
      <c r="C1395">
        <v>28</v>
      </c>
      <c r="D1395">
        <v>69</v>
      </c>
      <c r="E1395">
        <v>621</v>
      </c>
      <c r="F1395">
        <v>3</v>
      </c>
      <c r="K1395" s="1">
        <f t="shared" si="137"/>
        <v>621</v>
      </c>
      <c r="L1395" s="1" t="str">
        <f t="shared" si="132"/>
        <v>Normal</v>
      </c>
      <c r="M1395" s="2">
        <f t="shared" si="133"/>
        <v>80.25</v>
      </c>
      <c r="N1395" s="1" t="str">
        <f t="shared" si="134"/>
        <v>Basah</v>
      </c>
      <c r="O1395" t="str">
        <f t="shared" si="135"/>
        <v>Fuzzy</v>
      </c>
      <c r="P1395" t="str">
        <f t="shared" si="136"/>
        <v>Fuzzy</v>
      </c>
    </row>
    <row r="1396" spans="1:16" x14ac:dyDescent="0.35">
      <c r="A1396" t="s">
        <v>1399</v>
      </c>
      <c r="B1396">
        <v>5609</v>
      </c>
      <c r="C1396">
        <v>28</v>
      </c>
      <c r="D1396">
        <v>69</v>
      </c>
      <c r="E1396">
        <v>603</v>
      </c>
      <c r="F1396">
        <v>4</v>
      </c>
      <c r="K1396" s="1">
        <f t="shared" si="137"/>
        <v>603</v>
      </c>
      <c r="L1396" s="1" t="str">
        <f t="shared" si="132"/>
        <v>Normal</v>
      </c>
      <c r="M1396" s="2">
        <f t="shared" si="133"/>
        <v>75.75</v>
      </c>
      <c r="N1396" s="1" t="str">
        <f t="shared" si="134"/>
        <v>Basah</v>
      </c>
      <c r="O1396" t="str">
        <f t="shared" si="135"/>
        <v>Fuzzy</v>
      </c>
      <c r="P1396" t="str">
        <f t="shared" si="136"/>
        <v>Fuzzy</v>
      </c>
    </row>
    <row r="1397" spans="1:16" x14ac:dyDescent="0.35">
      <c r="A1397" t="s">
        <v>1400</v>
      </c>
      <c r="B1397">
        <v>5610</v>
      </c>
      <c r="C1397">
        <v>28</v>
      </c>
      <c r="D1397">
        <v>69</v>
      </c>
      <c r="E1397">
        <v>609</v>
      </c>
      <c r="F1397">
        <v>4</v>
      </c>
      <c r="K1397" s="1">
        <f t="shared" si="137"/>
        <v>609</v>
      </c>
      <c r="L1397" s="1" t="str">
        <f t="shared" si="132"/>
        <v>Normal</v>
      </c>
      <c r="M1397" s="2">
        <f t="shared" si="133"/>
        <v>77.25</v>
      </c>
      <c r="N1397" s="1" t="str">
        <f t="shared" si="134"/>
        <v>Basah</v>
      </c>
      <c r="O1397" t="str">
        <f t="shared" si="135"/>
        <v>Fuzzy</v>
      </c>
      <c r="P1397" t="str">
        <f t="shared" si="136"/>
        <v>Fuzzy</v>
      </c>
    </row>
    <row r="1398" spans="1:16" x14ac:dyDescent="0.35">
      <c r="A1398" t="s">
        <v>1401</v>
      </c>
      <c r="B1398">
        <v>5611</v>
      </c>
      <c r="C1398">
        <v>28</v>
      </c>
      <c r="D1398">
        <v>69</v>
      </c>
      <c r="E1398">
        <v>570</v>
      </c>
      <c r="F1398">
        <v>4</v>
      </c>
      <c r="K1398" s="1">
        <f t="shared" si="137"/>
        <v>570</v>
      </c>
      <c r="L1398" s="1" t="str">
        <f t="shared" si="132"/>
        <v>Normal</v>
      </c>
      <c r="M1398" s="2">
        <f t="shared" si="133"/>
        <v>67.5</v>
      </c>
      <c r="N1398" s="1" t="str">
        <f t="shared" si="134"/>
        <v>Lembab</v>
      </c>
      <c r="O1398" t="str">
        <f t="shared" si="135"/>
        <v>Fuzzy</v>
      </c>
      <c r="P1398" t="str">
        <f t="shared" si="136"/>
        <v>Fuzzy</v>
      </c>
    </row>
    <row r="1399" spans="1:16" x14ac:dyDescent="0.35">
      <c r="A1399" t="s">
        <v>1402</v>
      </c>
      <c r="B1399">
        <v>5612</v>
      </c>
      <c r="C1399">
        <v>28</v>
      </c>
      <c r="D1399">
        <v>69</v>
      </c>
      <c r="E1399">
        <v>821</v>
      </c>
      <c r="F1399">
        <v>3</v>
      </c>
      <c r="K1399" s="1">
        <f t="shared" si="137"/>
        <v>821</v>
      </c>
      <c r="L1399" s="1" t="str">
        <f t="shared" si="132"/>
        <v>Normal</v>
      </c>
      <c r="M1399" s="2">
        <f t="shared" si="133"/>
        <v>37.461300309597526</v>
      </c>
      <c r="N1399" s="1" t="str">
        <f t="shared" si="134"/>
        <v>Lembab</v>
      </c>
      <c r="O1399" t="str">
        <f t="shared" si="135"/>
        <v>Fuzzy</v>
      </c>
      <c r="P1399" t="str">
        <f t="shared" si="136"/>
        <v>Fuzzy</v>
      </c>
    </row>
    <row r="1400" spans="1:16" x14ac:dyDescent="0.35">
      <c r="A1400" t="s">
        <v>1403</v>
      </c>
      <c r="B1400">
        <v>5613</v>
      </c>
      <c r="C1400">
        <v>28</v>
      </c>
      <c r="D1400">
        <v>68</v>
      </c>
      <c r="E1400">
        <v>517</v>
      </c>
      <c r="F1400">
        <v>5</v>
      </c>
      <c r="K1400" s="1">
        <f t="shared" si="137"/>
        <v>517</v>
      </c>
      <c r="L1400" s="1" t="str">
        <f t="shared" si="132"/>
        <v>Normal</v>
      </c>
      <c r="M1400" s="2">
        <f t="shared" si="133"/>
        <v>54.25</v>
      </c>
      <c r="N1400" s="1" t="str">
        <f t="shared" si="134"/>
        <v>Lembab</v>
      </c>
      <c r="O1400" t="str">
        <f t="shared" si="135"/>
        <v>Fuzzy</v>
      </c>
      <c r="P1400" t="str">
        <f t="shared" si="136"/>
        <v>Fuzzy</v>
      </c>
    </row>
    <row r="1401" spans="1:16" x14ac:dyDescent="0.35">
      <c r="A1401" t="s">
        <v>1404</v>
      </c>
      <c r="B1401">
        <v>5614</v>
      </c>
      <c r="C1401">
        <v>28</v>
      </c>
      <c r="D1401">
        <v>66</v>
      </c>
      <c r="E1401">
        <v>485</v>
      </c>
      <c r="F1401">
        <v>4</v>
      </c>
      <c r="K1401" s="1">
        <f t="shared" si="137"/>
        <v>485</v>
      </c>
      <c r="L1401" s="1" t="str">
        <f t="shared" si="132"/>
        <v>Normal</v>
      </c>
      <c r="M1401" s="2">
        <f t="shared" si="133"/>
        <v>46.25</v>
      </c>
      <c r="N1401" s="1" t="str">
        <f t="shared" si="134"/>
        <v>Lembab</v>
      </c>
      <c r="O1401" t="str">
        <f t="shared" si="135"/>
        <v>Fuzzy</v>
      </c>
      <c r="P1401" t="str">
        <f t="shared" si="136"/>
        <v>Fuzzy</v>
      </c>
    </row>
    <row r="1402" spans="1:16" x14ac:dyDescent="0.35">
      <c r="A1402" t="s">
        <v>1405</v>
      </c>
      <c r="B1402">
        <v>5615</v>
      </c>
      <c r="C1402">
        <v>28</v>
      </c>
      <c r="D1402">
        <v>67</v>
      </c>
      <c r="E1402">
        <v>460</v>
      </c>
      <c r="F1402">
        <v>4</v>
      </c>
      <c r="K1402" s="1">
        <f t="shared" si="137"/>
        <v>460</v>
      </c>
      <c r="L1402" s="1" t="str">
        <f t="shared" si="132"/>
        <v>Normal</v>
      </c>
      <c r="M1402" s="2">
        <f t="shared" si="133"/>
        <v>40</v>
      </c>
      <c r="N1402" s="1" t="str">
        <f t="shared" si="134"/>
        <v>Lembab</v>
      </c>
      <c r="O1402" t="str">
        <f t="shared" si="135"/>
        <v>Fuzzy</v>
      </c>
      <c r="P1402" t="str">
        <f t="shared" si="136"/>
        <v>Fuzzy</v>
      </c>
    </row>
    <row r="1403" spans="1:16" x14ac:dyDescent="0.35">
      <c r="A1403" t="s">
        <v>1406</v>
      </c>
      <c r="B1403">
        <v>5616</v>
      </c>
      <c r="C1403">
        <v>28</v>
      </c>
      <c r="D1403">
        <v>66</v>
      </c>
      <c r="E1403">
        <v>536</v>
      </c>
      <c r="F1403">
        <v>4</v>
      </c>
      <c r="K1403" s="1">
        <f t="shared" si="137"/>
        <v>536</v>
      </c>
      <c r="L1403" s="1" t="str">
        <f t="shared" si="132"/>
        <v>Normal</v>
      </c>
      <c r="M1403" s="2">
        <f t="shared" si="133"/>
        <v>59</v>
      </c>
      <c r="N1403" s="1" t="str">
        <f t="shared" si="134"/>
        <v>Lembab</v>
      </c>
      <c r="O1403" t="str">
        <f t="shared" si="135"/>
        <v>Fuzzy</v>
      </c>
      <c r="P1403" t="str">
        <f t="shared" si="136"/>
        <v>Fuzzy</v>
      </c>
    </row>
    <row r="1404" spans="1:16" x14ac:dyDescent="0.35">
      <c r="A1404" t="s">
        <v>1407</v>
      </c>
      <c r="B1404">
        <v>5617</v>
      </c>
      <c r="C1404">
        <v>28</v>
      </c>
      <c r="D1404">
        <v>67</v>
      </c>
      <c r="E1404">
        <v>489</v>
      </c>
      <c r="F1404">
        <v>3</v>
      </c>
      <c r="K1404" s="1">
        <f t="shared" si="137"/>
        <v>489</v>
      </c>
      <c r="L1404" s="1" t="str">
        <f t="shared" si="132"/>
        <v>Normal</v>
      </c>
      <c r="M1404" s="2">
        <f t="shared" si="133"/>
        <v>47.25</v>
      </c>
      <c r="N1404" s="1" t="str">
        <f t="shared" si="134"/>
        <v>Lembab</v>
      </c>
      <c r="O1404" t="str">
        <f t="shared" si="135"/>
        <v>Fuzzy</v>
      </c>
      <c r="P1404" t="str">
        <f t="shared" si="136"/>
        <v>Fuzzy</v>
      </c>
    </row>
    <row r="1405" spans="1:16" x14ac:dyDescent="0.35">
      <c r="A1405" t="s">
        <v>1408</v>
      </c>
      <c r="B1405">
        <v>5618</v>
      </c>
      <c r="C1405">
        <v>28</v>
      </c>
      <c r="D1405">
        <v>67</v>
      </c>
      <c r="E1405">
        <v>546</v>
      </c>
      <c r="F1405">
        <v>4</v>
      </c>
      <c r="K1405" s="1">
        <f t="shared" si="137"/>
        <v>546</v>
      </c>
      <c r="L1405" s="1" t="str">
        <f t="shared" si="132"/>
        <v>Normal</v>
      </c>
      <c r="M1405" s="2">
        <f t="shared" si="133"/>
        <v>61.5</v>
      </c>
      <c r="N1405" s="1" t="str">
        <f t="shared" si="134"/>
        <v>Lembab</v>
      </c>
      <c r="O1405" t="str">
        <f t="shared" si="135"/>
        <v>Fuzzy</v>
      </c>
      <c r="P1405" t="str">
        <f t="shared" si="136"/>
        <v>Fuzzy</v>
      </c>
    </row>
    <row r="1406" spans="1:16" x14ac:dyDescent="0.35">
      <c r="A1406" t="s">
        <v>1409</v>
      </c>
      <c r="B1406">
        <v>5619</v>
      </c>
      <c r="C1406">
        <v>28</v>
      </c>
      <c r="D1406">
        <v>67</v>
      </c>
      <c r="E1406">
        <v>475</v>
      </c>
      <c r="F1406">
        <v>4</v>
      </c>
      <c r="K1406" s="1">
        <f t="shared" si="137"/>
        <v>475</v>
      </c>
      <c r="L1406" s="1" t="str">
        <f t="shared" si="132"/>
        <v>Normal</v>
      </c>
      <c r="M1406" s="2">
        <f t="shared" si="133"/>
        <v>43.75</v>
      </c>
      <c r="N1406" s="1" t="str">
        <f t="shared" si="134"/>
        <v>Lembab</v>
      </c>
      <c r="O1406" t="str">
        <f t="shared" si="135"/>
        <v>Fuzzy</v>
      </c>
      <c r="P1406" t="str">
        <f t="shared" si="136"/>
        <v>Fuzzy</v>
      </c>
    </row>
    <row r="1407" spans="1:16" x14ac:dyDescent="0.35">
      <c r="A1407" t="s">
        <v>1410</v>
      </c>
      <c r="B1407">
        <v>5620</v>
      </c>
      <c r="C1407">
        <v>28</v>
      </c>
      <c r="D1407">
        <v>68</v>
      </c>
      <c r="E1407">
        <v>526</v>
      </c>
      <c r="F1407">
        <v>4</v>
      </c>
      <c r="K1407" s="1">
        <f t="shared" si="137"/>
        <v>526</v>
      </c>
      <c r="L1407" s="1" t="str">
        <f t="shared" si="132"/>
        <v>Normal</v>
      </c>
      <c r="M1407" s="2">
        <f t="shared" si="133"/>
        <v>56.499999999999993</v>
      </c>
      <c r="N1407" s="1" t="str">
        <f t="shared" si="134"/>
        <v>Lembab</v>
      </c>
      <c r="O1407" t="str">
        <f t="shared" si="135"/>
        <v>Fuzzy</v>
      </c>
      <c r="P1407" t="str">
        <f t="shared" si="136"/>
        <v>Fuzzy</v>
      </c>
    </row>
    <row r="1408" spans="1:16" x14ac:dyDescent="0.35">
      <c r="A1408" t="s">
        <v>1411</v>
      </c>
      <c r="B1408">
        <v>5621</v>
      </c>
      <c r="C1408">
        <v>28</v>
      </c>
      <c r="D1408">
        <v>69</v>
      </c>
      <c r="E1408">
        <v>526</v>
      </c>
      <c r="F1408">
        <v>4</v>
      </c>
      <c r="K1408" s="1">
        <f t="shared" si="137"/>
        <v>526</v>
      </c>
      <c r="L1408" s="1" t="str">
        <f t="shared" si="132"/>
        <v>Normal</v>
      </c>
      <c r="M1408" s="2">
        <f t="shared" si="133"/>
        <v>56.499999999999993</v>
      </c>
      <c r="N1408" s="1" t="str">
        <f t="shared" si="134"/>
        <v>Lembab</v>
      </c>
      <c r="O1408" t="str">
        <f t="shared" si="135"/>
        <v>Fuzzy</v>
      </c>
      <c r="P1408" t="str">
        <f t="shared" si="136"/>
        <v>Fuzzy</v>
      </c>
    </row>
    <row r="1409" spans="1:16" x14ac:dyDescent="0.35">
      <c r="A1409" t="s">
        <v>1412</v>
      </c>
      <c r="B1409">
        <v>5622</v>
      </c>
      <c r="C1409">
        <v>28</v>
      </c>
      <c r="D1409">
        <v>69</v>
      </c>
      <c r="E1409">
        <v>547</v>
      </c>
      <c r="F1409">
        <v>4</v>
      </c>
      <c r="K1409" s="1">
        <f t="shared" si="137"/>
        <v>547</v>
      </c>
      <c r="L1409" s="1" t="str">
        <f t="shared" si="132"/>
        <v>Normal</v>
      </c>
      <c r="M1409" s="2">
        <f t="shared" si="133"/>
        <v>61.750000000000007</v>
      </c>
      <c r="N1409" s="1" t="str">
        <f t="shared" si="134"/>
        <v>Lembab</v>
      </c>
      <c r="O1409" t="str">
        <f t="shared" si="135"/>
        <v>Fuzzy</v>
      </c>
      <c r="P1409" t="str">
        <f t="shared" si="136"/>
        <v>Fuzzy</v>
      </c>
    </row>
    <row r="1410" spans="1:16" x14ac:dyDescent="0.35">
      <c r="A1410" t="s">
        <v>1413</v>
      </c>
      <c r="B1410">
        <v>5623</v>
      </c>
      <c r="C1410">
        <v>28</v>
      </c>
      <c r="D1410">
        <v>69</v>
      </c>
      <c r="E1410">
        <v>664</v>
      </c>
      <c r="F1410">
        <v>4</v>
      </c>
      <c r="K1410" s="1">
        <f t="shared" si="137"/>
        <v>664</v>
      </c>
      <c r="L1410" s="1" t="str">
        <f t="shared" si="132"/>
        <v>Normal</v>
      </c>
      <c r="M1410" s="2">
        <f t="shared" si="133"/>
        <v>91</v>
      </c>
      <c r="N1410" s="1" t="str">
        <f t="shared" si="134"/>
        <v>Basah</v>
      </c>
      <c r="O1410" t="str">
        <f t="shared" si="135"/>
        <v>Fuzzy</v>
      </c>
      <c r="P1410" t="str">
        <f t="shared" si="136"/>
        <v>Fuzzy</v>
      </c>
    </row>
    <row r="1411" spans="1:16" x14ac:dyDescent="0.35">
      <c r="A1411" t="s">
        <v>1414</v>
      </c>
      <c r="B1411">
        <v>5624</v>
      </c>
      <c r="C1411">
        <v>28</v>
      </c>
      <c r="D1411">
        <v>69</v>
      </c>
      <c r="E1411">
        <v>583</v>
      </c>
      <c r="F1411">
        <v>3</v>
      </c>
      <c r="K1411" s="1">
        <f t="shared" si="137"/>
        <v>583</v>
      </c>
      <c r="L1411" s="1" t="str">
        <f t="shared" ref="L1411:L1474" si="138">IF(A1410 &lt;= 10, "Dingin", IF(OR(A1410 &gt;= 10, A1410 &lt; 35), "Normal", "Panas"))</f>
        <v>Normal</v>
      </c>
      <c r="M1411" s="2">
        <f t="shared" ref="M1411:M1474" si="139">IF(K1411&lt;=300, K1411/1023*100, IF(K1411&lt;=700, (K1411-300)/(700-301+1)*100, (K1411-700)/(1023-701+1)*100))</f>
        <v>70.75</v>
      </c>
      <c r="N1411" s="1" t="str">
        <f t="shared" ref="N1411:N1474" si="140">IF(M1411&lt;=29.32, "Kering", IF(M1411&lt;=68.53, "Lembab", "Basah"))</f>
        <v>Basah</v>
      </c>
      <c r="O1411" t="str">
        <f t="shared" ref="O1411:O1474" si="141">IF(OR(AND(C1411 &gt; 10, C1411 &lt; 22.5), AND(C1411 &gt;= 22.5, C1411 &lt; 35)), "Fuzzy", "")</f>
        <v>Fuzzy</v>
      </c>
      <c r="P1411" t="str">
        <f t="shared" ref="P1411:P1474" si="142">IF(OR(AND(M1411 &gt;= 0, M1411 &lt; 50), AND(M1411 &gt;= 50, M1411 &lt; 100)), "Fuzzy", "")</f>
        <v>Fuzzy</v>
      </c>
    </row>
    <row r="1412" spans="1:16" x14ac:dyDescent="0.35">
      <c r="A1412" t="s">
        <v>1415</v>
      </c>
      <c r="B1412">
        <v>5625</v>
      </c>
      <c r="C1412">
        <v>28</v>
      </c>
      <c r="D1412">
        <v>69</v>
      </c>
      <c r="E1412">
        <v>704</v>
      </c>
      <c r="F1412">
        <v>4</v>
      </c>
      <c r="K1412" s="1">
        <f t="shared" si="137"/>
        <v>704</v>
      </c>
      <c r="L1412" s="1" t="str">
        <f t="shared" si="138"/>
        <v>Normal</v>
      </c>
      <c r="M1412" s="2">
        <f t="shared" si="139"/>
        <v>1.2383900928792571</v>
      </c>
      <c r="N1412" s="1" t="str">
        <f t="shared" si="140"/>
        <v>Kering</v>
      </c>
      <c r="O1412" t="str">
        <f t="shared" si="141"/>
        <v>Fuzzy</v>
      </c>
      <c r="P1412" t="str">
        <f t="shared" si="142"/>
        <v>Fuzzy</v>
      </c>
    </row>
    <row r="1413" spans="1:16" x14ac:dyDescent="0.35">
      <c r="A1413" t="s">
        <v>1416</v>
      </c>
      <c r="B1413">
        <v>5626</v>
      </c>
      <c r="C1413">
        <v>28</v>
      </c>
      <c r="D1413">
        <v>69</v>
      </c>
      <c r="E1413">
        <v>520</v>
      </c>
      <c r="F1413">
        <v>4</v>
      </c>
      <c r="K1413" s="1">
        <f t="shared" si="137"/>
        <v>520</v>
      </c>
      <c r="L1413" s="1" t="str">
        <f t="shared" si="138"/>
        <v>Normal</v>
      </c>
      <c r="M1413" s="2">
        <f t="shared" si="139"/>
        <v>55.000000000000007</v>
      </c>
      <c r="N1413" s="1" t="str">
        <f t="shared" si="140"/>
        <v>Lembab</v>
      </c>
      <c r="O1413" t="str">
        <f t="shared" si="141"/>
        <v>Fuzzy</v>
      </c>
      <c r="P1413" t="str">
        <f t="shared" si="142"/>
        <v>Fuzzy</v>
      </c>
    </row>
    <row r="1414" spans="1:16" x14ac:dyDescent="0.35">
      <c r="A1414" t="s">
        <v>1417</v>
      </c>
      <c r="B1414">
        <v>5627</v>
      </c>
      <c r="C1414">
        <v>28</v>
      </c>
      <c r="D1414">
        <v>69</v>
      </c>
      <c r="E1414">
        <v>536</v>
      </c>
      <c r="F1414">
        <v>4</v>
      </c>
      <c r="K1414" s="1">
        <f t="shared" si="137"/>
        <v>536</v>
      </c>
      <c r="L1414" s="1" t="str">
        <f t="shared" si="138"/>
        <v>Normal</v>
      </c>
      <c r="M1414" s="2">
        <f t="shared" si="139"/>
        <v>59</v>
      </c>
      <c r="N1414" s="1" t="str">
        <f t="shared" si="140"/>
        <v>Lembab</v>
      </c>
      <c r="O1414" t="str">
        <f t="shared" si="141"/>
        <v>Fuzzy</v>
      </c>
      <c r="P1414" t="str">
        <f t="shared" si="142"/>
        <v>Fuzzy</v>
      </c>
    </row>
    <row r="1415" spans="1:16" x14ac:dyDescent="0.35">
      <c r="A1415" t="s">
        <v>1418</v>
      </c>
      <c r="B1415">
        <v>5628</v>
      </c>
      <c r="C1415">
        <v>28</v>
      </c>
      <c r="D1415">
        <v>69</v>
      </c>
      <c r="E1415">
        <v>535</v>
      </c>
      <c r="F1415">
        <v>4</v>
      </c>
      <c r="K1415" s="1">
        <f t="shared" si="137"/>
        <v>535</v>
      </c>
      <c r="L1415" s="1" t="str">
        <f t="shared" si="138"/>
        <v>Normal</v>
      </c>
      <c r="M1415" s="2">
        <f t="shared" si="139"/>
        <v>58.75</v>
      </c>
      <c r="N1415" s="1" t="str">
        <f t="shared" si="140"/>
        <v>Lembab</v>
      </c>
      <c r="O1415" t="str">
        <f t="shared" si="141"/>
        <v>Fuzzy</v>
      </c>
      <c r="P1415" t="str">
        <f t="shared" si="142"/>
        <v>Fuzzy</v>
      </c>
    </row>
    <row r="1416" spans="1:16" x14ac:dyDescent="0.35">
      <c r="A1416" t="s">
        <v>1419</v>
      </c>
      <c r="B1416">
        <v>5629</v>
      </c>
      <c r="C1416">
        <v>28</v>
      </c>
      <c r="D1416">
        <v>69</v>
      </c>
      <c r="E1416">
        <v>566</v>
      </c>
      <c r="F1416">
        <v>4</v>
      </c>
      <c r="K1416" s="1">
        <f t="shared" si="137"/>
        <v>566</v>
      </c>
      <c r="L1416" s="1" t="str">
        <f t="shared" si="138"/>
        <v>Normal</v>
      </c>
      <c r="M1416" s="2">
        <f t="shared" si="139"/>
        <v>66.5</v>
      </c>
      <c r="N1416" s="1" t="str">
        <f t="shared" si="140"/>
        <v>Lembab</v>
      </c>
      <c r="O1416" t="str">
        <f t="shared" si="141"/>
        <v>Fuzzy</v>
      </c>
      <c r="P1416" t="str">
        <f t="shared" si="142"/>
        <v>Fuzzy</v>
      </c>
    </row>
    <row r="1417" spans="1:16" x14ac:dyDescent="0.35">
      <c r="A1417" t="s">
        <v>1420</v>
      </c>
      <c r="B1417">
        <v>5630</v>
      </c>
      <c r="C1417">
        <v>28</v>
      </c>
      <c r="D1417">
        <v>69</v>
      </c>
      <c r="E1417">
        <v>581</v>
      </c>
      <c r="F1417">
        <v>4</v>
      </c>
      <c r="K1417" s="1">
        <f t="shared" si="137"/>
        <v>581</v>
      </c>
      <c r="L1417" s="1" t="str">
        <f t="shared" si="138"/>
        <v>Normal</v>
      </c>
      <c r="M1417" s="2">
        <f t="shared" si="139"/>
        <v>70.25</v>
      </c>
      <c r="N1417" s="1" t="str">
        <f t="shared" si="140"/>
        <v>Basah</v>
      </c>
      <c r="O1417" t="str">
        <f t="shared" si="141"/>
        <v>Fuzzy</v>
      </c>
      <c r="P1417" t="str">
        <f t="shared" si="142"/>
        <v>Fuzzy</v>
      </c>
    </row>
    <row r="1418" spans="1:16" x14ac:dyDescent="0.35">
      <c r="A1418" t="s">
        <v>1421</v>
      </c>
      <c r="B1418">
        <v>5631</v>
      </c>
      <c r="C1418">
        <v>28</v>
      </c>
      <c r="D1418">
        <v>69</v>
      </c>
      <c r="E1418">
        <v>591</v>
      </c>
      <c r="F1418">
        <v>3</v>
      </c>
      <c r="K1418" s="1">
        <f t="shared" si="137"/>
        <v>591</v>
      </c>
      <c r="L1418" s="1" t="str">
        <f t="shared" si="138"/>
        <v>Normal</v>
      </c>
      <c r="M1418" s="2">
        <f t="shared" si="139"/>
        <v>72.75</v>
      </c>
      <c r="N1418" s="1" t="str">
        <f t="shared" si="140"/>
        <v>Basah</v>
      </c>
      <c r="O1418" t="str">
        <f t="shared" si="141"/>
        <v>Fuzzy</v>
      </c>
      <c r="P1418" t="str">
        <f t="shared" si="142"/>
        <v>Fuzzy</v>
      </c>
    </row>
    <row r="1419" spans="1:16" x14ac:dyDescent="0.35">
      <c r="A1419" t="s">
        <v>1422</v>
      </c>
      <c r="B1419">
        <v>5632</v>
      </c>
      <c r="C1419">
        <v>28</v>
      </c>
      <c r="D1419">
        <v>69</v>
      </c>
      <c r="E1419">
        <v>638</v>
      </c>
      <c r="F1419">
        <v>5</v>
      </c>
      <c r="K1419" s="1">
        <f t="shared" si="137"/>
        <v>638</v>
      </c>
      <c r="L1419" s="1" t="str">
        <f t="shared" si="138"/>
        <v>Normal</v>
      </c>
      <c r="M1419" s="2">
        <f t="shared" si="139"/>
        <v>84.5</v>
      </c>
      <c r="N1419" s="1" t="str">
        <f t="shared" si="140"/>
        <v>Basah</v>
      </c>
      <c r="O1419" t="str">
        <f t="shared" si="141"/>
        <v>Fuzzy</v>
      </c>
      <c r="P1419" t="str">
        <f t="shared" si="142"/>
        <v>Fuzzy</v>
      </c>
    </row>
    <row r="1420" spans="1:16" x14ac:dyDescent="0.35">
      <c r="A1420" t="s">
        <v>1423</v>
      </c>
      <c r="B1420">
        <v>5633</v>
      </c>
      <c r="C1420">
        <v>28</v>
      </c>
      <c r="D1420">
        <v>69</v>
      </c>
      <c r="E1420">
        <v>436</v>
      </c>
      <c r="F1420">
        <v>4</v>
      </c>
      <c r="K1420" s="1">
        <f t="shared" si="137"/>
        <v>436</v>
      </c>
      <c r="L1420" s="1" t="str">
        <f t="shared" si="138"/>
        <v>Normal</v>
      </c>
      <c r="M1420" s="2">
        <f t="shared" si="139"/>
        <v>34</v>
      </c>
      <c r="N1420" s="1" t="str">
        <f t="shared" si="140"/>
        <v>Lembab</v>
      </c>
      <c r="O1420" t="str">
        <f t="shared" si="141"/>
        <v>Fuzzy</v>
      </c>
      <c r="P1420" t="str">
        <f t="shared" si="142"/>
        <v>Fuzzy</v>
      </c>
    </row>
    <row r="1421" spans="1:16" x14ac:dyDescent="0.35">
      <c r="A1421" t="s">
        <v>1424</v>
      </c>
      <c r="B1421">
        <v>5634</v>
      </c>
      <c r="C1421">
        <v>28</v>
      </c>
      <c r="D1421">
        <v>69</v>
      </c>
      <c r="E1421">
        <v>431</v>
      </c>
      <c r="F1421">
        <v>4</v>
      </c>
      <c r="K1421" s="1">
        <f t="shared" ref="K1421:K1484" si="143">IF(E1421&lt;=1023, E1421, "")</f>
        <v>431</v>
      </c>
      <c r="L1421" s="1" t="str">
        <f t="shared" si="138"/>
        <v>Normal</v>
      </c>
      <c r="M1421" s="2">
        <f t="shared" si="139"/>
        <v>32.75</v>
      </c>
      <c r="N1421" s="1" t="str">
        <f t="shared" si="140"/>
        <v>Lembab</v>
      </c>
      <c r="O1421" t="str">
        <f t="shared" si="141"/>
        <v>Fuzzy</v>
      </c>
      <c r="P1421" t="str">
        <f t="shared" si="142"/>
        <v>Fuzzy</v>
      </c>
    </row>
    <row r="1422" spans="1:16" x14ac:dyDescent="0.35">
      <c r="A1422" t="s">
        <v>1425</v>
      </c>
      <c r="B1422">
        <v>5635</v>
      </c>
      <c r="C1422">
        <v>28</v>
      </c>
      <c r="D1422">
        <v>69</v>
      </c>
      <c r="E1422">
        <v>549</v>
      </c>
      <c r="F1422">
        <v>4</v>
      </c>
      <c r="K1422" s="1">
        <f t="shared" si="143"/>
        <v>549</v>
      </c>
      <c r="L1422" s="1" t="str">
        <f t="shared" si="138"/>
        <v>Normal</v>
      </c>
      <c r="M1422" s="2">
        <f t="shared" si="139"/>
        <v>62.250000000000007</v>
      </c>
      <c r="N1422" s="1" t="str">
        <f t="shared" si="140"/>
        <v>Lembab</v>
      </c>
      <c r="O1422" t="str">
        <f t="shared" si="141"/>
        <v>Fuzzy</v>
      </c>
      <c r="P1422" t="str">
        <f t="shared" si="142"/>
        <v>Fuzzy</v>
      </c>
    </row>
    <row r="1423" spans="1:16" x14ac:dyDescent="0.35">
      <c r="A1423" t="s">
        <v>1426</v>
      </c>
      <c r="B1423">
        <v>5636</v>
      </c>
      <c r="C1423">
        <v>28</v>
      </c>
      <c r="D1423">
        <v>68</v>
      </c>
      <c r="E1423">
        <v>551</v>
      </c>
      <c r="F1423">
        <v>4</v>
      </c>
      <c r="K1423" s="1">
        <f t="shared" si="143"/>
        <v>551</v>
      </c>
      <c r="L1423" s="1" t="str">
        <f t="shared" si="138"/>
        <v>Normal</v>
      </c>
      <c r="M1423" s="2">
        <f t="shared" si="139"/>
        <v>62.749999999999993</v>
      </c>
      <c r="N1423" s="1" t="str">
        <f t="shared" si="140"/>
        <v>Lembab</v>
      </c>
      <c r="O1423" t="str">
        <f t="shared" si="141"/>
        <v>Fuzzy</v>
      </c>
      <c r="P1423" t="str">
        <f t="shared" si="142"/>
        <v>Fuzzy</v>
      </c>
    </row>
    <row r="1424" spans="1:16" x14ac:dyDescent="0.35">
      <c r="A1424" t="s">
        <v>1427</v>
      </c>
      <c r="B1424">
        <v>5637</v>
      </c>
      <c r="C1424">
        <v>28</v>
      </c>
      <c r="D1424">
        <v>68</v>
      </c>
      <c r="E1424">
        <v>519</v>
      </c>
      <c r="F1424">
        <v>4</v>
      </c>
      <c r="K1424" s="1">
        <f t="shared" si="143"/>
        <v>519</v>
      </c>
      <c r="L1424" s="1" t="str">
        <f t="shared" si="138"/>
        <v>Normal</v>
      </c>
      <c r="M1424" s="2">
        <f t="shared" si="139"/>
        <v>54.75</v>
      </c>
      <c r="N1424" s="1" t="str">
        <f t="shared" si="140"/>
        <v>Lembab</v>
      </c>
      <c r="O1424" t="str">
        <f t="shared" si="141"/>
        <v>Fuzzy</v>
      </c>
      <c r="P1424" t="str">
        <f t="shared" si="142"/>
        <v>Fuzzy</v>
      </c>
    </row>
    <row r="1425" spans="1:16" x14ac:dyDescent="0.35">
      <c r="A1425" t="s">
        <v>1428</v>
      </c>
      <c r="B1425">
        <v>5638</v>
      </c>
      <c r="C1425">
        <v>28</v>
      </c>
      <c r="D1425">
        <v>67</v>
      </c>
      <c r="E1425">
        <v>561</v>
      </c>
      <c r="F1425">
        <v>4</v>
      </c>
      <c r="K1425" s="1">
        <f t="shared" si="143"/>
        <v>561</v>
      </c>
      <c r="L1425" s="1" t="str">
        <f t="shared" si="138"/>
        <v>Normal</v>
      </c>
      <c r="M1425" s="2">
        <f t="shared" si="139"/>
        <v>65.25</v>
      </c>
      <c r="N1425" s="1" t="str">
        <f t="shared" si="140"/>
        <v>Lembab</v>
      </c>
      <c r="O1425" t="str">
        <f t="shared" si="141"/>
        <v>Fuzzy</v>
      </c>
      <c r="P1425" t="str">
        <f t="shared" si="142"/>
        <v>Fuzzy</v>
      </c>
    </row>
    <row r="1426" spans="1:16" x14ac:dyDescent="0.35">
      <c r="A1426" t="s">
        <v>1429</v>
      </c>
      <c r="B1426">
        <v>5639</v>
      </c>
      <c r="C1426">
        <v>28</v>
      </c>
      <c r="D1426">
        <v>66</v>
      </c>
      <c r="E1426">
        <v>555</v>
      </c>
      <c r="F1426">
        <v>4</v>
      </c>
      <c r="K1426" s="1">
        <f t="shared" si="143"/>
        <v>555</v>
      </c>
      <c r="L1426" s="1" t="str">
        <f t="shared" si="138"/>
        <v>Normal</v>
      </c>
      <c r="M1426" s="2">
        <f t="shared" si="139"/>
        <v>63.749999999999993</v>
      </c>
      <c r="N1426" s="1" t="str">
        <f t="shared" si="140"/>
        <v>Lembab</v>
      </c>
      <c r="O1426" t="str">
        <f t="shared" si="141"/>
        <v>Fuzzy</v>
      </c>
      <c r="P1426" t="str">
        <f t="shared" si="142"/>
        <v>Fuzzy</v>
      </c>
    </row>
    <row r="1427" spans="1:16" x14ac:dyDescent="0.35">
      <c r="A1427" t="s">
        <v>1430</v>
      </c>
      <c r="B1427">
        <v>5640</v>
      </c>
      <c r="C1427">
        <v>28</v>
      </c>
      <c r="D1427">
        <v>66</v>
      </c>
      <c r="E1427">
        <v>520</v>
      </c>
      <c r="F1427">
        <v>4</v>
      </c>
      <c r="K1427" s="1">
        <f t="shared" si="143"/>
        <v>520</v>
      </c>
      <c r="L1427" s="1" t="str">
        <f t="shared" si="138"/>
        <v>Normal</v>
      </c>
      <c r="M1427" s="2">
        <f t="shared" si="139"/>
        <v>55.000000000000007</v>
      </c>
      <c r="N1427" s="1" t="str">
        <f t="shared" si="140"/>
        <v>Lembab</v>
      </c>
      <c r="O1427" t="str">
        <f t="shared" si="141"/>
        <v>Fuzzy</v>
      </c>
      <c r="P1427" t="str">
        <f t="shared" si="142"/>
        <v>Fuzzy</v>
      </c>
    </row>
    <row r="1428" spans="1:16" x14ac:dyDescent="0.35">
      <c r="A1428" t="s">
        <v>1431</v>
      </c>
      <c r="B1428">
        <v>5641</v>
      </c>
      <c r="C1428">
        <v>28</v>
      </c>
      <c r="D1428">
        <v>67</v>
      </c>
      <c r="E1428">
        <v>530</v>
      </c>
      <c r="F1428">
        <v>4</v>
      </c>
      <c r="K1428" s="1">
        <f t="shared" si="143"/>
        <v>530</v>
      </c>
      <c r="L1428" s="1" t="str">
        <f t="shared" si="138"/>
        <v>Normal</v>
      </c>
      <c r="M1428" s="2">
        <f t="shared" si="139"/>
        <v>57.499999999999993</v>
      </c>
      <c r="N1428" s="1" t="str">
        <f t="shared" si="140"/>
        <v>Lembab</v>
      </c>
      <c r="O1428" t="str">
        <f t="shared" si="141"/>
        <v>Fuzzy</v>
      </c>
      <c r="P1428" t="str">
        <f t="shared" si="142"/>
        <v>Fuzzy</v>
      </c>
    </row>
    <row r="1429" spans="1:16" x14ac:dyDescent="0.35">
      <c r="A1429" t="s">
        <v>1432</v>
      </c>
      <c r="B1429">
        <v>5642</v>
      </c>
      <c r="C1429">
        <v>28</v>
      </c>
      <c r="D1429">
        <v>67</v>
      </c>
      <c r="E1429">
        <v>476</v>
      </c>
      <c r="F1429">
        <v>4</v>
      </c>
      <c r="K1429" s="1">
        <f t="shared" si="143"/>
        <v>476</v>
      </c>
      <c r="L1429" s="1" t="str">
        <f t="shared" si="138"/>
        <v>Normal</v>
      </c>
      <c r="M1429" s="2">
        <f t="shared" si="139"/>
        <v>44</v>
      </c>
      <c r="N1429" s="1" t="str">
        <f t="shared" si="140"/>
        <v>Lembab</v>
      </c>
      <c r="O1429" t="str">
        <f t="shared" si="141"/>
        <v>Fuzzy</v>
      </c>
      <c r="P1429" t="str">
        <f t="shared" si="142"/>
        <v>Fuzzy</v>
      </c>
    </row>
    <row r="1430" spans="1:16" x14ac:dyDescent="0.35">
      <c r="A1430" t="s">
        <v>1433</v>
      </c>
      <c r="B1430">
        <v>5643</v>
      </c>
      <c r="C1430">
        <v>28</v>
      </c>
      <c r="D1430">
        <v>68</v>
      </c>
      <c r="E1430">
        <v>567</v>
      </c>
      <c r="F1430">
        <v>4</v>
      </c>
      <c r="K1430" s="1">
        <f t="shared" si="143"/>
        <v>567</v>
      </c>
      <c r="L1430" s="1" t="str">
        <f t="shared" si="138"/>
        <v>Normal</v>
      </c>
      <c r="M1430" s="2">
        <f t="shared" si="139"/>
        <v>66.75</v>
      </c>
      <c r="N1430" s="1" t="str">
        <f t="shared" si="140"/>
        <v>Lembab</v>
      </c>
      <c r="O1430" t="str">
        <f t="shared" si="141"/>
        <v>Fuzzy</v>
      </c>
      <c r="P1430" t="str">
        <f t="shared" si="142"/>
        <v>Fuzzy</v>
      </c>
    </row>
    <row r="1431" spans="1:16" x14ac:dyDescent="0.35">
      <c r="A1431" t="s">
        <v>1434</v>
      </c>
      <c r="B1431">
        <v>5644</v>
      </c>
      <c r="C1431">
        <v>28</v>
      </c>
      <c r="D1431">
        <v>68</v>
      </c>
      <c r="E1431">
        <v>567</v>
      </c>
      <c r="F1431">
        <v>4</v>
      </c>
      <c r="K1431" s="1">
        <f t="shared" si="143"/>
        <v>567</v>
      </c>
      <c r="L1431" s="1" t="str">
        <f t="shared" si="138"/>
        <v>Normal</v>
      </c>
      <c r="M1431" s="2">
        <f t="shared" si="139"/>
        <v>66.75</v>
      </c>
      <c r="N1431" s="1" t="str">
        <f t="shared" si="140"/>
        <v>Lembab</v>
      </c>
      <c r="O1431" t="str">
        <f t="shared" si="141"/>
        <v>Fuzzy</v>
      </c>
      <c r="P1431" t="str">
        <f t="shared" si="142"/>
        <v>Fuzzy</v>
      </c>
    </row>
    <row r="1432" spans="1:16" x14ac:dyDescent="0.35">
      <c r="A1432" t="s">
        <v>1435</v>
      </c>
      <c r="B1432">
        <v>5645</v>
      </c>
      <c r="C1432">
        <v>28</v>
      </c>
      <c r="D1432">
        <v>69</v>
      </c>
      <c r="E1432">
        <v>556</v>
      </c>
      <c r="F1432">
        <v>4</v>
      </c>
      <c r="K1432" s="1">
        <f t="shared" si="143"/>
        <v>556</v>
      </c>
      <c r="L1432" s="1" t="str">
        <f t="shared" si="138"/>
        <v>Normal</v>
      </c>
      <c r="M1432" s="2">
        <f t="shared" si="139"/>
        <v>64</v>
      </c>
      <c r="N1432" s="1" t="str">
        <f t="shared" si="140"/>
        <v>Lembab</v>
      </c>
      <c r="O1432" t="str">
        <f t="shared" si="141"/>
        <v>Fuzzy</v>
      </c>
      <c r="P1432" t="str">
        <f t="shared" si="142"/>
        <v>Fuzzy</v>
      </c>
    </row>
    <row r="1433" spans="1:16" x14ac:dyDescent="0.35">
      <c r="A1433" t="s">
        <v>1436</v>
      </c>
      <c r="B1433">
        <v>5646</v>
      </c>
      <c r="C1433">
        <v>28</v>
      </c>
      <c r="D1433">
        <v>69</v>
      </c>
      <c r="E1433">
        <v>566</v>
      </c>
      <c r="F1433">
        <v>4</v>
      </c>
      <c r="K1433" s="1">
        <f t="shared" si="143"/>
        <v>566</v>
      </c>
      <c r="L1433" s="1" t="str">
        <f t="shared" si="138"/>
        <v>Normal</v>
      </c>
      <c r="M1433" s="2">
        <f t="shared" si="139"/>
        <v>66.5</v>
      </c>
      <c r="N1433" s="1" t="str">
        <f t="shared" si="140"/>
        <v>Lembab</v>
      </c>
      <c r="O1433" t="str">
        <f t="shared" si="141"/>
        <v>Fuzzy</v>
      </c>
      <c r="P1433" t="str">
        <f t="shared" si="142"/>
        <v>Fuzzy</v>
      </c>
    </row>
    <row r="1434" spans="1:16" x14ac:dyDescent="0.35">
      <c r="A1434" t="s">
        <v>1437</v>
      </c>
      <c r="B1434">
        <v>5647</v>
      </c>
      <c r="C1434">
        <v>28</v>
      </c>
      <c r="D1434">
        <v>69</v>
      </c>
      <c r="E1434">
        <v>643</v>
      </c>
      <c r="F1434">
        <v>4</v>
      </c>
      <c r="K1434" s="1">
        <f t="shared" si="143"/>
        <v>643</v>
      </c>
      <c r="L1434" s="1" t="str">
        <f t="shared" si="138"/>
        <v>Normal</v>
      </c>
      <c r="M1434" s="2">
        <f t="shared" si="139"/>
        <v>85.75</v>
      </c>
      <c r="N1434" s="1" t="str">
        <f t="shared" si="140"/>
        <v>Basah</v>
      </c>
      <c r="O1434" t="str">
        <f t="shared" si="141"/>
        <v>Fuzzy</v>
      </c>
      <c r="P1434" t="str">
        <f t="shared" si="142"/>
        <v>Fuzzy</v>
      </c>
    </row>
    <row r="1435" spans="1:16" x14ac:dyDescent="0.35">
      <c r="A1435" t="s">
        <v>1438</v>
      </c>
      <c r="B1435">
        <v>5648</v>
      </c>
      <c r="C1435">
        <v>28</v>
      </c>
      <c r="D1435">
        <v>69</v>
      </c>
      <c r="E1435">
        <v>565</v>
      </c>
      <c r="F1435">
        <v>4</v>
      </c>
      <c r="K1435" s="1">
        <f t="shared" si="143"/>
        <v>565</v>
      </c>
      <c r="L1435" s="1" t="str">
        <f t="shared" si="138"/>
        <v>Normal</v>
      </c>
      <c r="M1435" s="2">
        <f t="shared" si="139"/>
        <v>66.25</v>
      </c>
      <c r="N1435" s="1" t="str">
        <f t="shared" si="140"/>
        <v>Lembab</v>
      </c>
      <c r="O1435" t="str">
        <f t="shared" si="141"/>
        <v>Fuzzy</v>
      </c>
      <c r="P1435" t="str">
        <f t="shared" si="142"/>
        <v>Fuzzy</v>
      </c>
    </row>
    <row r="1436" spans="1:16" x14ac:dyDescent="0.35">
      <c r="A1436" t="s">
        <v>1439</v>
      </c>
      <c r="B1436">
        <v>5649</v>
      </c>
      <c r="C1436">
        <v>28</v>
      </c>
      <c r="D1436">
        <v>70</v>
      </c>
      <c r="E1436">
        <v>592</v>
      </c>
      <c r="F1436">
        <v>3</v>
      </c>
      <c r="K1436" s="1">
        <f t="shared" si="143"/>
        <v>592</v>
      </c>
      <c r="L1436" s="1" t="str">
        <f t="shared" si="138"/>
        <v>Normal</v>
      </c>
      <c r="M1436" s="2">
        <f t="shared" si="139"/>
        <v>73</v>
      </c>
      <c r="N1436" s="1" t="str">
        <f t="shared" si="140"/>
        <v>Basah</v>
      </c>
      <c r="O1436" t="str">
        <f t="shared" si="141"/>
        <v>Fuzzy</v>
      </c>
      <c r="P1436" t="str">
        <f t="shared" si="142"/>
        <v>Fuzzy</v>
      </c>
    </row>
    <row r="1437" spans="1:16" x14ac:dyDescent="0.35">
      <c r="A1437" t="s">
        <v>1440</v>
      </c>
      <c r="B1437">
        <v>5650</v>
      </c>
      <c r="C1437">
        <v>28</v>
      </c>
      <c r="D1437">
        <v>70</v>
      </c>
      <c r="E1437">
        <v>563</v>
      </c>
      <c r="F1437">
        <v>3</v>
      </c>
      <c r="K1437" s="1">
        <f t="shared" si="143"/>
        <v>563</v>
      </c>
      <c r="L1437" s="1" t="str">
        <f t="shared" si="138"/>
        <v>Normal</v>
      </c>
      <c r="M1437" s="2">
        <f t="shared" si="139"/>
        <v>65.75</v>
      </c>
      <c r="N1437" s="1" t="str">
        <f t="shared" si="140"/>
        <v>Lembab</v>
      </c>
      <c r="O1437" t="str">
        <f t="shared" si="141"/>
        <v>Fuzzy</v>
      </c>
      <c r="P1437" t="str">
        <f t="shared" si="142"/>
        <v>Fuzzy</v>
      </c>
    </row>
    <row r="1438" spans="1:16" x14ac:dyDescent="0.35">
      <c r="A1438" t="s">
        <v>1441</v>
      </c>
      <c r="B1438">
        <v>5651</v>
      </c>
      <c r="C1438">
        <v>28</v>
      </c>
      <c r="D1438">
        <v>69</v>
      </c>
      <c r="E1438">
        <v>509</v>
      </c>
      <c r="F1438">
        <v>4</v>
      </c>
      <c r="K1438" s="1">
        <f t="shared" si="143"/>
        <v>509</v>
      </c>
      <c r="L1438" s="1" t="str">
        <f t="shared" si="138"/>
        <v>Normal</v>
      </c>
      <c r="M1438" s="2">
        <f t="shared" si="139"/>
        <v>52.25</v>
      </c>
      <c r="N1438" s="1" t="str">
        <f t="shared" si="140"/>
        <v>Lembab</v>
      </c>
      <c r="O1438" t="str">
        <f t="shared" si="141"/>
        <v>Fuzzy</v>
      </c>
      <c r="P1438" t="str">
        <f t="shared" si="142"/>
        <v>Fuzzy</v>
      </c>
    </row>
    <row r="1439" spans="1:16" x14ac:dyDescent="0.35">
      <c r="A1439" t="s">
        <v>1442</v>
      </c>
      <c r="B1439">
        <v>5652</v>
      </c>
      <c r="C1439">
        <v>28</v>
      </c>
      <c r="D1439">
        <v>69</v>
      </c>
      <c r="E1439">
        <v>562</v>
      </c>
      <c r="F1439">
        <v>4</v>
      </c>
      <c r="K1439" s="1">
        <f t="shared" si="143"/>
        <v>562</v>
      </c>
      <c r="L1439" s="1" t="str">
        <f t="shared" si="138"/>
        <v>Normal</v>
      </c>
      <c r="M1439" s="2">
        <f t="shared" si="139"/>
        <v>65.5</v>
      </c>
      <c r="N1439" s="1" t="str">
        <f t="shared" si="140"/>
        <v>Lembab</v>
      </c>
      <c r="O1439" t="str">
        <f t="shared" si="141"/>
        <v>Fuzzy</v>
      </c>
      <c r="P1439" t="str">
        <f t="shared" si="142"/>
        <v>Fuzzy</v>
      </c>
    </row>
    <row r="1440" spans="1:16" x14ac:dyDescent="0.35">
      <c r="A1440" t="s">
        <v>1443</v>
      </c>
      <c r="B1440">
        <v>5653</v>
      </c>
      <c r="C1440">
        <v>28</v>
      </c>
      <c r="D1440">
        <v>69</v>
      </c>
      <c r="E1440">
        <v>554</v>
      </c>
      <c r="F1440">
        <v>3</v>
      </c>
      <c r="K1440" s="1">
        <f t="shared" si="143"/>
        <v>554</v>
      </c>
      <c r="L1440" s="1" t="str">
        <f t="shared" si="138"/>
        <v>Normal</v>
      </c>
      <c r="M1440" s="2">
        <f t="shared" si="139"/>
        <v>63.5</v>
      </c>
      <c r="N1440" s="1" t="str">
        <f t="shared" si="140"/>
        <v>Lembab</v>
      </c>
      <c r="O1440" t="str">
        <f t="shared" si="141"/>
        <v>Fuzzy</v>
      </c>
      <c r="P1440" t="str">
        <f t="shared" si="142"/>
        <v>Fuzzy</v>
      </c>
    </row>
    <row r="1441" spans="1:16" x14ac:dyDescent="0.35">
      <c r="A1441" t="s">
        <v>1444</v>
      </c>
      <c r="B1441">
        <v>5654</v>
      </c>
      <c r="C1441">
        <v>28</v>
      </c>
      <c r="D1441">
        <v>69</v>
      </c>
      <c r="E1441">
        <v>561</v>
      </c>
      <c r="F1441">
        <v>4</v>
      </c>
      <c r="K1441" s="1">
        <f t="shared" si="143"/>
        <v>561</v>
      </c>
      <c r="L1441" s="1" t="str">
        <f t="shared" si="138"/>
        <v>Normal</v>
      </c>
      <c r="M1441" s="2">
        <f t="shared" si="139"/>
        <v>65.25</v>
      </c>
      <c r="N1441" s="1" t="str">
        <f t="shared" si="140"/>
        <v>Lembab</v>
      </c>
      <c r="O1441" t="str">
        <f t="shared" si="141"/>
        <v>Fuzzy</v>
      </c>
      <c r="P1441" t="str">
        <f t="shared" si="142"/>
        <v>Fuzzy</v>
      </c>
    </row>
    <row r="1442" spans="1:16" x14ac:dyDescent="0.35">
      <c r="A1442" t="s">
        <v>1445</v>
      </c>
      <c r="B1442">
        <v>5655</v>
      </c>
      <c r="C1442">
        <v>28</v>
      </c>
      <c r="D1442">
        <v>69</v>
      </c>
      <c r="E1442">
        <v>495</v>
      </c>
      <c r="F1442">
        <v>4</v>
      </c>
      <c r="K1442" s="1">
        <f t="shared" si="143"/>
        <v>495</v>
      </c>
      <c r="L1442" s="1" t="str">
        <f t="shared" si="138"/>
        <v>Normal</v>
      </c>
      <c r="M1442" s="2">
        <f t="shared" si="139"/>
        <v>48.75</v>
      </c>
      <c r="N1442" s="1" t="str">
        <f t="shared" si="140"/>
        <v>Lembab</v>
      </c>
      <c r="O1442" t="str">
        <f t="shared" si="141"/>
        <v>Fuzzy</v>
      </c>
      <c r="P1442" t="str">
        <f t="shared" si="142"/>
        <v>Fuzzy</v>
      </c>
    </row>
    <row r="1443" spans="1:16" x14ac:dyDescent="0.35">
      <c r="A1443" t="s">
        <v>1446</v>
      </c>
      <c r="B1443">
        <v>5656</v>
      </c>
      <c r="C1443">
        <v>28</v>
      </c>
      <c r="D1443">
        <v>69</v>
      </c>
      <c r="E1443">
        <v>557</v>
      </c>
      <c r="F1443">
        <v>4</v>
      </c>
      <c r="K1443" s="1">
        <f t="shared" si="143"/>
        <v>557</v>
      </c>
      <c r="L1443" s="1" t="str">
        <f t="shared" si="138"/>
        <v>Normal</v>
      </c>
      <c r="M1443" s="2">
        <f t="shared" si="139"/>
        <v>64.25</v>
      </c>
      <c r="N1443" s="1" t="str">
        <f t="shared" si="140"/>
        <v>Lembab</v>
      </c>
      <c r="O1443" t="str">
        <f t="shared" si="141"/>
        <v>Fuzzy</v>
      </c>
      <c r="P1443" t="str">
        <f t="shared" si="142"/>
        <v>Fuzzy</v>
      </c>
    </row>
    <row r="1444" spans="1:16" x14ac:dyDescent="0.35">
      <c r="A1444" t="s">
        <v>1447</v>
      </c>
      <c r="B1444">
        <v>5657</v>
      </c>
      <c r="C1444">
        <v>28</v>
      </c>
      <c r="D1444">
        <v>69</v>
      </c>
      <c r="E1444">
        <v>624</v>
      </c>
      <c r="F1444">
        <v>5</v>
      </c>
      <c r="K1444" s="1">
        <f t="shared" si="143"/>
        <v>624</v>
      </c>
      <c r="L1444" s="1" t="str">
        <f t="shared" si="138"/>
        <v>Normal</v>
      </c>
      <c r="M1444" s="2">
        <f t="shared" si="139"/>
        <v>81</v>
      </c>
      <c r="N1444" s="1" t="str">
        <f t="shared" si="140"/>
        <v>Basah</v>
      </c>
      <c r="O1444" t="str">
        <f t="shared" si="141"/>
        <v>Fuzzy</v>
      </c>
      <c r="P1444" t="str">
        <f t="shared" si="142"/>
        <v>Fuzzy</v>
      </c>
    </row>
    <row r="1445" spans="1:16" x14ac:dyDescent="0.35">
      <c r="A1445" t="s">
        <v>1448</v>
      </c>
      <c r="B1445">
        <v>5658</v>
      </c>
      <c r="C1445">
        <v>28</v>
      </c>
      <c r="D1445">
        <v>69</v>
      </c>
      <c r="E1445">
        <v>786</v>
      </c>
      <c r="F1445">
        <v>4</v>
      </c>
      <c r="K1445" s="1">
        <f t="shared" si="143"/>
        <v>786</v>
      </c>
      <c r="L1445" s="1" t="str">
        <f t="shared" si="138"/>
        <v>Normal</v>
      </c>
      <c r="M1445" s="2">
        <f t="shared" si="139"/>
        <v>26.625386996904027</v>
      </c>
      <c r="N1445" s="1" t="str">
        <f t="shared" si="140"/>
        <v>Kering</v>
      </c>
      <c r="O1445" t="str">
        <f t="shared" si="141"/>
        <v>Fuzzy</v>
      </c>
      <c r="P1445" t="str">
        <f t="shared" si="142"/>
        <v>Fuzzy</v>
      </c>
    </row>
    <row r="1446" spans="1:16" x14ac:dyDescent="0.35">
      <c r="A1446" t="s">
        <v>1449</v>
      </c>
      <c r="B1446">
        <v>5659</v>
      </c>
      <c r="C1446">
        <v>28</v>
      </c>
      <c r="D1446">
        <v>69</v>
      </c>
      <c r="E1446">
        <v>570</v>
      </c>
      <c r="F1446">
        <v>4</v>
      </c>
      <c r="K1446" s="1">
        <f t="shared" si="143"/>
        <v>570</v>
      </c>
      <c r="L1446" s="1" t="str">
        <f t="shared" si="138"/>
        <v>Normal</v>
      </c>
      <c r="M1446" s="2">
        <f t="shared" si="139"/>
        <v>67.5</v>
      </c>
      <c r="N1446" s="1" t="str">
        <f t="shared" si="140"/>
        <v>Lembab</v>
      </c>
      <c r="O1446" t="str">
        <f t="shared" si="141"/>
        <v>Fuzzy</v>
      </c>
      <c r="P1446" t="str">
        <f t="shared" si="142"/>
        <v>Fuzzy</v>
      </c>
    </row>
    <row r="1447" spans="1:16" x14ac:dyDescent="0.35">
      <c r="A1447" t="s">
        <v>1450</v>
      </c>
      <c r="B1447">
        <v>5660</v>
      </c>
      <c r="C1447">
        <v>28</v>
      </c>
      <c r="D1447">
        <v>69</v>
      </c>
      <c r="E1447">
        <v>615</v>
      </c>
      <c r="F1447">
        <v>3</v>
      </c>
      <c r="K1447" s="1">
        <f t="shared" si="143"/>
        <v>615</v>
      </c>
      <c r="L1447" s="1" t="str">
        <f t="shared" si="138"/>
        <v>Normal</v>
      </c>
      <c r="M1447" s="2">
        <f t="shared" si="139"/>
        <v>78.75</v>
      </c>
      <c r="N1447" s="1" t="str">
        <f t="shared" si="140"/>
        <v>Basah</v>
      </c>
      <c r="O1447" t="str">
        <f t="shared" si="141"/>
        <v>Fuzzy</v>
      </c>
      <c r="P1447" t="str">
        <f t="shared" si="142"/>
        <v>Fuzzy</v>
      </c>
    </row>
    <row r="1448" spans="1:16" x14ac:dyDescent="0.35">
      <c r="A1448" t="s">
        <v>1451</v>
      </c>
      <c r="B1448">
        <v>5661</v>
      </c>
      <c r="C1448">
        <v>28</v>
      </c>
      <c r="D1448">
        <v>69</v>
      </c>
      <c r="E1448">
        <v>564</v>
      </c>
      <c r="F1448">
        <v>4</v>
      </c>
      <c r="K1448" s="1">
        <f t="shared" si="143"/>
        <v>564</v>
      </c>
      <c r="L1448" s="1" t="str">
        <f t="shared" si="138"/>
        <v>Normal</v>
      </c>
      <c r="M1448" s="2">
        <f t="shared" si="139"/>
        <v>66</v>
      </c>
      <c r="N1448" s="1" t="str">
        <f t="shared" si="140"/>
        <v>Lembab</v>
      </c>
      <c r="O1448" t="str">
        <f t="shared" si="141"/>
        <v>Fuzzy</v>
      </c>
      <c r="P1448" t="str">
        <f t="shared" si="142"/>
        <v>Fuzzy</v>
      </c>
    </row>
    <row r="1449" spans="1:16" x14ac:dyDescent="0.35">
      <c r="A1449" t="s">
        <v>1452</v>
      </c>
      <c r="B1449">
        <v>5662</v>
      </c>
      <c r="C1449">
        <v>28</v>
      </c>
      <c r="D1449">
        <v>69</v>
      </c>
      <c r="E1449">
        <v>587</v>
      </c>
      <c r="F1449">
        <v>4</v>
      </c>
      <c r="K1449" s="1">
        <f t="shared" si="143"/>
        <v>587</v>
      </c>
      <c r="L1449" s="1" t="str">
        <f t="shared" si="138"/>
        <v>Normal</v>
      </c>
      <c r="M1449" s="2">
        <f t="shared" si="139"/>
        <v>71.75</v>
      </c>
      <c r="N1449" s="1" t="str">
        <f t="shared" si="140"/>
        <v>Basah</v>
      </c>
      <c r="O1449" t="str">
        <f t="shared" si="141"/>
        <v>Fuzzy</v>
      </c>
      <c r="P1449" t="str">
        <f t="shared" si="142"/>
        <v>Fuzzy</v>
      </c>
    </row>
    <row r="1450" spans="1:16" x14ac:dyDescent="0.35">
      <c r="A1450" t="s">
        <v>1453</v>
      </c>
      <c r="B1450">
        <v>5663</v>
      </c>
      <c r="C1450">
        <v>28</v>
      </c>
      <c r="D1450">
        <v>66</v>
      </c>
      <c r="E1450">
        <v>543</v>
      </c>
      <c r="F1450">
        <v>4</v>
      </c>
      <c r="K1450" s="1">
        <f t="shared" si="143"/>
        <v>543</v>
      </c>
      <c r="L1450" s="1" t="str">
        <f t="shared" si="138"/>
        <v>Normal</v>
      </c>
      <c r="M1450" s="2">
        <f t="shared" si="139"/>
        <v>60.750000000000007</v>
      </c>
      <c r="N1450" s="1" t="str">
        <f t="shared" si="140"/>
        <v>Lembab</v>
      </c>
      <c r="O1450" t="str">
        <f t="shared" si="141"/>
        <v>Fuzzy</v>
      </c>
      <c r="P1450" t="str">
        <f t="shared" si="142"/>
        <v>Fuzzy</v>
      </c>
    </row>
    <row r="1451" spans="1:16" x14ac:dyDescent="0.35">
      <c r="A1451" t="s">
        <v>1454</v>
      </c>
      <c r="B1451">
        <v>5664</v>
      </c>
      <c r="C1451">
        <v>28</v>
      </c>
      <c r="D1451">
        <v>66</v>
      </c>
      <c r="E1451">
        <v>617</v>
      </c>
      <c r="F1451">
        <v>4</v>
      </c>
      <c r="K1451" s="1">
        <f t="shared" si="143"/>
        <v>617</v>
      </c>
      <c r="L1451" s="1" t="str">
        <f t="shared" si="138"/>
        <v>Normal</v>
      </c>
      <c r="M1451" s="2">
        <f t="shared" si="139"/>
        <v>79.25</v>
      </c>
      <c r="N1451" s="1" t="str">
        <f t="shared" si="140"/>
        <v>Basah</v>
      </c>
      <c r="O1451" t="str">
        <f t="shared" si="141"/>
        <v>Fuzzy</v>
      </c>
      <c r="P1451" t="str">
        <f t="shared" si="142"/>
        <v>Fuzzy</v>
      </c>
    </row>
    <row r="1452" spans="1:16" x14ac:dyDescent="0.35">
      <c r="A1452" t="s">
        <v>1455</v>
      </c>
      <c r="B1452">
        <v>5665</v>
      </c>
      <c r="C1452">
        <v>28</v>
      </c>
      <c r="D1452">
        <v>66</v>
      </c>
      <c r="E1452">
        <v>574</v>
      </c>
      <c r="F1452">
        <v>4</v>
      </c>
      <c r="K1452" s="1">
        <f t="shared" si="143"/>
        <v>574</v>
      </c>
      <c r="L1452" s="1" t="str">
        <f t="shared" si="138"/>
        <v>Normal</v>
      </c>
      <c r="M1452" s="2">
        <f t="shared" si="139"/>
        <v>68.5</v>
      </c>
      <c r="N1452" s="1" t="str">
        <f t="shared" si="140"/>
        <v>Lembab</v>
      </c>
      <c r="O1452" t="str">
        <f t="shared" si="141"/>
        <v>Fuzzy</v>
      </c>
      <c r="P1452" t="str">
        <f t="shared" si="142"/>
        <v>Fuzzy</v>
      </c>
    </row>
    <row r="1453" spans="1:16" x14ac:dyDescent="0.35">
      <c r="A1453" t="s">
        <v>1456</v>
      </c>
      <c r="B1453">
        <v>5666</v>
      </c>
      <c r="C1453">
        <v>28</v>
      </c>
      <c r="D1453">
        <v>66</v>
      </c>
      <c r="E1453">
        <v>637</v>
      </c>
      <c r="F1453">
        <v>4</v>
      </c>
      <c r="K1453" s="1">
        <f t="shared" si="143"/>
        <v>637</v>
      </c>
      <c r="L1453" s="1" t="str">
        <f t="shared" si="138"/>
        <v>Normal</v>
      </c>
      <c r="M1453" s="2">
        <f t="shared" si="139"/>
        <v>84.25</v>
      </c>
      <c r="N1453" s="1" t="str">
        <f t="shared" si="140"/>
        <v>Basah</v>
      </c>
      <c r="O1453" t="str">
        <f t="shared" si="141"/>
        <v>Fuzzy</v>
      </c>
      <c r="P1453" t="str">
        <f t="shared" si="142"/>
        <v>Fuzzy</v>
      </c>
    </row>
    <row r="1454" spans="1:16" x14ac:dyDescent="0.35">
      <c r="A1454" t="s">
        <v>1457</v>
      </c>
      <c r="B1454">
        <v>5667</v>
      </c>
      <c r="C1454">
        <v>28</v>
      </c>
      <c r="D1454">
        <v>67</v>
      </c>
      <c r="E1454">
        <v>551</v>
      </c>
      <c r="F1454">
        <v>4</v>
      </c>
      <c r="K1454" s="1">
        <f t="shared" si="143"/>
        <v>551</v>
      </c>
      <c r="L1454" s="1" t="str">
        <f t="shared" si="138"/>
        <v>Normal</v>
      </c>
      <c r="M1454" s="2">
        <f t="shared" si="139"/>
        <v>62.749999999999993</v>
      </c>
      <c r="N1454" s="1" t="str">
        <f t="shared" si="140"/>
        <v>Lembab</v>
      </c>
      <c r="O1454" t="str">
        <f t="shared" si="141"/>
        <v>Fuzzy</v>
      </c>
      <c r="P1454" t="str">
        <f t="shared" si="142"/>
        <v>Fuzzy</v>
      </c>
    </row>
    <row r="1455" spans="1:16" x14ac:dyDescent="0.35">
      <c r="A1455" t="s">
        <v>1458</v>
      </c>
      <c r="B1455">
        <v>5668</v>
      </c>
      <c r="C1455">
        <v>28</v>
      </c>
      <c r="D1455">
        <v>68</v>
      </c>
      <c r="E1455">
        <v>532</v>
      </c>
      <c r="F1455">
        <v>4</v>
      </c>
      <c r="K1455" s="1">
        <f t="shared" si="143"/>
        <v>532</v>
      </c>
      <c r="L1455" s="1" t="str">
        <f t="shared" si="138"/>
        <v>Normal</v>
      </c>
      <c r="M1455" s="2">
        <f t="shared" si="139"/>
        <v>57.999999999999993</v>
      </c>
      <c r="N1455" s="1" t="str">
        <f t="shared" si="140"/>
        <v>Lembab</v>
      </c>
      <c r="O1455" t="str">
        <f t="shared" si="141"/>
        <v>Fuzzy</v>
      </c>
      <c r="P1455" t="str">
        <f t="shared" si="142"/>
        <v>Fuzzy</v>
      </c>
    </row>
    <row r="1456" spans="1:16" x14ac:dyDescent="0.35">
      <c r="A1456" t="s">
        <v>1459</v>
      </c>
      <c r="B1456">
        <v>5669</v>
      </c>
      <c r="C1456">
        <v>28</v>
      </c>
      <c r="D1456">
        <v>69</v>
      </c>
      <c r="E1456">
        <v>550</v>
      </c>
      <c r="F1456">
        <v>4</v>
      </c>
      <c r="K1456" s="1">
        <f t="shared" si="143"/>
        <v>550</v>
      </c>
      <c r="L1456" s="1" t="str">
        <f t="shared" si="138"/>
        <v>Normal</v>
      </c>
      <c r="M1456" s="2">
        <f t="shared" si="139"/>
        <v>62.5</v>
      </c>
      <c r="N1456" s="1" t="str">
        <f t="shared" si="140"/>
        <v>Lembab</v>
      </c>
      <c r="O1456" t="str">
        <f t="shared" si="141"/>
        <v>Fuzzy</v>
      </c>
      <c r="P1456" t="str">
        <f t="shared" si="142"/>
        <v>Fuzzy</v>
      </c>
    </row>
    <row r="1457" spans="1:16" x14ac:dyDescent="0.35">
      <c r="A1457" t="s">
        <v>1460</v>
      </c>
      <c r="B1457">
        <v>5670</v>
      </c>
      <c r="C1457">
        <v>28</v>
      </c>
      <c r="D1457">
        <v>69</v>
      </c>
      <c r="E1457">
        <v>346</v>
      </c>
      <c r="F1457">
        <v>4</v>
      </c>
      <c r="K1457" s="1">
        <f t="shared" si="143"/>
        <v>346</v>
      </c>
      <c r="L1457" s="1" t="str">
        <f t="shared" si="138"/>
        <v>Normal</v>
      </c>
      <c r="M1457" s="2">
        <f t="shared" si="139"/>
        <v>11.5</v>
      </c>
      <c r="N1457" s="1" t="str">
        <f t="shared" si="140"/>
        <v>Kering</v>
      </c>
      <c r="O1457" t="str">
        <f t="shared" si="141"/>
        <v>Fuzzy</v>
      </c>
      <c r="P1457" t="str">
        <f t="shared" si="142"/>
        <v>Fuzzy</v>
      </c>
    </row>
    <row r="1458" spans="1:16" x14ac:dyDescent="0.35">
      <c r="A1458" t="s">
        <v>1461</v>
      </c>
      <c r="B1458">
        <v>5671</v>
      </c>
      <c r="C1458">
        <v>28</v>
      </c>
      <c r="D1458">
        <v>69</v>
      </c>
      <c r="E1458">
        <v>561</v>
      </c>
      <c r="F1458">
        <v>3</v>
      </c>
      <c r="K1458" s="1">
        <f t="shared" si="143"/>
        <v>561</v>
      </c>
      <c r="L1458" s="1" t="str">
        <f t="shared" si="138"/>
        <v>Normal</v>
      </c>
      <c r="M1458" s="2">
        <f t="shared" si="139"/>
        <v>65.25</v>
      </c>
      <c r="N1458" s="1" t="str">
        <f t="shared" si="140"/>
        <v>Lembab</v>
      </c>
      <c r="O1458" t="str">
        <f t="shared" si="141"/>
        <v>Fuzzy</v>
      </c>
      <c r="P1458" t="str">
        <f t="shared" si="142"/>
        <v>Fuzzy</v>
      </c>
    </row>
    <row r="1459" spans="1:16" x14ac:dyDescent="0.35">
      <c r="A1459" t="s">
        <v>1462</v>
      </c>
      <c r="B1459">
        <v>5672</v>
      </c>
      <c r="C1459">
        <v>28</v>
      </c>
      <c r="D1459">
        <v>69</v>
      </c>
      <c r="E1459">
        <v>650</v>
      </c>
      <c r="F1459">
        <v>4</v>
      </c>
      <c r="K1459" s="1">
        <f t="shared" si="143"/>
        <v>650</v>
      </c>
      <c r="L1459" s="1" t="str">
        <f t="shared" si="138"/>
        <v>Normal</v>
      </c>
      <c r="M1459" s="2">
        <f t="shared" si="139"/>
        <v>87.5</v>
      </c>
      <c r="N1459" s="1" t="str">
        <f t="shared" si="140"/>
        <v>Basah</v>
      </c>
      <c r="O1459" t="str">
        <f t="shared" si="141"/>
        <v>Fuzzy</v>
      </c>
      <c r="P1459" t="str">
        <f t="shared" si="142"/>
        <v>Fuzzy</v>
      </c>
    </row>
    <row r="1460" spans="1:16" x14ac:dyDescent="0.35">
      <c r="A1460" t="s">
        <v>1463</v>
      </c>
      <c r="B1460">
        <v>5673</v>
      </c>
      <c r="C1460">
        <v>28</v>
      </c>
      <c r="D1460">
        <v>69</v>
      </c>
      <c r="E1460">
        <v>554</v>
      </c>
      <c r="F1460">
        <v>4</v>
      </c>
      <c r="K1460" s="1">
        <f t="shared" si="143"/>
        <v>554</v>
      </c>
      <c r="L1460" s="1" t="str">
        <f t="shared" si="138"/>
        <v>Normal</v>
      </c>
      <c r="M1460" s="2">
        <f t="shared" si="139"/>
        <v>63.5</v>
      </c>
      <c r="N1460" s="1" t="str">
        <f t="shared" si="140"/>
        <v>Lembab</v>
      </c>
      <c r="O1460" t="str">
        <f t="shared" si="141"/>
        <v>Fuzzy</v>
      </c>
      <c r="P1460" t="str">
        <f t="shared" si="142"/>
        <v>Fuzzy</v>
      </c>
    </row>
    <row r="1461" spans="1:16" x14ac:dyDescent="0.35">
      <c r="A1461" t="s">
        <v>1464</v>
      </c>
      <c r="B1461">
        <v>5674</v>
      </c>
      <c r="C1461">
        <v>28</v>
      </c>
      <c r="D1461">
        <v>69</v>
      </c>
      <c r="E1461">
        <v>594</v>
      </c>
      <c r="F1461">
        <v>5</v>
      </c>
      <c r="K1461" s="1">
        <f t="shared" si="143"/>
        <v>594</v>
      </c>
      <c r="L1461" s="1" t="str">
        <f t="shared" si="138"/>
        <v>Normal</v>
      </c>
      <c r="M1461" s="2">
        <f t="shared" si="139"/>
        <v>73.5</v>
      </c>
      <c r="N1461" s="1" t="str">
        <f t="shared" si="140"/>
        <v>Basah</v>
      </c>
      <c r="O1461" t="str">
        <f t="shared" si="141"/>
        <v>Fuzzy</v>
      </c>
      <c r="P1461" t="str">
        <f t="shared" si="142"/>
        <v>Fuzzy</v>
      </c>
    </row>
    <row r="1462" spans="1:16" x14ac:dyDescent="0.35">
      <c r="A1462" t="s">
        <v>1465</v>
      </c>
      <c r="B1462">
        <v>5675</v>
      </c>
      <c r="C1462">
        <v>28</v>
      </c>
      <c r="D1462">
        <v>70</v>
      </c>
      <c r="E1462">
        <v>826</v>
      </c>
      <c r="F1462">
        <v>3</v>
      </c>
      <c r="K1462" s="1">
        <f t="shared" si="143"/>
        <v>826</v>
      </c>
      <c r="L1462" s="1" t="str">
        <f t="shared" si="138"/>
        <v>Normal</v>
      </c>
      <c r="M1462" s="2">
        <f t="shared" si="139"/>
        <v>39.009287925696597</v>
      </c>
      <c r="N1462" s="1" t="str">
        <f t="shared" si="140"/>
        <v>Lembab</v>
      </c>
      <c r="O1462" t="str">
        <f t="shared" si="141"/>
        <v>Fuzzy</v>
      </c>
      <c r="P1462" t="str">
        <f t="shared" si="142"/>
        <v>Fuzzy</v>
      </c>
    </row>
    <row r="1463" spans="1:16" x14ac:dyDescent="0.35">
      <c r="A1463" t="s">
        <v>1466</v>
      </c>
      <c r="B1463">
        <v>5676</v>
      </c>
      <c r="C1463">
        <v>28</v>
      </c>
      <c r="D1463">
        <v>70</v>
      </c>
      <c r="E1463">
        <v>497</v>
      </c>
      <c r="F1463">
        <v>3</v>
      </c>
      <c r="K1463" s="1">
        <f t="shared" si="143"/>
        <v>497</v>
      </c>
      <c r="L1463" s="1" t="str">
        <f t="shared" si="138"/>
        <v>Normal</v>
      </c>
      <c r="M1463" s="2">
        <f t="shared" si="139"/>
        <v>49.25</v>
      </c>
      <c r="N1463" s="1" t="str">
        <f t="shared" si="140"/>
        <v>Lembab</v>
      </c>
      <c r="O1463" t="str">
        <f t="shared" si="141"/>
        <v>Fuzzy</v>
      </c>
      <c r="P1463" t="str">
        <f t="shared" si="142"/>
        <v>Fuzzy</v>
      </c>
    </row>
    <row r="1464" spans="1:16" x14ac:dyDescent="0.35">
      <c r="A1464" t="s">
        <v>1467</v>
      </c>
      <c r="B1464">
        <v>5677</v>
      </c>
      <c r="C1464">
        <v>28</v>
      </c>
      <c r="D1464">
        <v>70</v>
      </c>
      <c r="E1464">
        <v>378</v>
      </c>
      <c r="F1464">
        <v>3</v>
      </c>
      <c r="K1464" s="1">
        <f t="shared" si="143"/>
        <v>378</v>
      </c>
      <c r="L1464" s="1" t="str">
        <f t="shared" si="138"/>
        <v>Normal</v>
      </c>
      <c r="M1464" s="2">
        <f t="shared" si="139"/>
        <v>19.5</v>
      </c>
      <c r="N1464" s="1" t="str">
        <f t="shared" si="140"/>
        <v>Kering</v>
      </c>
      <c r="O1464" t="str">
        <f t="shared" si="141"/>
        <v>Fuzzy</v>
      </c>
      <c r="P1464" t="str">
        <f t="shared" si="142"/>
        <v>Fuzzy</v>
      </c>
    </row>
    <row r="1465" spans="1:16" x14ac:dyDescent="0.35">
      <c r="A1465" t="s">
        <v>1468</v>
      </c>
      <c r="B1465">
        <v>5678</v>
      </c>
      <c r="C1465">
        <v>28</v>
      </c>
      <c r="D1465">
        <v>69</v>
      </c>
      <c r="E1465">
        <v>520</v>
      </c>
      <c r="F1465">
        <v>3</v>
      </c>
      <c r="K1465" s="1">
        <f t="shared" si="143"/>
        <v>520</v>
      </c>
      <c r="L1465" s="1" t="str">
        <f t="shared" si="138"/>
        <v>Normal</v>
      </c>
      <c r="M1465" s="2">
        <f t="shared" si="139"/>
        <v>55.000000000000007</v>
      </c>
      <c r="N1465" s="1" t="str">
        <f t="shared" si="140"/>
        <v>Lembab</v>
      </c>
      <c r="O1465" t="str">
        <f t="shared" si="141"/>
        <v>Fuzzy</v>
      </c>
      <c r="P1465" t="str">
        <f t="shared" si="142"/>
        <v>Fuzzy</v>
      </c>
    </row>
    <row r="1466" spans="1:16" x14ac:dyDescent="0.35">
      <c r="A1466" t="s">
        <v>1469</v>
      </c>
      <c r="B1466">
        <v>5679</v>
      </c>
      <c r="C1466">
        <v>28</v>
      </c>
      <c r="D1466">
        <v>69</v>
      </c>
      <c r="E1466">
        <v>611</v>
      </c>
      <c r="F1466">
        <v>4</v>
      </c>
      <c r="K1466" s="1">
        <f t="shared" si="143"/>
        <v>611</v>
      </c>
      <c r="L1466" s="1" t="str">
        <f t="shared" si="138"/>
        <v>Normal</v>
      </c>
      <c r="M1466" s="2">
        <f t="shared" si="139"/>
        <v>77.75</v>
      </c>
      <c r="N1466" s="1" t="str">
        <f t="shared" si="140"/>
        <v>Basah</v>
      </c>
      <c r="O1466" t="str">
        <f t="shared" si="141"/>
        <v>Fuzzy</v>
      </c>
      <c r="P1466" t="str">
        <f t="shared" si="142"/>
        <v>Fuzzy</v>
      </c>
    </row>
    <row r="1467" spans="1:16" x14ac:dyDescent="0.35">
      <c r="A1467" t="s">
        <v>1470</v>
      </c>
      <c r="B1467">
        <v>5680</v>
      </c>
      <c r="C1467">
        <v>28</v>
      </c>
      <c r="D1467">
        <v>69</v>
      </c>
      <c r="E1467">
        <v>545</v>
      </c>
      <c r="F1467">
        <v>3</v>
      </c>
      <c r="K1467" s="1">
        <f t="shared" si="143"/>
        <v>545</v>
      </c>
      <c r="L1467" s="1" t="str">
        <f t="shared" si="138"/>
        <v>Normal</v>
      </c>
      <c r="M1467" s="2">
        <f t="shared" si="139"/>
        <v>61.250000000000007</v>
      </c>
      <c r="N1467" s="1" t="str">
        <f t="shared" si="140"/>
        <v>Lembab</v>
      </c>
      <c r="O1467" t="str">
        <f t="shared" si="141"/>
        <v>Fuzzy</v>
      </c>
      <c r="P1467" t="str">
        <f t="shared" si="142"/>
        <v>Fuzzy</v>
      </c>
    </row>
    <row r="1468" spans="1:16" x14ac:dyDescent="0.35">
      <c r="A1468" t="s">
        <v>1471</v>
      </c>
      <c r="B1468">
        <v>5681</v>
      </c>
      <c r="C1468">
        <v>28</v>
      </c>
      <c r="D1468">
        <v>69</v>
      </c>
      <c r="E1468">
        <v>551</v>
      </c>
      <c r="F1468">
        <v>4</v>
      </c>
      <c r="K1468" s="1">
        <f t="shared" si="143"/>
        <v>551</v>
      </c>
      <c r="L1468" s="1" t="str">
        <f t="shared" si="138"/>
        <v>Normal</v>
      </c>
      <c r="M1468" s="2">
        <f t="shared" si="139"/>
        <v>62.749999999999993</v>
      </c>
      <c r="N1468" s="1" t="str">
        <f t="shared" si="140"/>
        <v>Lembab</v>
      </c>
      <c r="O1468" t="str">
        <f t="shared" si="141"/>
        <v>Fuzzy</v>
      </c>
      <c r="P1468" t="str">
        <f t="shared" si="142"/>
        <v>Fuzzy</v>
      </c>
    </row>
    <row r="1469" spans="1:16" x14ac:dyDescent="0.35">
      <c r="A1469" t="s">
        <v>1472</v>
      </c>
      <c r="B1469">
        <v>5682</v>
      </c>
      <c r="C1469">
        <v>28</v>
      </c>
      <c r="D1469">
        <v>69</v>
      </c>
      <c r="E1469">
        <v>531</v>
      </c>
      <c r="F1469">
        <v>4</v>
      </c>
      <c r="K1469" s="1">
        <f t="shared" si="143"/>
        <v>531</v>
      </c>
      <c r="L1469" s="1" t="str">
        <f t="shared" si="138"/>
        <v>Normal</v>
      </c>
      <c r="M1469" s="2">
        <f t="shared" si="139"/>
        <v>57.75</v>
      </c>
      <c r="N1469" s="1" t="str">
        <f t="shared" si="140"/>
        <v>Lembab</v>
      </c>
      <c r="O1469" t="str">
        <f t="shared" si="141"/>
        <v>Fuzzy</v>
      </c>
      <c r="P1469" t="str">
        <f t="shared" si="142"/>
        <v>Fuzzy</v>
      </c>
    </row>
    <row r="1470" spans="1:16" x14ac:dyDescent="0.35">
      <c r="A1470" t="s">
        <v>1473</v>
      </c>
      <c r="B1470">
        <v>5683</v>
      </c>
      <c r="C1470">
        <v>28</v>
      </c>
      <c r="D1470">
        <v>69</v>
      </c>
      <c r="E1470">
        <v>563</v>
      </c>
      <c r="F1470">
        <v>3</v>
      </c>
      <c r="K1470" s="1">
        <f t="shared" si="143"/>
        <v>563</v>
      </c>
      <c r="L1470" s="1" t="str">
        <f t="shared" si="138"/>
        <v>Normal</v>
      </c>
      <c r="M1470" s="2">
        <f t="shared" si="139"/>
        <v>65.75</v>
      </c>
      <c r="N1470" s="1" t="str">
        <f t="shared" si="140"/>
        <v>Lembab</v>
      </c>
      <c r="O1470" t="str">
        <f t="shared" si="141"/>
        <v>Fuzzy</v>
      </c>
      <c r="P1470" t="str">
        <f t="shared" si="142"/>
        <v>Fuzzy</v>
      </c>
    </row>
    <row r="1471" spans="1:16" x14ac:dyDescent="0.35">
      <c r="A1471" t="s">
        <v>1474</v>
      </c>
      <c r="B1471">
        <v>5684</v>
      </c>
      <c r="C1471">
        <v>28</v>
      </c>
      <c r="D1471">
        <v>68</v>
      </c>
      <c r="E1471">
        <v>554</v>
      </c>
      <c r="F1471">
        <v>4</v>
      </c>
      <c r="K1471" s="1">
        <f t="shared" si="143"/>
        <v>554</v>
      </c>
      <c r="L1471" s="1" t="str">
        <f t="shared" si="138"/>
        <v>Normal</v>
      </c>
      <c r="M1471" s="2">
        <f t="shared" si="139"/>
        <v>63.5</v>
      </c>
      <c r="N1471" s="1" t="str">
        <f t="shared" si="140"/>
        <v>Lembab</v>
      </c>
      <c r="O1471" t="str">
        <f t="shared" si="141"/>
        <v>Fuzzy</v>
      </c>
      <c r="P1471" t="str">
        <f t="shared" si="142"/>
        <v>Fuzzy</v>
      </c>
    </row>
    <row r="1472" spans="1:16" x14ac:dyDescent="0.35">
      <c r="A1472" t="s">
        <v>1475</v>
      </c>
      <c r="B1472">
        <v>5685</v>
      </c>
      <c r="C1472">
        <v>28</v>
      </c>
      <c r="D1472">
        <v>69</v>
      </c>
      <c r="E1472">
        <v>526</v>
      </c>
      <c r="F1472">
        <v>4</v>
      </c>
      <c r="K1472" s="1">
        <f t="shared" si="143"/>
        <v>526</v>
      </c>
      <c r="L1472" s="1" t="str">
        <f t="shared" si="138"/>
        <v>Normal</v>
      </c>
      <c r="M1472" s="2">
        <f t="shared" si="139"/>
        <v>56.499999999999993</v>
      </c>
      <c r="N1472" s="1" t="str">
        <f t="shared" si="140"/>
        <v>Lembab</v>
      </c>
      <c r="O1472" t="str">
        <f t="shared" si="141"/>
        <v>Fuzzy</v>
      </c>
      <c r="P1472" t="str">
        <f t="shared" si="142"/>
        <v>Fuzzy</v>
      </c>
    </row>
    <row r="1473" spans="1:16" x14ac:dyDescent="0.35">
      <c r="A1473" t="s">
        <v>1476</v>
      </c>
      <c r="B1473">
        <v>5686</v>
      </c>
      <c r="C1473">
        <v>28</v>
      </c>
      <c r="D1473">
        <v>69</v>
      </c>
      <c r="E1473">
        <v>580</v>
      </c>
      <c r="F1473">
        <v>4</v>
      </c>
      <c r="K1473" s="1">
        <f t="shared" si="143"/>
        <v>580</v>
      </c>
      <c r="L1473" s="1" t="str">
        <f t="shared" si="138"/>
        <v>Normal</v>
      </c>
      <c r="M1473" s="2">
        <f t="shared" si="139"/>
        <v>70</v>
      </c>
      <c r="N1473" s="1" t="str">
        <f t="shared" si="140"/>
        <v>Basah</v>
      </c>
      <c r="O1473" t="str">
        <f t="shared" si="141"/>
        <v>Fuzzy</v>
      </c>
      <c r="P1473" t="str">
        <f t="shared" si="142"/>
        <v>Fuzzy</v>
      </c>
    </row>
    <row r="1474" spans="1:16" x14ac:dyDescent="0.35">
      <c r="A1474" t="s">
        <v>1477</v>
      </c>
      <c r="B1474">
        <v>5687</v>
      </c>
      <c r="C1474">
        <v>28</v>
      </c>
      <c r="D1474">
        <v>69</v>
      </c>
      <c r="E1474">
        <v>579</v>
      </c>
      <c r="F1474">
        <v>3</v>
      </c>
      <c r="K1474" s="1">
        <f t="shared" si="143"/>
        <v>579</v>
      </c>
      <c r="L1474" s="1" t="str">
        <f t="shared" si="138"/>
        <v>Normal</v>
      </c>
      <c r="M1474" s="2">
        <f t="shared" si="139"/>
        <v>69.75</v>
      </c>
      <c r="N1474" s="1" t="str">
        <f t="shared" si="140"/>
        <v>Basah</v>
      </c>
      <c r="O1474" t="str">
        <f t="shared" si="141"/>
        <v>Fuzzy</v>
      </c>
      <c r="P1474" t="str">
        <f t="shared" si="142"/>
        <v>Fuzzy</v>
      </c>
    </row>
    <row r="1475" spans="1:16" x14ac:dyDescent="0.35">
      <c r="A1475" t="s">
        <v>1478</v>
      </c>
      <c r="B1475">
        <v>5688</v>
      </c>
      <c r="C1475">
        <v>28</v>
      </c>
      <c r="D1475">
        <v>68</v>
      </c>
      <c r="E1475">
        <v>595</v>
      </c>
      <c r="F1475">
        <v>6</v>
      </c>
      <c r="K1475" s="1">
        <f t="shared" si="143"/>
        <v>595</v>
      </c>
      <c r="L1475" s="1" t="str">
        <f t="shared" ref="L1475:L1538" si="144">IF(A1474 &lt;= 10, "Dingin", IF(OR(A1474 &gt;= 10, A1474 &lt; 35), "Normal", "Panas"))</f>
        <v>Normal</v>
      </c>
      <c r="M1475" s="2">
        <f t="shared" ref="M1475:M1538" si="145">IF(K1475&lt;=300, K1475/1023*100, IF(K1475&lt;=700, (K1475-300)/(700-301+1)*100, (K1475-700)/(1023-701+1)*100))</f>
        <v>73.75</v>
      </c>
      <c r="N1475" s="1" t="str">
        <f t="shared" ref="N1475:N1538" si="146">IF(M1475&lt;=29.32, "Kering", IF(M1475&lt;=68.53, "Lembab", "Basah"))</f>
        <v>Basah</v>
      </c>
      <c r="O1475" t="str">
        <f t="shared" ref="O1475:O1538" si="147">IF(OR(AND(C1475 &gt; 10, C1475 &lt; 22.5), AND(C1475 &gt;= 22.5, C1475 &lt; 35)), "Fuzzy", "")</f>
        <v>Fuzzy</v>
      </c>
      <c r="P1475" t="str">
        <f t="shared" ref="P1475:P1538" si="148">IF(OR(AND(M1475 &gt;= 0, M1475 &lt; 50), AND(M1475 &gt;= 50, M1475 &lt; 100)), "Fuzzy", "")</f>
        <v>Fuzzy</v>
      </c>
    </row>
    <row r="1476" spans="1:16" x14ac:dyDescent="0.35">
      <c r="A1476" t="s">
        <v>1479</v>
      </c>
      <c r="B1476">
        <v>5689</v>
      </c>
      <c r="C1476">
        <v>28</v>
      </c>
      <c r="D1476">
        <v>66</v>
      </c>
      <c r="E1476">
        <v>567</v>
      </c>
      <c r="F1476">
        <v>3</v>
      </c>
      <c r="K1476" s="1">
        <f t="shared" si="143"/>
        <v>567</v>
      </c>
      <c r="L1476" s="1" t="str">
        <f t="shared" si="144"/>
        <v>Normal</v>
      </c>
      <c r="M1476" s="2">
        <f t="shared" si="145"/>
        <v>66.75</v>
      </c>
      <c r="N1476" s="1" t="str">
        <f t="shared" si="146"/>
        <v>Lembab</v>
      </c>
      <c r="O1476" t="str">
        <f t="shared" si="147"/>
        <v>Fuzzy</v>
      </c>
      <c r="P1476" t="str">
        <f t="shared" si="148"/>
        <v>Fuzzy</v>
      </c>
    </row>
    <row r="1477" spans="1:16" x14ac:dyDescent="0.35">
      <c r="A1477" t="s">
        <v>1480</v>
      </c>
      <c r="B1477">
        <v>5690</v>
      </c>
      <c r="C1477">
        <v>28</v>
      </c>
      <c r="D1477">
        <v>67</v>
      </c>
      <c r="E1477">
        <v>551</v>
      </c>
      <c r="F1477">
        <v>4</v>
      </c>
      <c r="K1477" s="1">
        <f t="shared" si="143"/>
        <v>551</v>
      </c>
      <c r="L1477" s="1" t="str">
        <f t="shared" si="144"/>
        <v>Normal</v>
      </c>
      <c r="M1477" s="2">
        <f t="shared" si="145"/>
        <v>62.749999999999993</v>
      </c>
      <c r="N1477" s="1" t="str">
        <f t="shared" si="146"/>
        <v>Lembab</v>
      </c>
      <c r="O1477" t="str">
        <f t="shared" si="147"/>
        <v>Fuzzy</v>
      </c>
      <c r="P1477" t="str">
        <f t="shared" si="148"/>
        <v>Fuzzy</v>
      </c>
    </row>
    <row r="1478" spans="1:16" x14ac:dyDescent="0.35">
      <c r="A1478" t="s">
        <v>1481</v>
      </c>
      <c r="B1478">
        <v>5691</v>
      </c>
      <c r="C1478">
        <v>28</v>
      </c>
      <c r="D1478">
        <v>67</v>
      </c>
      <c r="E1478">
        <v>551</v>
      </c>
      <c r="F1478">
        <v>4</v>
      </c>
      <c r="K1478" s="1">
        <f t="shared" si="143"/>
        <v>551</v>
      </c>
      <c r="L1478" s="1" t="str">
        <f t="shared" si="144"/>
        <v>Normal</v>
      </c>
      <c r="M1478" s="2">
        <f t="shared" si="145"/>
        <v>62.749999999999993</v>
      </c>
      <c r="N1478" s="1" t="str">
        <f t="shared" si="146"/>
        <v>Lembab</v>
      </c>
      <c r="O1478" t="str">
        <f t="shared" si="147"/>
        <v>Fuzzy</v>
      </c>
      <c r="P1478" t="str">
        <f t="shared" si="148"/>
        <v>Fuzzy</v>
      </c>
    </row>
    <row r="1479" spans="1:16" x14ac:dyDescent="0.35">
      <c r="A1479" t="s">
        <v>1482</v>
      </c>
      <c r="B1479">
        <v>5692</v>
      </c>
      <c r="C1479">
        <v>28</v>
      </c>
      <c r="D1479">
        <v>67</v>
      </c>
      <c r="E1479">
        <v>550</v>
      </c>
      <c r="F1479">
        <v>4</v>
      </c>
      <c r="K1479" s="1">
        <f t="shared" si="143"/>
        <v>550</v>
      </c>
      <c r="L1479" s="1" t="str">
        <f t="shared" si="144"/>
        <v>Normal</v>
      </c>
      <c r="M1479" s="2">
        <f t="shared" si="145"/>
        <v>62.5</v>
      </c>
      <c r="N1479" s="1" t="str">
        <f t="shared" si="146"/>
        <v>Lembab</v>
      </c>
      <c r="O1479" t="str">
        <f t="shared" si="147"/>
        <v>Fuzzy</v>
      </c>
      <c r="P1479" t="str">
        <f t="shared" si="148"/>
        <v>Fuzzy</v>
      </c>
    </row>
    <row r="1480" spans="1:16" x14ac:dyDescent="0.35">
      <c r="A1480" t="s">
        <v>1483</v>
      </c>
      <c r="B1480">
        <v>5693</v>
      </c>
      <c r="C1480">
        <v>28</v>
      </c>
      <c r="D1480">
        <v>68</v>
      </c>
      <c r="E1480">
        <v>572</v>
      </c>
      <c r="F1480">
        <v>4</v>
      </c>
      <c r="K1480" s="1">
        <f t="shared" si="143"/>
        <v>572</v>
      </c>
      <c r="L1480" s="1" t="str">
        <f t="shared" si="144"/>
        <v>Normal</v>
      </c>
      <c r="M1480" s="2">
        <f t="shared" si="145"/>
        <v>68</v>
      </c>
      <c r="N1480" s="1" t="str">
        <f t="shared" si="146"/>
        <v>Lembab</v>
      </c>
      <c r="O1480" t="str">
        <f t="shared" si="147"/>
        <v>Fuzzy</v>
      </c>
      <c r="P1480" t="str">
        <f t="shared" si="148"/>
        <v>Fuzzy</v>
      </c>
    </row>
    <row r="1481" spans="1:16" x14ac:dyDescent="0.35">
      <c r="A1481" t="s">
        <v>1484</v>
      </c>
      <c r="B1481">
        <v>5694</v>
      </c>
      <c r="C1481">
        <v>28</v>
      </c>
      <c r="D1481">
        <v>69</v>
      </c>
      <c r="E1481">
        <v>514</v>
      </c>
      <c r="F1481">
        <v>3</v>
      </c>
      <c r="K1481" s="1">
        <f t="shared" si="143"/>
        <v>514</v>
      </c>
      <c r="L1481" s="1" t="str">
        <f t="shared" si="144"/>
        <v>Normal</v>
      </c>
      <c r="M1481" s="2">
        <f t="shared" si="145"/>
        <v>53.5</v>
      </c>
      <c r="N1481" s="1" t="str">
        <f t="shared" si="146"/>
        <v>Lembab</v>
      </c>
      <c r="O1481" t="str">
        <f t="shared" si="147"/>
        <v>Fuzzy</v>
      </c>
      <c r="P1481" t="str">
        <f t="shared" si="148"/>
        <v>Fuzzy</v>
      </c>
    </row>
    <row r="1482" spans="1:16" x14ac:dyDescent="0.35">
      <c r="A1482" t="s">
        <v>1485</v>
      </c>
      <c r="B1482">
        <v>5695</v>
      </c>
      <c r="C1482">
        <v>28</v>
      </c>
      <c r="D1482">
        <v>69</v>
      </c>
      <c r="E1482">
        <v>551</v>
      </c>
      <c r="F1482">
        <v>4</v>
      </c>
      <c r="K1482" s="1">
        <f t="shared" si="143"/>
        <v>551</v>
      </c>
      <c r="L1482" s="1" t="str">
        <f t="shared" si="144"/>
        <v>Normal</v>
      </c>
      <c r="M1482" s="2">
        <f t="shared" si="145"/>
        <v>62.749999999999993</v>
      </c>
      <c r="N1482" s="1" t="str">
        <f t="shared" si="146"/>
        <v>Lembab</v>
      </c>
      <c r="O1482" t="str">
        <f t="shared" si="147"/>
        <v>Fuzzy</v>
      </c>
      <c r="P1482" t="str">
        <f t="shared" si="148"/>
        <v>Fuzzy</v>
      </c>
    </row>
    <row r="1483" spans="1:16" x14ac:dyDescent="0.35">
      <c r="A1483" t="s">
        <v>1486</v>
      </c>
      <c r="B1483">
        <v>5696</v>
      </c>
      <c r="C1483">
        <v>28</v>
      </c>
      <c r="D1483">
        <v>69</v>
      </c>
      <c r="E1483">
        <v>525</v>
      </c>
      <c r="F1483">
        <v>5</v>
      </c>
      <c r="K1483" s="1">
        <f t="shared" si="143"/>
        <v>525</v>
      </c>
      <c r="L1483" s="1" t="str">
        <f t="shared" si="144"/>
        <v>Normal</v>
      </c>
      <c r="M1483" s="2">
        <f t="shared" si="145"/>
        <v>56.25</v>
      </c>
      <c r="N1483" s="1" t="str">
        <f t="shared" si="146"/>
        <v>Lembab</v>
      </c>
      <c r="O1483" t="str">
        <f t="shared" si="147"/>
        <v>Fuzzy</v>
      </c>
      <c r="P1483" t="str">
        <f t="shared" si="148"/>
        <v>Fuzzy</v>
      </c>
    </row>
    <row r="1484" spans="1:16" x14ac:dyDescent="0.35">
      <c r="A1484" t="s">
        <v>1487</v>
      </c>
      <c r="B1484">
        <v>5697</v>
      </c>
      <c r="C1484">
        <v>28</v>
      </c>
      <c r="D1484">
        <v>69</v>
      </c>
      <c r="E1484">
        <v>559</v>
      </c>
      <c r="F1484">
        <v>4</v>
      </c>
      <c r="K1484" s="1">
        <f t="shared" si="143"/>
        <v>559</v>
      </c>
      <c r="L1484" s="1" t="str">
        <f t="shared" si="144"/>
        <v>Normal</v>
      </c>
      <c r="M1484" s="2">
        <f t="shared" si="145"/>
        <v>64.75</v>
      </c>
      <c r="N1484" s="1" t="str">
        <f t="shared" si="146"/>
        <v>Lembab</v>
      </c>
      <c r="O1484" t="str">
        <f t="shared" si="147"/>
        <v>Fuzzy</v>
      </c>
      <c r="P1484" t="str">
        <f t="shared" si="148"/>
        <v>Fuzzy</v>
      </c>
    </row>
    <row r="1485" spans="1:16" x14ac:dyDescent="0.35">
      <c r="A1485" t="s">
        <v>1488</v>
      </c>
      <c r="B1485">
        <v>5698</v>
      </c>
      <c r="C1485">
        <v>28</v>
      </c>
      <c r="D1485">
        <v>69</v>
      </c>
      <c r="E1485">
        <v>535</v>
      </c>
      <c r="F1485">
        <v>3</v>
      </c>
      <c r="K1485" s="1">
        <f t="shared" ref="K1485:K1548" si="149">IF(E1485&lt;=1023, E1485, "")</f>
        <v>535</v>
      </c>
      <c r="L1485" s="1" t="str">
        <f t="shared" si="144"/>
        <v>Normal</v>
      </c>
      <c r="M1485" s="2">
        <f t="shared" si="145"/>
        <v>58.75</v>
      </c>
      <c r="N1485" s="1" t="str">
        <f t="shared" si="146"/>
        <v>Lembab</v>
      </c>
      <c r="O1485" t="str">
        <f t="shared" si="147"/>
        <v>Fuzzy</v>
      </c>
      <c r="P1485" t="str">
        <f t="shared" si="148"/>
        <v>Fuzzy</v>
      </c>
    </row>
    <row r="1486" spans="1:16" x14ac:dyDescent="0.35">
      <c r="A1486" t="s">
        <v>1489</v>
      </c>
      <c r="B1486">
        <v>5699</v>
      </c>
      <c r="C1486">
        <v>28</v>
      </c>
      <c r="D1486">
        <v>69</v>
      </c>
      <c r="E1486">
        <v>581</v>
      </c>
      <c r="F1486">
        <v>3</v>
      </c>
      <c r="K1486" s="1">
        <f t="shared" si="149"/>
        <v>581</v>
      </c>
      <c r="L1486" s="1" t="str">
        <f t="shared" si="144"/>
        <v>Normal</v>
      </c>
      <c r="M1486" s="2">
        <f t="shared" si="145"/>
        <v>70.25</v>
      </c>
      <c r="N1486" s="1" t="str">
        <f t="shared" si="146"/>
        <v>Basah</v>
      </c>
      <c r="O1486" t="str">
        <f t="shared" si="147"/>
        <v>Fuzzy</v>
      </c>
      <c r="P1486" t="str">
        <f t="shared" si="148"/>
        <v>Fuzzy</v>
      </c>
    </row>
    <row r="1487" spans="1:16" x14ac:dyDescent="0.35">
      <c r="A1487" t="s">
        <v>1490</v>
      </c>
      <c r="B1487">
        <v>5700</v>
      </c>
      <c r="C1487">
        <v>28</v>
      </c>
      <c r="D1487">
        <v>69</v>
      </c>
      <c r="E1487">
        <v>507</v>
      </c>
      <c r="F1487">
        <v>4</v>
      </c>
      <c r="K1487" s="1">
        <f t="shared" si="149"/>
        <v>507</v>
      </c>
      <c r="L1487" s="1" t="str">
        <f t="shared" si="144"/>
        <v>Normal</v>
      </c>
      <c r="M1487" s="2">
        <f t="shared" si="145"/>
        <v>51.749999999999993</v>
      </c>
      <c r="N1487" s="1" t="str">
        <f t="shared" si="146"/>
        <v>Lembab</v>
      </c>
      <c r="O1487" t="str">
        <f t="shared" si="147"/>
        <v>Fuzzy</v>
      </c>
      <c r="P1487" t="str">
        <f t="shared" si="148"/>
        <v>Fuzzy</v>
      </c>
    </row>
    <row r="1488" spans="1:16" x14ac:dyDescent="0.35">
      <c r="A1488" t="s">
        <v>1491</v>
      </c>
      <c r="B1488">
        <v>5701</v>
      </c>
      <c r="C1488">
        <v>28</v>
      </c>
      <c r="D1488">
        <v>69</v>
      </c>
      <c r="E1488">
        <v>567</v>
      </c>
      <c r="F1488">
        <v>4</v>
      </c>
      <c r="K1488" s="1">
        <f t="shared" si="149"/>
        <v>567</v>
      </c>
      <c r="L1488" s="1" t="str">
        <f t="shared" si="144"/>
        <v>Normal</v>
      </c>
      <c r="M1488" s="2">
        <f t="shared" si="145"/>
        <v>66.75</v>
      </c>
      <c r="N1488" s="1" t="str">
        <f t="shared" si="146"/>
        <v>Lembab</v>
      </c>
      <c r="O1488" t="str">
        <f t="shared" si="147"/>
        <v>Fuzzy</v>
      </c>
      <c r="P1488" t="str">
        <f t="shared" si="148"/>
        <v>Fuzzy</v>
      </c>
    </row>
    <row r="1489" spans="1:16" x14ac:dyDescent="0.35">
      <c r="A1489" t="s">
        <v>1492</v>
      </c>
      <c r="B1489">
        <v>5702</v>
      </c>
      <c r="C1489">
        <v>28</v>
      </c>
      <c r="D1489">
        <v>69</v>
      </c>
      <c r="E1489">
        <v>563</v>
      </c>
      <c r="F1489">
        <v>4</v>
      </c>
      <c r="K1489" s="1">
        <f t="shared" si="149"/>
        <v>563</v>
      </c>
      <c r="L1489" s="1" t="str">
        <f t="shared" si="144"/>
        <v>Normal</v>
      </c>
      <c r="M1489" s="2">
        <f t="shared" si="145"/>
        <v>65.75</v>
      </c>
      <c r="N1489" s="1" t="str">
        <f t="shared" si="146"/>
        <v>Lembab</v>
      </c>
      <c r="O1489" t="str">
        <f t="shared" si="147"/>
        <v>Fuzzy</v>
      </c>
      <c r="P1489" t="str">
        <f t="shared" si="148"/>
        <v>Fuzzy</v>
      </c>
    </row>
    <row r="1490" spans="1:16" x14ac:dyDescent="0.35">
      <c r="A1490" t="s">
        <v>1493</v>
      </c>
      <c r="B1490">
        <v>5703</v>
      </c>
      <c r="C1490">
        <v>28</v>
      </c>
      <c r="D1490">
        <v>69</v>
      </c>
      <c r="E1490">
        <v>500</v>
      </c>
      <c r="F1490">
        <v>3</v>
      </c>
      <c r="K1490" s="1">
        <f t="shared" si="149"/>
        <v>500</v>
      </c>
      <c r="L1490" s="1" t="str">
        <f t="shared" si="144"/>
        <v>Normal</v>
      </c>
      <c r="M1490" s="2">
        <f t="shared" si="145"/>
        <v>50</v>
      </c>
      <c r="N1490" s="1" t="str">
        <f t="shared" si="146"/>
        <v>Lembab</v>
      </c>
      <c r="O1490" t="str">
        <f t="shared" si="147"/>
        <v>Fuzzy</v>
      </c>
      <c r="P1490" t="str">
        <f t="shared" si="148"/>
        <v>Fuzzy</v>
      </c>
    </row>
    <row r="1491" spans="1:16" x14ac:dyDescent="0.35">
      <c r="A1491" t="s">
        <v>1494</v>
      </c>
      <c r="B1491">
        <v>5704</v>
      </c>
      <c r="C1491">
        <v>28</v>
      </c>
      <c r="D1491">
        <v>69</v>
      </c>
      <c r="E1491">
        <v>542</v>
      </c>
      <c r="F1491">
        <v>4</v>
      </c>
      <c r="K1491" s="1">
        <f t="shared" si="149"/>
        <v>542</v>
      </c>
      <c r="L1491" s="1" t="str">
        <f t="shared" si="144"/>
        <v>Normal</v>
      </c>
      <c r="M1491" s="2">
        <f t="shared" si="145"/>
        <v>60.5</v>
      </c>
      <c r="N1491" s="1" t="str">
        <f t="shared" si="146"/>
        <v>Lembab</v>
      </c>
      <c r="O1491" t="str">
        <f t="shared" si="147"/>
        <v>Fuzzy</v>
      </c>
      <c r="P1491" t="str">
        <f t="shared" si="148"/>
        <v>Fuzzy</v>
      </c>
    </row>
    <row r="1492" spans="1:16" x14ac:dyDescent="0.35">
      <c r="A1492" t="s">
        <v>1495</v>
      </c>
      <c r="B1492">
        <v>5705</v>
      </c>
      <c r="C1492">
        <v>28</v>
      </c>
      <c r="D1492">
        <v>69</v>
      </c>
      <c r="E1492">
        <v>510</v>
      </c>
      <c r="F1492">
        <v>4</v>
      </c>
      <c r="K1492" s="1">
        <f t="shared" si="149"/>
        <v>510</v>
      </c>
      <c r="L1492" s="1" t="str">
        <f t="shared" si="144"/>
        <v>Normal</v>
      </c>
      <c r="M1492" s="2">
        <f t="shared" si="145"/>
        <v>52.5</v>
      </c>
      <c r="N1492" s="1" t="str">
        <f t="shared" si="146"/>
        <v>Lembab</v>
      </c>
      <c r="O1492" t="str">
        <f t="shared" si="147"/>
        <v>Fuzzy</v>
      </c>
      <c r="P1492" t="str">
        <f t="shared" si="148"/>
        <v>Fuzzy</v>
      </c>
    </row>
    <row r="1493" spans="1:16" x14ac:dyDescent="0.35">
      <c r="A1493" t="s">
        <v>1496</v>
      </c>
      <c r="B1493">
        <v>5706</v>
      </c>
      <c r="C1493">
        <v>28</v>
      </c>
      <c r="D1493">
        <v>69</v>
      </c>
      <c r="E1493">
        <v>526</v>
      </c>
      <c r="F1493">
        <v>3</v>
      </c>
      <c r="K1493" s="1">
        <f t="shared" si="149"/>
        <v>526</v>
      </c>
      <c r="L1493" s="1" t="str">
        <f t="shared" si="144"/>
        <v>Normal</v>
      </c>
      <c r="M1493" s="2">
        <f t="shared" si="145"/>
        <v>56.499999999999993</v>
      </c>
      <c r="N1493" s="1" t="str">
        <f t="shared" si="146"/>
        <v>Lembab</v>
      </c>
      <c r="O1493" t="str">
        <f t="shared" si="147"/>
        <v>Fuzzy</v>
      </c>
      <c r="P1493" t="str">
        <f t="shared" si="148"/>
        <v>Fuzzy</v>
      </c>
    </row>
    <row r="1494" spans="1:16" x14ac:dyDescent="0.35">
      <c r="A1494" t="s">
        <v>1497</v>
      </c>
      <c r="B1494">
        <v>5707</v>
      </c>
      <c r="C1494">
        <v>28</v>
      </c>
      <c r="D1494">
        <v>69</v>
      </c>
      <c r="E1494">
        <v>516</v>
      </c>
      <c r="F1494">
        <v>4</v>
      </c>
      <c r="K1494" s="1">
        <f t="shared" si="149"/>
        <v>516</v>
      </c>
      <c r="L1494" s="1" t="str">
        <f t="shared" si="144"/>
        <v>Normal</v>
      </c>
      <c r="M1494" s="2">
        <f t="shared" si="145"/>
        <v>54</v>
      </c>
      <c r="N1494" s="1" t="str">
        <f t="shared" si="146"/>
        <v>Lembab</v>
      </c>
      <c r="O1494" t="str">
        <f t="shared" si="147"/>
        <v>Fuzzy</v>
      </c>
      <c r="P1494" t="str">
        <f t="shared" si="148"/>
        <v>Fuzzy</v>
      </c>
    </row>
    <row r="1495" spans="1:16" x14ac:dyDescent="0.35">
      <c r="A1495" t="s">
        <v>1498</v>
      </c>
      <c r="B1495">
        <v>5708</v>
      </c>
      <c r="C1495">
        <v>28</v>
      </c>
      <c r="D1495">
        <v>69</v>
      </c>
      <c r="E1495">
        <v>574</v>
      </c>
      <c r="F1495">
        <v>4</v>
      </c>
      <c r="K1495" s="1">
        <f t="shared" si="149"/>
        <v>574</v>
      </c>
      <c r="L1495" s="1" t="str">
        <f t="shared" si="144"/>
        <v>Normal</v>
      </c>
      <c r="M1495" s="2">
        <f t="shared" si="145"/>
        <v>68.5</v>
      </c>
      <c r="N1495" s="1" t="str">
        <f t="shared" si="146"/>
        <v>Lembab</v>
      </c>
      <c r="O1495" t="str">
        <f t="shared" si="147"/>
        <v>Fuzzy</v>
      </c>
      <c r="P1495" t="str">
        <f t="shared" si="148"/>
        <v>Fuzzy</v>
      </c>
    </row>
    <row r="1496" spans="1:16" x14ac:dyDescent="0.35">
      <c r="A1496" t="s">
        <v>1499</v>
      </c>
      <c r="B1496">
        <v>5709</v>
      </c>
      <c r="C1496">
        <v>28</v>
      </c>
      <c r="D1496">
        <v>69</v>
      </c>
      <c r="E1496">
        <v>490</v>
      </c>
      <c r="F1496">
        <v>3</v>
      </c>
      <c r="K1496" s="1">
        <f t="shared" si="149"/>
        <v>490</v>
      </c>
      <c r="L1496" s="1" t="str">
        <f t="shared" si="144"/>
        <v>Normal</v>
      </c>
      <c r="M1496" s="2">
        <f t="shared" si="145"/>
        <v>47.5</v>
      </c>
      <c r="N1496" s="1" t="str">
        <f t="shared" si="146"/>
        <v>Lembab</v>
      </c>
      <c r="O1496" t="str">
        <f t="shared" si="147"/>
        <v>Fuzzy</v>
      </c>
      <c r="P1496" t="str">
        <f t="shared" si="148"/>
        <v>Fuzzy</v>
      </c>
    </row>
    <row r="1497" spans="1:16" x14ac:dyDescent="0.35">
      <c r="A1497" t="s">
        <v>1500</v>
      </c>
      <c r="B1497">
        <v>5710</v>
      </c>
      <c r="C1497">
        <v>28</v>
      </c>
      <c r="D1497">
        <v>69</v>
      </c>
      <c r="E1497">
        <v>493</v>
      </c>
      <c r="F1497">
        <v>4</v>
      </c>
      <c r="K1497" s="1">
        <f t="shared" si="149"/>
        <v>493</v>
      </c>
      <c r="L1497" s="1" t="str">
        <f t="shared" si="144"/>
        <v>Normal</v>
      </c>
      <c r="M1497" s="2">
        <f t="shared" si="145"/>
        <v>48.25</v>
      </c>
      <c r="N1497" s="1" t="str">
        <f t="shared" si="146"/>
        <v>Lembab</v>
      </c>
      <c r="O1497" t="str">
        <f t="shared" si="147"/>
        <v>Fuzzy</v>
      </c>
      <c r="P1497" t="str">
        <f t="shared" si="148"/>
        <v>Fuzzy</v>
      </c>
    </row>
    <row r="1498" spans="1:16" x14ac:dyDescent="0.35">
      <c r="A1498" t="s">
        <v>1501</v>
      </c>
      <c r="B1498">
        <v>5711</v>
      </c>
      <c r="C1498">
        <v>28</v>
      </c>
      <c r="D1498">
        <v>69</v>
      </c>
      <c r="E1498">
        <v>582</v>
      </c>
      <c r="F1498">
        <v>4</v>
      </c>
      <c r="K1498" s="1">
        <f t="shared" si="149"/>
        <v>582</v>
      </c>
      <c r="L1498" s="1" t="str">
        <f t="shared" si="144"/>
        <v>Normal</v>
      </c>
      <c r="M1498" s="2">
        <f t="shared" si="145"/>
        <v>70.5</v>
      </c>
      <c r="N1498" s="1" t="str">
        <f t="shared" si="146"/>
        <v>Basah</v>
      </c>
      <c r="O1498" t="str">
        <f t="shared" si="147"/>
        <v>Fuzzy</v>
      </c>
      <c r="P1498" t="str">
        <f t="shared" si="148"/>
        <v>Fuzzy</v>
      </c>
    </row>
    <row r="1499" spans="1:16" x14ac:dyDescent="0.35">
      <c r="A1499" t="s">
        <v>1502</v>
      </c>
      <c r="B1499">
        <v>5712</v>
      </c>
      <c r="C1499">
        <v>28</v>
      </c>
      <c r="D1499">
        <v>69</v>
      </c>
      <c r="E1499">
        <v>518</v>
      </c>
      <c r="F1499">
        <v>4</v>
      </c>
      <c r="K1499" s="1">
        <f t="shared" si="149"/>
        <v>518</v>
      </c>
      <c r="L1499" s="1" t="str">
        <f t="shared" si="144"/>
        <v>Normal</v>
      </c>
      <c r="M1499" s="2">
        <f t="shared" si="145"/>
        <v>54.500000000000007</v>
      </c>
      <c r="N1499" s="1" t="str">
        <f t="shared" si="146"/>
        <v>Lembab</v>
      </c>
      <c r="O1499" t="str">
        <f t="shared" si="147"/>
        <v>Fuzzy</v>
      </c>
      <c r="P1499" t="str">
        <f t="shared" si="148"/>
        <v>Fuzzy</v>
      </c>
    </row>
    <row r="1500" spans="1:16" x14ac:dyDescent="0.35">
      <c r="A1500" t="s">
        <v>1503</v>
      </c>
      <c r="B1500">
        <v>5713</v>
      </c>
      <c r="C1500">
        <v>28</v>
      </c>
      <c r="D1500">
        <v>67</v>
      </c>
      <c r="E1500">
        <v>630</v>
      </c>
      <c r="F1500">
        <v>4</v>
      </c>
      <c r="K1500" s="1">
        <f t="shared" si="149"/>
        <v>630</v>
      </c>
      <c r="L1500" s="1" t="str">
        <f t="shared" si="144"/>
        <v>Normal</v>
      </c>
      <c r="M1500" s="2">
        <f t="shared" si="145"/>
        <v>82.5</v>
      </c>
      <c r="N1500" s="1" t="str">
        <f t="shared" si="146"/>
        <v>Basah</v>
      </c>
      <c r="O1500" t="str">
        <f t="shared" si="147"/>
        <v>Fuzzy</v>
      </c>
      <c r="P1500" t="str">
        <f t="shared" si="148"/>
        <v>Fuzzy</v>
      </c>
    </row>
    <row r="1501" spans="1:16" x14ac:dyDescent="0.35">
      <c r="A1501" t="s">
        <v>1504</v>
      </c>
      <c r="B1501">
        <v>5714</v>
      </c>
      <c r="C1501">
        <v>28</v>
      </c>
      <c r="D1501">
        <v>67</v>
      </c>
      <c r="E1501">
        <v>559</v>
      </c>
      <c r="F1501">
        <v>4</v>
      </c>
      <c r="K1501" s="1">
        <f t="shared" si="149"/>
        <v>559</v>
      </c>
      <c r="L1501" s="1" t="str">
        <f t="shared" si="144"/>
        <v>Normal</v>
      </c>
      <c r="M1501" s="2">
        <f t="shared" si="145"/>
        <v>64.75</v>
      </c>
      <c r="N1501" s="1" t="str">
        <f t="shared" si="146"/>
        <v>Lembab</v>
      </c>
      <c r="O1501" t="str">
        <f t="shared" si="147"/>
        <v>Fuzzy</v>
      </c>
      <c r="P1501" t="str">
        <f t="shared" si="148"/>
        <v>Fuzzy</v>
      </c>
    </row>
    <row r="1502" spans="1:16" x14ac:dyDescent="0.35">
      <c r="A1502" t="s">
        <v>1505</v>
      </c>
      <c r="B1502">
        <v>5715</v>
      </c>
      <c r="C1502">
        <v>28</v>
      </c>
      <c r="D1502">
        <v>66</v>
      </c>
      <c r="E1502">
        <v>582</v>
      </c>
      <c r="F1502">
        <v>4</v>
      </c>
      <c r="K1502" s="1">
        <f t="shared" si="149"/>
        <v>582</v>
      </c>
      <c r="L1502" s="1" t="str">
        <f t="shared" si="144"/>
        <v>Normal</v>
      </c>
      <c r="M1502" s="2">
        <f t="shared" si="145"/>
        <v>70.5</v>
      </c>
      <c r="N1502" s="1" t="str">
        <f t="shared" si="146"/>
        <v>Basah</v>
      </c>
      <c r="O1502" t="str">
        <f t="shared" si="147"/>
        <v>Fuzzy</v>
      </c>
      <c r="P1502" t="str">
        <f t="shared" si="148"/>
        <v>Fuzzy</v>
      </c>
    </row>
    <row r="1503" spans="1:16" x14ac:dyDescent="0.35">
      <c r="A1503" t="s">
        <v>1506</v>
      </c>
      <c r="B1503">
        <v>5716</v>
      </c>
      <c r="C1503">
        <v>28</v>
      </c>
      <c r="D1503">
        <v>67</v>
      </c>
      <c r="E1503">
        <v>385</v>
      </c>
      <c r="F1503">
        <v>5</v>
      </c>
      <c r="K1503" s="1">
        <f t="shared" si="149"/>
        <v>385</v>
      </c>
      <c r="L1503" s="1" t="str">
        <f t="shared" si="144"/>
        <v>Normal</v>
      </c>
      <c r="M1503" s="2">
        <f t="shared" si="145"/>
        <v>21.25</v>
      </c>
      <c r="N1503" s="1" t="str">
        <f t="shared" si="146"/>
        <v>Kering</v>
      </c>
      <c r="O1503" t="str">
        <f t="shared" si="147"/>
        <v>Fuzzy</v>
      </c>
      <c r="P1503" t="str">
        <f t="shared" si="148"/>
        <v>Fuzzy</v>
      </c>
    </row>
    <row r="1504" spans="1:16" x14ac:dyDescent="0.35">
      <c r="A1504" t="s">
        <v>1507</v>
      </c>
      <c r="B1504">
        <v>5717</v>
      </c>
      <c r="C1504">
        <v>28</v>
      </c>
      <c r="D1504">
        <v>67</v>
      </c>
      <c r="E1504">
        <v>522</v>
      </c>
      <c r="F1504">
        <v>4</v>
      </c>
      <c r="K1504" s="1">
        <f t="shared" si="149"/>
        <v>522</v>
      </c>
      <c r="L1504" s="1" t="str">
        <f t="shared" si="144"/>
        <v>Normal</v>
      </c>
      <c r="M1504" s="2">
        <f t="shared" si="145"/>
        <v>55.500000000000007</v>
      </c>
      <c r="N1504" s="1" t="str">
        <f t="shared" si="146"/>
        <v>Lembab</v>
      </c>
      <c r="O1504" t="str">
        <f t="shared" si="147"/>
        <v>Fuzzy</v>
      </c>
      <c r="P1504" t="str">
        <f t="shared" si="148"/>
        <v>Fuzzy</v>
      </c>
    </row>
    <row r="1505" spans="1:16" x14ac:dyDescent="0.35">
      <c r="A1505" t="s">
        <v>1508</v>
      </c>
      <c r="B1505">
        <v>5718</v>
      </c>
      <c r="C1505">
        <v>28</v>
      </c>
      <c r="D1505">
        <v>67</v>
      </c>
      <c r="E1505">
        <v>379</v>
      </c>
      <c r="F1505">
        <v>4</v>
      </c>
      <c r="K1505" s="1">
        <f t="shared" si="149"/>
        <v>379</v>
      </c>
      <c r="L1505" s="1" t="str">
        <f t="shared" si="144"/>
        <v>Normal</v>
      </c>
      <c r="M1505" s="2">
        <f t="shared" si="145"/>
        <v>19.75</v>
      </c>
      <c r="N1505" s="1" t="str">
        <f t="shared" si="146"/>
        <v>Kering</v>
      </c>
      <c r="O1505" t="str">
        <f t="shared" si="147"/>
        <v>Fuzzy</v>
      </c>
      <c r="P1505" t="str">
        <f t="shared" si="148"/>
        <v>Fuzzy</v>
      </c>
    </row>
    <row r="1506" spans="1:16" x14ac:dyDescent="0.35">
      <c r="A1506" t="s">
        <v>1509</v>
      </c>
      <c r="B1506">
        <v>5719</v>
      </c>
      <c r="C1506">
        <v>28</v>
      </c>
      <c r="D1506">
        <v>67</v>
      </c>
      <c r="E1506">
        <v>504</v>
      </c>
      <c r="F1506">
        <v>3</v>
      </c>
      <c r="K1506" s="1">
        <f t="shared" si="149"/>
        <v>504</v>
      </c>
      <c r="L1506" s="1" t="str">
        <f t="shared" si="144"/>
        <v>Normal</v>
      </c>
      <c r="M1506" s="2">
        <f t="shared" si="145"/>
        <v>51</v>
      </c>
      <c r="N1506" s="1" t="str">
        <f t="shared" si="146"/>
        <v>Lembab</v>
      </c>
      <c r="O1506" t="str">
        <f t="shared" si="147"/>
        <v>Fuzzy</v>
      </c>
      <c r="P1506" t="str">
        <f t="shared" si="148"/>
        <v>Fuzzy</v>
      </c>
    </row>
    <row r="1507" spans="1:16" x14ac:dyDescent="0.35">
      <c r="A1507" t="s">
        <v>1510</v>
      </c>
      <c r="B1507">
        <v>5720</v>
      </c>
      <c r="C1507">
        <v>28</v>
      </c>
      <c r="D1507">
        <v>68</v>
      </c>
      <c r="E1507">
        <v>609</v>
      </c>
      <c r="F1507">
        <v>4</v>
      </c>
      <c r="K1507" s="1">
        <f t="shared" si="149"/>
        <v>609</v>
      </c>
      <c r="L1507" s="1" t="str">
        <f t="shared" si="144"/>
        <v>Normal</v>
      </c>
      <c r="M1507" s="2">
        <f t="shared" si="145"/>
        <v>77.25</v>
      </c>
      <c r="N1507" s="1" t="str">
        <f t="shared" si="146"/>
        <v>Basah</v>
      </c>
      <c r="O1507" t="str">
        <f t="shared" si="147"/>
        <v>Fuzzy</v>
      </c>
      <c r="P1507" t="str">
        <f t="shared" si="148"/>
        <v>Fuzzy</v>
      </c>
    </row>
    <row r="1508" spans="1:16" x14ac:dyDescent="0.35">
      <c r="A1508" t="s">
        <v>1511</v>
      </c>
      <c r="B1508">
        <v>5721</v>
      </c>
      <c r="C1508">
        <v>28</v>
      </c>
      <c r="D1508">
        <v>68</v>
      </c>
      <c r="E1508">
        <v>490</v>
      </c>
      <c r="F1508">
        <v>4</v>
      </c>
      <c r="K1508" s="1">
        <f t="shared" si="149"/>
        <v>490</v>
      </c>
      <c r="L1508" s="1" t="str">
        <f t="shared" si="144"/>
        <v>Normal</v>
      </c>
      <c r="M1508" s="2">
        <f t="shared" si="145"/>
        <v>47.5</v>
      </c>
      <c r="N1508" s="1" t="str">
        <f t="shared" si="146"/>
        <v>Lembab</v>
      </c>
      <c r="O1508" t="str">
        <f t="shared" si="147"/>
        <v>Fuzzy</v>
      </c>
      <c r="P1508" t="str">
        <f t="shared" si="148"/>
        <v>Fuzzy</v>
      </c>
    </row>
    <row r="1509" spans="1:16" x14ac:dyDescent="0.35">
      <c r="A1509" t="s">
        <v>1512</v>
      </c>
      <c r="B1509">
        <v>5722</v>
      </c>
      <c r="C1509">
        <v>28</v>
      </c>
      <c r="D1509">
        <v>68</v>
      </c>
      <c r="E1509">
        <v>561</v>
      </c>
      <c r="F1509">
        <v>4</v>
      </c>
      <c r="K1509" s="1">
        <f t="shared" si="149"/>
        <v>561</v>
      </c>
      <c r="L1509" s="1" t="str">
        <f t="shared" si="144"/>
        <v>Normal</v>
      </c>
      <c r="M1509" s="2">
        <f t="shared" si="145"/>
        <v>65.25</v>
      </c>
      <c r="N1509" s="1" t="str">
        <f t="shared" si="146"/>
        <v>Lembab</v>
      </c>
      <c r="O1509" t="str">
        <f t="shared" si="147"/>
        <v>Fuzzy</v>
      </c>
      <c r="P1509" t="str">
        <f t="shared" si="148"/>
        <v>Fuzzy</v>
      </c>
    </row>
    <row r="1510" spans="1:16" x14ac:dyDescent="0.35">
      <c r="A1510" t="s">
        <v>1513</v>
      </c>
      <c r="B1510">
        <v>5723</v>
      </c>
      <c r="C1510">
        <v>28</v>
      </c>
      <c r="D1510">
        <v>69</v>
      </c>
      <c r="E1510">
        <v>537</v>
      </c>
      <c r="F1510">
        <v>4</v>
      </c>
      <c r="K1510" s="1">
        <f t="shared" si="149"/>
        <v>537</v>
      </c>
      <c r="L1510" s="1" t="str">
        <f t="shared" si="144"/>
        <v>Normal</v>
      </c>
      <c r="M1510" s="2">
        <f t="shared" si="145"/>
        <v>59.25</v>
      </c>
      <c r="N1510" s="1" t="str">
        <f t="shared" si="146"/>
        <v>Lembab</v>
      </c>
      <c r="O1510" t="str">
        <f t="shared" si="147"/>
        <v>Fuzzy</v>
      </c>
      <c r="P1510" t="str">
        <f t="shared" si="148"/>
        <v>Fuzzy</v>
      </c>
    </row>
    <row r="1511" spans="1:16" x14ac:dyDescent="0.35">
      <c r="A1511" t="s">
        <v>1514</v>
      </c>
      <c r="B1511">
        <v>5724</v>
      </c>
      <c r="C1511">
        <v>28</v>
      </c>
      <c r="D1511">
        <v>69</v>
      </c>
      <c r="E1511">
        <v>575</v>
      </c>
      <c r="F1511">
        <v>4</v>
      </c>
      <c r="K1511" s="1">
        <f t="shared" si="149"/>
        <v>575</v>
      </c>
      <c r="L1511" s="1" t="str">
        <f t="shared" si="144"/>
        <v>Normal</v>
      </c>
      <c r="M1511" s="2">
        <f t="shared" si="145"/>
        <v>68.75</v>
      </c>
      <c r="N1511" s="1" t="str">
        <f t="shared" si="146"/>
        <v>Basah</v>
      </c>
      <c r="O1511" t="str">
        <f t="shared" si="147"/>
        <v>Fuzzy</v>
      </c>
      <c r="P1511" t="str">
        <f t="shared" si="148"/>
        <v>Fuzzy</v>
      </c>
    </row>
    <row r="1512" spans="1:16" x14ac:dyDescent="0.35">
      <c r="A1512" t="s">
        <v>1515</v>
      </c>
      <c r="B1512">
        <v>5725</v>
      </c>
      <c r="C1512">
        <v>28</v>
      </c>
      <c r="D1512">
        <v>68</v>
      </c>
      <c r="E1512">
        <v>596</v>
      </c>
      <c r="F1512">
        <v>4</v>
      </c>
      <c r="K1512" s="1">
        <f t="shared" si="149"/>
        <v>596</v>
      </c>
      <c r="L1512" s="1" t="str">
        <f t="shared" si="144"/>
        <v>Normal</v>
      </c>
      <c r="M1512" s="2">
        <f t="shared" si="145"/>
        <v>74</v>
      </c>
      <c r="N1512" s="1" t="str">
        <f t="shared" si="146"/>
        <v>Basah</v>
      </c>
      <c r="O1512" t="str">
        <f t="shared" si="147"/>
        <v>Fuzzy</v>
      </c>
      <c r="P1512" t="str">
        <f t="shared" si="148"/>
        <v>Fuzzy</v>
      </c>
    </row>
    <row r="1513" spans="1:16" x14ac:dyDescent="0.35">
      <c r="A1513" t="s">
        <v>1516</v>
      </c>
      <c r="B1513">
        <v>5726</v>
      </c>
      <c r="C1513">
        <v>28</v>
      </c>
      <c r="D1513">
        <v>68</v>
      </c>
      <c r="E1513">
        <v>257</v>
      </c>
      <c r="F1513">
        <v>4</v>
      </c>
      <c r="K1513" s="1">
        <f t="shared" si="149"/>
        <v>257</v>
      </c>
      <c r="L1513" s="1" t="str">
        <f t="shared" si="144"/>
        <v>Normal</v>
      </c>
      <c r="M1513" s="2">
        <f t="shared" si="145"/>
        <v>25.12218963831867</v>
      </c>
      <c r="N1513" s="1" t="str">
        <f t="shared" si="146"/>
        <v>Kering</v>
      </c>
      <c r="O1513" t="str">
        <f t="shared" si="147"/>
        <v>Fuzzy</v>
      </c>
      <c r="P1513" t="str">
        <f t="shared" si="148"/>
        <v>Fuzzy</v>
      </c>
    </row>
    <row r="1514" spans="1:16" x14ac:dyDescent="0.35">
      <c r="A1514" t="s">
        <v>1517</v>
      </c>
      <c r="B1514">
        <v>5727</v>
      </c>
      <c r="C1514">
        <v>28</v>
      </c>
      <c r="D1514">
        <v>69</v>
      </c>
      <c r="E1514">
        <v>547</v>
      </c>
      <c r="F1514">
        <v>4</v>
      </c>
      <c r="K1514" s="1">
        <f t="shared" si="149"/>
        <v>547</v>
      </c>
      <c r="L1514" s="1" t="str">
        <f t="shared" si="144"/>
        <v>Normal</v>
      </c>
      <c r="M1514" s="2">
        <f t="shared" si="145"/>
        <v>61.750000000000007</v>
      </c>
      <c r="N1514" s="1" t="str">
        <f t="shared" si="146"/>
        <v>Lembab</v>
      </c>
      <c r="O1514" t="str">
        <f t="shared" si="147"/>
        <v>Fuzzy</v>
      </c>
      <c r="P1514" t="str">
        <f t="shared" si="148"/>
        <v>Fuzzy</v>
      </c>
    </row>
    <row r="1515" spans="1:16" x14ac:dyDescent="0.35">
      <c r="A1515" t="s">
        <v>1518</v>
      </c>
      <c r="B1515">
        <v>5728</v>
      </c>
      <c r="C1515">
        <v>28</v>
      </c>
      <c r="D1515">
        <v>69</v>
      </c>
      <c r="E1515">
        <v>534</v>
      </c>
      <c r="F1515">
        <v>4</v>
      </c>
      <c r="K1515" s="1">
        <f t="shared" si="149"/>
        <v>534</v>
      </c>
      <c r="L1515" s="1" t="str">
        <f t="shared" si="144"/>
        <v>Normal</v>
      </c>
      <c r="M1515" s="2">
        <f t="shared" si="145"/>
        <v>58.5</v>
      </c>
      <c r="N1515" s="1" t="str">
        <f t="shared" si="146"/>
        <v>Lembab</v>
      </c>
      <c r="O1515" t="str">
        <f t="shared" si="147"/>
        <v>Fuzzy</v>
      </c>
      <c r="P1515" t="str">
        <f t="shared" si="148"/>
        <v>Fuzzy</v>
      </c>
    </row>
    <row r="1516" spans="1:16" x14ac:dyDescent="0.35">
      <c r="A1516" t="s">
        <v>1519</v>
      </c>
      <c r="B1516">
        <v>5729</v>
      </c>
      <c r="C1516">
        <v>28</v>
      </c>
      <c r="D1516">
        <v>69</v>
      </c>
      <c r="E1516">
        <v>589</v>
      </c>
      <c r="F1516">
        <v>4</v>
      </c>
      <c r="K1516" s="1">
        <f t="shared" si="149"/>
        <v>589</v>
      </c>
      <c r="L1516" s="1" t="str">
        <f t="shared" si="144"/>
        <v>Normal</v>
      </c>
      <c r="M1516" s="2">
        <f t="shared" si="145"/>
        <v>72.25</v>
      </c>
      <c r="N1516" s="1" t="str">
        <f t="shared" si="146"/>
        <v>Basah</v>
      </c>
      <c r="O1516" t="str">
        <f t="shared" si="147"/>
        <v>Fuzzy</v>
      </c>
      <c r="P1516" t="str">
        <f t="shared" si="148"/>
        <v>Fuzzy</v>
      </c>
    </row>
    <row r="1517" spans="1:16" x14ac:dyDescent="0.35">
      <c r="A1517" t="s">
        <v>1520</v>
      </c>
      <c r="B1517">
        <v>5730</v>
      </c>
      <c r="C1517">
        <v>28</v>
      </c>
      <c r="D1517">
        <v>69</v>
      </c>
      <c r="E1517">
        <v>789</v>
      </c>
      <c r="F1517">
        <v>3</v>
      </c>
      <c r="K1517" s="1">
        <f t="shared" si="149"/>
        <v>789</v>
      </c>
      <c r="L1517" s="1" t="str">
        <f t="shared" si="144"/>
        <v>Normal</v>
      </c>
      <c r="M1517" s="2">
        <f t="shared" si="145"/>
        <v>27.554179566563469</v>
      </c>
      <c r="N1517" s="1" t="str">
        <f t="shared" si="146"/>
        <v>Kering</v>
      </c>
      <c r="O1517" t="str">
        <f t="shared" si="147"/>
        <v>Fuzzy</v>
      </c>
      <c r="P1517" t="str">
        <f t="shared" si="148"/>
        <v>Fuzzy</v>
      </c>
    </row>
    <row r="1518" spans="1:16" x14ac:dyDescent="0.35">
      <c r="A1518" t="s">
        <v>1521</v>
      </c>
      <c r="B1518">
        <v>5731</v>
      </c>
      <c r="C1518">
        <v>28</v>
      </c>
      <c r="D1518">
        <v>69</v>
      </c>
      <c r="E1518">
        <v>615</v>
      </c>
      <c r="F1518">
        <v>4</v>
      </c>
      <c r="K1518" s="1">
        <f t="shared" si="149"/>
        <v>615</v>
      </c>
      <c r="L1518" s="1" t="str">
        <f t="shared" si="144"/>
        <v>Normal</v>
      </c>
      <c r="M1518" s="2">
        <f t="shared" si="145"/>
        <v>78.75</v>
      </c>
      <c r="N1518" s="1" t="str">
        <f t="shared" si="146"/>
        <v>Basah</v>
      </c>
      <c r="O1518" t="str">
        <f t="shared" si="147"/>
        <v>Fuzzy</v>
      </c>
      <c r="P1518" t="str">
        <f t="shared" si="148"/>
        <v>Fuzzy</v>
      </c>
    </row>
    <row r="1519" spans="1:16" x14ac:dyDescent="0.35">
      <c r="A1519" t="s">
        <v>1522</v>
      </c>
      <c r="B1519">
        <v>5732</v>
      </c>
      <c r="C1519">
        <v>28</v>
      </c>
      <c r="D1519">
        <v>69</v>
      </c>
      <c r="E1519">
        <v>478</v>
      </c>
      <c r="F1519">
        <v>3</v>
      </c>
      <c r="K1519" s="1">
        <f t="shared" si="149"/>
        <v>478</v>
      </c>
      <c r="L1519" s="1" t="str">
        <f t="shared" si="144"/>
        <v>Normal</v>
      </c>
      <c r="M1519" s="2">
        <f t="shared" si="145"/>
        <v>44.5</v>
      </c>
      <c r="N1519" s="1" t="str">
        <f t="shared" si="146"/>
        <v>Lembab</v>
      </c>
      <c r="O1519" t="str">
        <f t="shared" si="147"/>
        <v>Fuzzy</v>
      </c>
      <c r="P1519" t="str">
        <f t="shared" si="148"/>
        <v>Fuzzy</v>
      </c>
    </row>
    <row r="1520" spans="1:16" x14ac:dyDescent="0.35">
      <c r="A1520" t="s">
        <v>1523</v>
      </c>
      <c r="B1520">
        <v>5733</v>
      </c>
      <c r="C1520">
        <v>28</v>
      </c>
      <c r="D1520">
        <v>69</v>
      </c>
      <c r="E1520">
        <v>858</v>
      </c>
      <c r="F1520">
        <v>4</v>
      </c>
      <c r="K1520" s="1">
        <f t="shared" si="149"/>
        <v>858</v>
      </c>
      <c r="L1520" s="1" t="str">
        <f t="shared" si="144"/>
        <v>Normal</v>
      </c>
      <c r="M1520" s="2">
        <f t="shared" si="145"/>
        <v>48.916408668730647</v>
      </c>
      <c r="N1520" s="1" t="str">
        <f t="shared" si="146"/>
        <v>Lembab</v>
      </c>
      <c r="O1520" t="str">
        <f t="shared" si="147"/>
        <v>Fuzzy</v>
      </c>
      <c r="P1520" t="str">
        <f t="shared" si="148"/>
        <v>Fuzzy</v>
      </c>
    </row>
    <row r="1521" spans="1:16" x14ac:dyDescent="0.35">
      <c r="A1521" t="s">
        <v>1524</v>
      </c>
      <c r="B1521">
        <v>5734</v>
      </c>
      <c r="C1521">
        <v>28</v>
      </c>
      <c r="D1521">
        <v>69</v>
      </c>
      <c r="E1521">
        <v>576</v>
      </c>
      <c r="F1521">
        <v>3</v>
      </c>
      <c r="K1521" s="1">
        <f t="shared" si="149"/>
        <v>576</v>
      </c>
      <c r="L1521" s="1" t="str">
        <f t="shared" si="144"/>
        <v>Normal</v>
      </c>
      <c r="M1521" s="2">
        <f t="shared" si="145"/>
        <v>69</v>
      </c>
      <c r="N1521" s="1" t="str">
        <f t="shared" si="146"/>
        <v>Basah</v>
      </c>
      <c r="O1521" t="str">
        <f t="shared" si="147"/>
        <v>Fuzzy</v>
      </c>
      <c r="P1521" t="str">
        <f t="shared" si="148"/>
        <v>Fuzzy</v>
      </c>
    </row>
    <row r="1522" spans="1:16" x14ac:dyDescent="0.35">
      <c r="A1522" t="s">
        <v>1525</v>
      </c>
      <c r="B1522">
        <v>5735</v>
      </c>
      <c r="C1522">
        <v>28</v>
      </c>
      <c r="D1522">
        <v>69</v>
      </c>
      <c r="E1522">
        <v>643</v>
      </c>
      <c r="F1522">
        <v>4</v>
      </c>
      <c r="K1522" s="1">
        <f t="shared" si="149"/>
        <v>643</v>
      </c>
      <c r="L1522" s="1" t="str">
        <f t="shared" si="144"/>
        <v>Normal</v>
      </c>
      <c r="M1522" s="2">
        <f t="shared" si="145"/>
        <v>85.75</v>
      </c>
      <c r="N1522" s="1" t="str">
        <f t="shared" si="146"/>
        <v>Basah</v>
      </c>
      <c r="O1522" t="str">
        <f t="shared" si="147"/>
        <v>Fuzzy</v>
      </c>
      <c r="P1522" t="str">
        <f t="shared" si="148"/>
        <v>Fuzzy</v>
      </c>
    </row>
    <row r="1523" spans="1:16" x14ac:dyDescent="0.35">
      <c r="A1523" t="s">
        <v>1526</v>
      </c>
      <c r="B1523">
        <v>5736</v>
      </c>
      <c r="C1523">
        <v>28</v>
      </c>
      <c r="D1523">
        <v>69</v>
      </c>
      <c r="E1523">
        <v>611</v>
      </c>
      <c r="F1523">
        <v>4</v>
      </c>
      <c r="K1523" s="1">
        <f t="shared" si="149"/>
        <v>611</v>
      </c>
      <c r="L1523" s="1" t="str">
        <f t="shared" si="144"/>
        <v>Normal</v>
      </c>
      <c r="M1523" s="2">
        <f t="shared" si="145"/>
        <v>77.75</v>
      </c>
      <c r="N1523" s="1" t="str">
        <f t="shared" si="146"/>
        <v>Basah</v>
      </c>
      <c r="O1523" t="str">
        <f t="shared" si="147"/>
        <v>Fuzzy</v>
      </c>
      <c r="P1523" t="str">
        <f t="shared" si="148"/>
        <v>Fuzzy</v>
      </c>
    </row>
    <row r="1524" spans="1:16" x14ac:dyDescent="0.35">
      <c r="A1524" t="s">
        <v>1527</v>
      </c>
      <c r="B1524">
        <v>5737</v>
      </c>
      <c r="C1524">
        <v>28</v>
      </c>
      <c r="D1524">
        <v>69</v>
      </c>
      <c r="E1524">
        <v>647</v>
      </c>
      <c r="F1524">
        <v>4</v>
      </c>
      <c r="K1524" s="1">
        <f t="shared" si="149"/>
        <v>647</v>
      </c>
      <c r="L1524" s="1" t="str">
        <f t="shared" si="144"/>
        <v>Normal</v>
      </c>
      <c r="M1524" s="2">
        <f t="shared" si="145"/>
        <v>86.75</v>
      </c>
      <c r="N1524" s="1" t="str">
        <f t="shared" si="146"/>
        <v>Basah</v>
      </c>
      <c r="O1524" t="str">
        <f t="shared" si="147"/>
        <v>Fuzzy</v>
      </c>
      <c r="P1524" t="str">
        <f t="shared" si="148"/>
        <v>Fuzzy</v>
      </c>
    </row>
    <row r="1525" spans="1:16" x14ac:dyDescent="0.35">
      <c r="A1525" t="s">
        <v>1528</v>
      </c>
      <c r="B1525">
        <v>5738</v>
      </c>
      <c r="C1525">
        <v>28</v>
      </c>
      <c r="D1525">
        <v>67</v>
      </c>
      <c r="E1525">
        <v>513</v>
      </c>
      <c r="F1525">
        <v>4</v>
      </c>
      <c r="K1525" s="1">
        <f t="shared" si="149"/>
        <v>513</v>
      </c>
      <c r="L1525" s="1" t="str">
        <f t="shared" si="144"/>
        <v>Normal</v>
      </c>
      <c r="M1525" s="2">
        <f t="shared" si="145"/>
        <v>53.25</v>
      </c>
      <c r="N1525" s="1" t="str">
        <f t="shared" si="146"/>
        <v>Lembab</v>
      </c>
      <c r="O1525" t="str">
        <f t="shared" si="147"/>
        <v>Fuzzy</v>
      </c>
      <c r="P1525" t="str">
        <f t="shared" si="148"/>
        <v>Fuzzy</v>
      </c>
    </row>
    <row r="1526" spans="1:16" x14ac:dyDescent="0.35">
      <c r="A1526" t="s">
        <v>1529</v>
      </c>
      <c r="B1526">
        <v>5739</v>
      </c>
      <c r="C1526">
        <v>28</v>
      </c>
      <c r="D1526">
        <v>67</v>
      </c>
      <c r="E1526">
        <v>431</v>
      </c>
      <c r="F1526">
        <v>4</v>
      </c>
      <c r="K1526" s="1">
        <f t="shared" si="149"/>
        <v>431</v>
      </c>
      <c r="L1526" s="1" t="str">
        <f t="shared" si="144"/>
        <v>Normal</v>
      </c>
      <c r="M1526" s="2">
        <f t="shared" si="145"/>
        <v>32.75</v>
      </c>
      <c r="N1526" s="1" t="str">
        <f t="shared" si="146"/>
        <v>Lembab</v>
      </c>
      <c r="O1526" t="str">
        <f t="shared" si="147"/>
        <v>Fuzzy</v>
      </c>
      <c r="P1526" t="str">
        <f t="shared" si="148"/>
        <v>Fuzzy</v>
      </c>
    </row>
    <row r="1527" spans="1:16" x14ac:dyDescent="0.35">
      <c r="A1527" t="s">
        <v>1530</v>
      </c>
      <c r="B1527">
        <v>5740</v>
      </c>
      <c r="C1527">
        <v>28</v>
      </c>
      <c r="D1527">
        <v>66</v>
      </c>
      <c r="E1527">
        <v>510</v>
      </c>
      <c r="F1527">
        <v>4</v>
      </c>
      <c r="K1527" s="1">
        <f t="shared" si="149"/>
        <v>510</v>
      </c>
      <c r="L1527" s="1" t="str">
        <f t="shared" si="144"/>
        <v>Normal</v>
      </c>
      <c r="M1527" s="2">
        <f t="shared" si="145"/>
        <v>52.5</v>
      </c>
      <c r="N1527" s="1" t="str">
        <f t="shared" si="146"/>
        <v>Lembab</v>
      </c>
      <c r="O1527" t="str">
        <f t="shared" si="147"/>
        <v>Fuzzy</v>
      </c>
      <c r="P1527" t="str">
        <f t="shared" si="148"/>
        <v>Fuzzy</v>
      </c>
    </row>
    <row r="1528" spans="1:16" x14ac:dyDescent="0.35">
      <c r="A1528" t="s">
        <v>1531</v>
      </c>
      <c r="B1528">
        <v>5741</v>
      </c>
      <c r="C1528">
        <v>28</v>
      </c>
      <c r="D1528">
        <v>67</v>
      </c>
      <c r="E1528">
        <v>576</v>
      </c>
      <c r="F1528">
        <v>4</v>
      </c>
      <c r="K1528" s="1">
        <f t="shared" si="149"/>
        <v>576</v>
      </c>
      <c r="L1528" s="1" t="str">
        <f t="shared" si="144"/>
        <v>Normal</v>
      </c>
      <c r="M1528" s="2">
        <f t="shared" si="145"/>
        <v>69</v>
      </c>
      <c r="N1528" s="1" t="str">
        <f t="shared" si="146"/>
        <v>Basah</v>
      </c>
      <c r="O1528" t="str">
        <f t="shared" si="147"/>
        <v>Fuzzy</v>
      </c>
      <c r="P1528" t="str">
        <f t="shared" si="148"/>
        <v>Fuzzy</v>
      </c>
    </row>
    <row r="1529" spans="1:16" x14ac:dyDescent="0.35">
      <c r="A1529" t="s">
        <v>1532</v>
      </c>
      <c r="B1529">
        <v>5742</v>
      </c>
      <c r="C1529">
        <v>28</v>
      </c>
      <c r="D1529">
        <v>67</v>
      </c>
      <c r="E1529">
        <v>474</v>
      </c>
      <c r="F1529">
        <v>4</v>
      </c>
      <c r="K1529" s="1">
        <f t="shared" si="149"/>
        <v>474</v>
      </c>
      <c r="L1529" s="1" t="str">
        <f t="shared" si="144"/>
        <v>Normal</v>
      </c>
      <c r="M1529" s="2">
        <f t="shared" si="145"/>
        <v>43.5</v>
      </c>
      <c r="N1529" s="1" t="str">
        <f t="shared" si="146"/>
        <v>Lembab</v>
      </c>
      <c r="O1529" t="str">
        <f t="shared" si="147"/>
        <v>Fuzzy</v>
      </c>
      <c r="P1529" t="str">
        <f t="shared" si="148"/>
        <v>Fuzzy</v>
      </c>
    </row>
    <row r="1530" spans="1:16" x14ac:dyDescent="0.35">
      <c r="A1530" t="s">
        <v>1533</v>
      </c>
      <c r="B1530">
        <v>5743</v>
      </c>
      <c r="C1530">
        <v>28</v>
      </c>
      <c r="D1530">
        <v>67</v>
      </c>
      <c r="E1530">
        <v>825</v>
      </c>
      <c r="F1530">
        <v>3</v>
      </c>
      <c r="K1530" s="1">
        <f t="shared" si="149"/>
        <v>825</v>
      </c>
      <c r="L1530" s="1" t="str">
        <f t="shared" si="144"/>
        <v>Normal</v>
      </c>
      <c r="M1530" s="2">
        <f t="shared" si="145"/>
        <v>38.699690402476783</v>
      </c>
      <c r="N1530" s="1" t="str">
        <f t="shared" si="146"/>
        <v>Lembab</v>
      </c>
      <c r="O1530" t="str">
        <f t="shared" si="147"/>
        <v>Fuzzy</v>
      </c>
      <c r="P1530" t="str">
        <f t="shared" si="148"/>
        <v>Fuzzy</v>
      </c>
    </row>
    <row r="1531" spans="1:16" x14ac:dyDescent="0.35">
      <c r="A1531" t="s">
        <v>1534</v>
      </c>
      <c r="B1531">
        <v>5744</v>
      </c>
      <c r="C1531">
        <v>28</v>
      </c>
      <c r="D1531">
        <v>68</v>
      </c>
      <c r="E1531">
        <v>575</v>
      </c>
      <c r="F1531">
        <v>4</v>
      </c>
      <c r="K1531" s="1">
        <f t="shared" si="149"/>
        <v>575</v>
      </c>
      <c r="L1531" s="1" t="str">
        <f t="shared" si="144"/>
        <v>Normal</v>
      </c>
      <c r="M1531" s="2">
        <f t="shared" si="145"/>
        <v>68.75</v>
      </c>
      <c r="N1531" s="1" t="str">
        <f t="shared" si="146"/>
        <v>Basah</v>
      </c>
      <c r="O1531" t="str">
        <f t="shared" si="147"/>
        <v>Fuzzy</v>
      </c>
      <c r="P1531" t="str">
        <f t="shared" si="148"/>
        <v>Fuzzy</v>
      </c>
    </row>
    <row r="1532" spans="1:16" x14ac:dyDescent="0.35">
      <c r="A1532" t="s">
        <v>1535</v>
      </c>
      <c r="B1532">
        <v>5745</v>
      </c>
      <c r="C1532">
        <v>28</v>
      </c>
      <c r="D1532">
        <v>69</v>
      </c>
      <c r="E1532">
        <v>525</v>
      </c>
      <c r="F1532">
        <v>4</v>
      </c>
      <c r="K1532" s="1">
        <f t="shared" si="149"/>
        <v>525</v>
      </c>
      <c r="L1532" s="1" t="str">
        <f t="shared" si="144"/>
        <v>Normal</v>
      </c>
      <c r="M1532" s="2">
        <f t="shared" si="145"/>
        <v>56.25</v>
      </c>
      <c r="N1532" s="1" t="str">
        <f t="shared" si="146"/>
        <v>Lembab</v>
      </c>
      <c r="O1532" t="str">
        <f t="shared" si="147"/>
        <v>Fuzzy</v>
      </c>
      <c r="P1532" t="str">
        <f t="shared" si="148"/>
        <v>Fuzzy</v>
      </c>
    </row>
    <row r="1533" spans="1:16" x14ac:dyDescent="0.35">
      <c r="A1533" t="s">
        <v>1536</v>
      </c>
      <c r="B1533">
        <v>5746</v>
      </c>
      <c r="C1533">
        <v>28</v>
      </c>
      <c r="D1533">
        <v>69</v>
      </c>
      <c r="E1533">
        <v>580</v>
      </c>
      <c r="F1533">
        <v>3</v>
      </c>
      <c r="K1533" s="1">
        <f t="shared" si="149"/>
        <v>580</v>
      </c>
      <c r="L1533" s="1" t="str">
        <f t="shared" si="144"/>
        <v>Normal</v>
      </c>
      <c r="M1533" s="2">
        <f t="shared" si="145"/>
        <v>70</v>
      </c>
      <c r="N1533" s="1" t="str">
        <f t="shared" si="146"/>
        <v>Basah</v>
      </c>
      <c r="O1533" t="str">
        <f t="shared" si="147"/>
        <v>Fuzzy</v>
      </c>
      <c r="P1533" t="str">
        <f t="shared" si="148"/>
        <v>Fuzzy</v>
      </c>
    </row>
    <row r="1534" spans="1:16" x14ac:dyDescent="0.35">
      <c r="A1534" t="s">
        <v>1537</v>
      </c>
      <c r="B1534">
        <v>5747</v>
      </c>
      <c r="C1534">
        <v>28</v>
      </c>
      <c r="D1534">
        <v>68</v>
      </c>
      <c r="E1534">
        <v>464</v>
      </c>
      <c r="F1534">
        <v>3</v>
      </c>
      <c r="K1534" s="1">
        <f t="shared" si="149"/>
        <v>464</v>
      </c>
      <c r="L1534" s="1" t="str">
        <f t="shared" si="144"/>
        <v>Normal</v>
      </c>
      <c r="M1534" s="2">
        <f t="shared" si="145"/>
        <v>41</v>
      </c>
      <c r="N1534" s="1" t="str">
        <f t="shared" si="146"/>
        <v>Lembab</v>
      </c>
      <c r="O1534" t="str">
        <f t="shared" si="147"/>
        <v>Fuzzy</v>
      </c>
      <c r="P1534" t="str">
        <f t="shared" si="148"/>
        <v>Fuzzy</v>
      </c>
    </row>
    <row r="1535" spans="1:16" x14ac:dyDescent="0.35">
      <c r="A1535" t="s">
        <v>1538</v>
      </c>
      <c r="B1535">
        <v>5748</v>
      </c>
      <c r="C1535">
        <v>28</v>
      </c>
      <c r="D1535">
        <v>69</v>
      </c>
      <c r="E1535">
        <v>521</v>
      </c>
      <c r="F1535">
        <v>4</v>
      </c>
      <c r="K1535" s="1">
        <f t="shared" si="149"/>
        <v>521</v>
      </c>
      <c r="L1535" s="1" t="str">
        <f t="shared" si="144"/>
        <v>Normal</v>
      </c>
      <c r="M1535" s="2">
        <f t="shared" si="145"/>
        <v>55.25</v>
      </c>
      <c r="N1535" s="1" t="str">
        <f t="shared" si="146"/>
        <v>Lembab</v>
      </c>
      <c r="O1535" t="str">
        <f t="shared" si="147"/>
        <v>Fuzzy</v>
      </c>
      <c r="P1535" t="str">
        <f t="shared" si="148"/>
        <v>Fuzzy</v>
      </c>
    </row>
    <row r="1536" spans="1:16" x14ac:dyDescent="0.35">
      <c r="A1536" t="s">
        <v>1539</v>
      </c>
      <c r="B1536">
        <v>5749</v>
      </c>
      <c r="C1536">
        <v>28</v>
      </c>
      <c r="D1536">
        <v>69</v>
      </c>
      <c r="E1536">
        <v>633</v>
      </c>
      <c r="F1536">
        <v>4</v>
      </c>
      <c r="K1536" s="1">
        <f t="shared" si="149"/>
        <v>633</v>
      </c>
      <c r="L1536" s="1" t="str">
        <f t="shared" si="144"/>
        <v>Normal</v>
      </c>
      <c r="M1536" s="2">
        <f t="shared" si="145"/>
        <v>83.25</v>
      </c>
      <c r="N1536" s="1" t="str">
        <f t="shared" si="146"/>
        <v>Basah</v>
      </c>
      <c r="O1536" t="str">
        <f t="shared" si="147"/>
        <v>Fuzzy</v>
      </c>
      <c r="P1536" t="str">
        <f t="shared" si="148"/>
        <v>Fuzzy</v>
      </c>
    </row>
    <row r="1537" spans="1:16" x14ac:dyDescent="0.35">
      <c r="A1537" t="s">
        <v>1540</v>
      </c>
      <c r="B1537">
        <v>5750</v>
      </c>
      <c r="C1537">
        <v>28</v>
      </c>
      <c r="D1537">
        <v>69</v>
      </c>
      <c r="E1537">
        <v>594</v>
      </c>
      <c r="F1537">
        <v>5</v>
      </c>
      <c r="K1537" s="1">
        <f t="shared" si="149"/>
        <v>594</v>
      </c>
      <c r="L1537" s="1" t="str">
        <f t="shared" si="144"/>
        <v>Normal</v>
      </c>
      <c r="M1537" s="2">
        <f t="shared" si="145"/>
        <v>73.5</v>
      </c>
      <c r="N1537" s="1" t="str">
        <f t="shared" si="146"/>
        <v>Basah</v>
      </c>
      <c r="O1537" t="str">
        <f t="shared" si="147"/>
        <v>Fuzzy</v>
      </c>
      <c r="P1537" t="str">
        <f t="shared" si="148"/>
        <v>Fuzzy</v>
      </c>
    </row>
    <row r="1538" spans="1:16" x14ac:dyDescent="0.35">
      <c r="A1538" t="s">
        <v>1541</v>
      </c>
      <c r="B1538">
        <v>5751</v>
      </c>
      <c r="C1538">
        <v>28</v>
      </c>
      <c r="D1538">
        <v>69</v>
      </c>
      <c r="E1538">
        <v>528</v>
      </c>
      <c r="F1538">
        <v>4</v>
      </c>
      <c r="K1538" s="1">
        <f t="shared" si="149"/>
        <v>528</v>
      </c>
      <c r="L1538" s="1" t="str">
        <f t="shared" si="144"/>
        <v>Normal</v>
      </c>
      <c r="M1538" s="2">
        <f t="shared" si="145"/>
        <v>56.999999999999993</v>
      </c>
      <c r="N1538" s="1" t="str">
        <f t="shared" si="146"/>
        <v>Lembab</v>
      </c>
      <c r="O1538" t="str">
        <f t="shared" si="147"/>
        <v>Fuzzy</v>
      </c>
      <c r="P1538" t="str">
        <f t="shared" si="148"/>
        <v>Fuzzy</v>
      </c>
    </row>
    <row r="1539" spans="1:16" x14ac:dyDescent="0.35">
      <c r="A1539" t="s">
        <v>1542</v>
      </c>
      <c r="B1539">
        <v>5752</v>
      </c>
      <c r="C1539">
        <v>28</v>
      </c>
      <c r="D1539">
        <v>69</v>
      </c>
      <c r="E1539">
        <v>518</v>
      </c>
      <c r="F1539">
        <v>4</v>
      </c>
      <c r="K1539" s="1">
        <f t="shared" si="149"/>
        <v>518</v>
      </c>
      <c r="L1539" s="1" t="str">
        <f t="shared" ref="L1539:L1602" si="150">IF(A1538 &lt;= 10, "Dingin", IF(OR(A1538 &gt;= 10, A1538 &lt; 35), "Normal", "Panas"))</f>
        <v>Normal</v>
      </c>
      <c r="M1539" s="2">
        <f t="shared" ref="M1539:M1602" si="151">IF(K1539&lt;=300, K1539/1023*100, IF(K1539&lt;=700, (K1539-300)/(700-301+1)*100, (K1539-700)/(1023-701+1)*100))</f>
        <v>54.500000000000007</v>
      </c>
      <c r="N1539" s="1" t="str">
        <f t="shared" ref="N1539:N1602" si="152">IF(M1539&lt;=29.32, "Kering", IF(M1539&lt;=68.53, "Lembab", "Basah"))</f>
        <v>Lembab</v>
      </c>
      <c r="O1539" t="str">
        <f t="shared" ref="O1539:O1602" si="153">IF(OR(AND(C1539 &gt; 10, C1539 &lt; 22.5), AND(C1539 &gt;= 22.5, C1539 &lt; 35)), "Fuzzy", "")</f>
        <v>Fuzzy</v>
      </c>
      <c r="P1539" t="str">
        <f t="shared" ref="P1539:P1602" si="154">IF(OR(AND(M1539 &gt;= 0, M1539 &lt; 50), AND(M1539 &gt;= 50, M1539 &lt; 100)), "Fuzzy", "")</f>
        <v>Fuzzy</v>
      </c>
    </row>
    <row r="1540" spans="1:16" x14ac:dyDescent="0.35">
      <c r="A1540" t="s">
        <v>1543</v>
      </c>
      <c r="B1540">
        <v>5753</v>
      </c>
      <c r="C1540">
        <v>28</v>
      </c>
      <c r="D1540">
        <v>69</v>
      </c>
      <c r="E1540">
        <v>633</v>
      </c>
      <c r="F1540">
        <v>3</v>
      </c>
      <c r="K1540" s="1">
        <f t="shared" si="149"/>
        <v>633</v>
      </c>
      <c r="L1540" s="1" t="str">
        <f t="shared" si="150"/>
        <v>Normal</v>
      </c>
      <c r="M1540" s="2">
        <f t="shared" si="151"/>
        <v>83.25</v>
      </c>
      <c r="N1540" s="1" t="str">
        <f t="shared" si="152"/>
        <v>Basah</v>
      </c>
      <c r="O1540" t="str">
        <f t="shared" si="153"/>
        <v>Fuzzy</v>
      </c>
      <c r="P1540" t="str">
        <f t="shared" si="154"/>
        <v>Fuzzy</v>
      </c>
    </row>
    <row r="1541" spans="1:16" x14ac:dyDescent="0.35">
      <c r="A1541" t="s">
        <v>1544</v>
      </c>
      <c r="B1541">
        <v>5754</v>
      </c>
      <c r="C1541">
        <v>28</v>
      </c>
      <c r="D1541">
        <v>69</v>
      </c>
      <c r="E1541">
        <v>521</v>
      </c>
      <c r="F1541">
        <v>4</v>
      </c>
      <c r="K1541" s="1">
        <f t="shared" si="149"/>
        <v>521</v>
      </c>
      <c r="L1541" s="1" t="str">
        <f t="shared" si="150"/>
        <v>Normal</v>
      </c>
      <c r="M1541" s="2">
        <f t="shared" si="151"/>
        <v>55.25</v>
      </c>
      <c r="N1541" s="1" t="str">
        <f t="shared" si="152"/>
        <v>Lembab</v>
      </c>
      <c r="O1541" t="str">
        <f t="shared" si="153"/>
        <v>Fuzzy</v>
      </c>
      <c r="P1541" t="str">
        <f t="shared" si="154"/>
        <v>Fuzzy</v>
      </c>
    </row>
    <row r="1542" spans="1:16" x14ac:dyDescent="0.35">
      <c r="A1542" t="s">
        <v>1545</v>
      </c>
      <c r="B1542">
        <v>5755</v>
      </c>
      <c r="C1542">
        <v>28</v>
      </c>
      <c r="D1542">
        <v>69</v>
      </c>
      <c r="E1542">
        <v>480</v>
      </c>
      <c r="F1542">
        <v>4</v>
      </c>
      <c r="K1542" s="1">
        <f t="shared" si="149"/>
        <v>480</v>
      </c>
      <c r="L1542" s="1" t="str">
        <f t="shared" si="150"/>
        <v>Normal</v>
      </c>
      <c r="M1542" s="2">
        <f t="shared" si="151"/>
        <v>45</v>
      </c>
      <c r="N1542" s="1" t="str">
        <f t="shared" si="152"/>
        <v>Lembab</v>
      </c>
      <c r="O1542" t="str">
        <f t="shared" si="153"/>
        <v>Fuzzy</v>
      </c>
      <c r="P1542" t="str">
        <f t="shared" si="154"/>
        <v>Fuzzy</v>
      </c>
    </row>
    <row r="1543" spans="1:16" x14ac:dyDescent="0.35">
      <c r="A1543" t="s">
        <v>1546</v>
      </c>
      <c r="B1543">
        <v>5756</v>
      </c>
      <c r="C1543">
        <v>28</v>
      </c>
      <c r="D1543">
        <v>69</v>
      </c>
      <c r="E1543">
        <v>531</v>
      </c>
      <c r="F1543">
        <v>4</v>
      </c>
      <c r="K1543" s="1">
        <f t="shared" si="149"/>
        <v>531</v>
      </c>
      <c r="L1543" s="1" t="str">
        <f t="shared" si="150"/>
        <v>Normal</v>
      </c>
      <c r="M1543" s="2">
        <f t="shared" si="151"/>
        <v>57.75</v>
      </c>
      <c r="N1543" s="1" t="str">
        <f t="shared" si="152"/>
        <v>Lembab</v>
      </c>
      <c r="O1543" t="str">
        <f t="shared" si="153"/>
        <v>Fuzzy</v>
      </c>
      <c r="P1543" t="str">
        <f t="shared" si="154"/>
        <v>Fuzzy</v>
      </c>
    </row>
    <row r="1544" spans="1:16" x14ac:dyDescent="0.35">
      <c r="A1544" t="s">
        <v>1547</v>
      </c>
      <c r="B1544">
        <v>5757</v>
      </c>
      <c r="C1544">
        <v>28</v>
      </c>
      <c r="D1544">
        <v>69</v>
      </c>
      <c r="E1544">
        <v>478</v>
      </c>
      <c r="F1544">
        <v>4</v>
      </c>
      <c r="K1544" s="1">
        <f t="shared" si="149"/>
        <v>478</v>
      </c>
      <c r="L1544" s="1" t="str">
        <f t="shared" si="150"/>
        <v>Normal</v>
      </c>
      <c r="M1544" s="2">
        <f t="shared" si="151"/>
        <v>44.5</v>
      </c>
      <c r="N1544" s="1" t="str">
        <f t="shared" si="152"/>
        <v>Lembab</v>
      </c>
      <c r="O1544" t="str">
        <f t="shared" si="153"/>
        <v>Fuzzy</v>
      </c>
      <c r="P1544" t="str">
        <f t="shared" si="154"/>
        <v>Fuzzy</v>
      </c>
    </row>
    <row r="1545" spans="1:16" x14ac:dyDescent="0.35">
      <c r="A1545" t="s">
        <v>1548</v>
      </c>
      <c r="B1545">
        <v>5758</v>
      </c>
      <c r="C1545">
        <v>28</v>
      </c>
      <c r="D1545">
        <v>69</v>
      </c>
      <c r="E1545">
        <v>533</v>
      </c>
      <c r="F1545">
        <v>4</v>
      </c>
      <c r="K1545" s="1">
        <f t="shared" si="149"/>
        <v>533</v>
      </c>
      <c r="L1545" s="1" t="str">
        <f t="shared" si="150"/>
        <v>Normal</v>
      </c>
      <c r="M1545" s="2">
        <f t="shared" si="151"/>
        <v>58.25</v>
      </c>
      <c r="N1545" s="1" t="str">
        <f t="shared" si="152"/>
        <v>Lembab</v>
      </c>
      <c r="O1545" t="str">
        <f t="shared" si="153"/>
        <v>Fuzzy</v>
      </c>
      <c r="P1545" t="str">
        <f t="shared" si="154"/>
        <v>Fuzzy</v>
      </c>
    </row>
    <row r="1546" spans="1:16" x14ac:dyDescent="0.35">
      <c r="A1546" t="s">
        <v>1549</v>
      </c>
      <c r="B1546">
        <v>5759</v>
      </c>
      <c r="C1546">
        <v>28</v>
      </c>
      <c r="D1546">
        <v>69</v>
      </c>
      <c r="E1546">
        <v>583</v>
      </c>
      <c r="F1546">
        <v>4</v>
      </c>
      <c r="K1546" s="1">
        <f t="shared" si="149"/>
        <v>583</v>
      </c>
      <c r="L1546" s="1" t="str">
        <f t="shared" si="150"/>
        <v>Normal</v>
      </c>
      <c r="M1546" s="2">
        <f t="shared" si="151"/>
        <v>70.75</v>
      </c>
      <c r="N1546" s="1" t="str">
        <f t="shared" si="152"/>
        <v>Basah</v>
      </c>
      <c r="O1546" t="str">
        <f t="shared" si="153"/>
        <v>Fuzzy</v>
      </c>
      <c r="P1546" t="str">
        <f t="shared" si="154"/>
        <v>Fuzzy</v>
      </c>
    </row>
    <row r="1547" spans="1:16" x14ac:dyDescent="0.35">
      <c r="A1547" t="s">
        <v>1550</v>
      </c>
      <c r="B1547">
        <v>5760</v>
      </c>
      <c r="C1547">
        <v>28</v>
      </c>
      <c r="D1547">
        <v>69</v>
      </c>
      <c r="E1547">
        <v>555</v>
      </c>
      <c r="F1547">
        <v>4</v>
      </c>
      <c r="K1547" s="1">
        <f t="shared" si="149"/>
        <v>555</v>
      </c>
      <c r="L1547" s="1" t="str">
        <f t="shared" si="150"/>
        <v>Normal</v>
      </c>
      <c r="M1547" s="2">
        <f t="shared" si="151"/>
        <v>63.749999999999993</v>
      </c>
      <c r="N1547" s="1" t="str">
        <f t="shared" si="152"/>
        <v>Lembab</v>
      </c>
      <c r="O1547" t="str">
        <f t="shared" si="153"/>
        <v>Fuzzy</v>
      </c>
      <c r="P1547" t="str">
        <f t="shared" si="154"/>
        <v>Fuzzy</v>
      </c>
    </row>
    <row r="1548" spans="1:16" x14ac:dyDescent="0.35">
      <c r="A1548" t="s">
        <v>1551</v>
      </c>
      <c r="B1548">
        <v>5761</v>
      </c>
      <c r="C1548">
        <v>28</v>
      </c>
      <c r="D1548">
        <v>69</v>
      </c>
      <c r="E1548">
        <v>576</v>
      </c>
      <c r="F1548">
        <v>4</v>
      </c>
      <c r="K1548" s="1">
        <f t="shared" si="149"/>
        <v>576</v>
      </c>
      <c r="L1548" s="1" t="str">
        <f t="shared" si="150"/>
        <v>Normal</v>
      </c>
      <c r="M1548" s="2">
        <f t="shared" si="151"/>
        <v>69</v>
      </c>
      <c r="N1548" s="1" t="str">
        <f t="shared" si="152"/>
        <v>Basah</v>
      </c>
      <c r="O1548" t="str">
        <f t="shared" si="153"/>
        <v>Fuzzy</v>
      </c>
      <c r="P1548" t="str">
        <f t="shared" si="154"/>
        <v>Fuzzy</v>
      </c>
    </row>
    <row r="1549" spans="1:16" x14ac:dyDescent="0.35">
      <c r="A1549" t="s">
        <v>1552</v>
      </c>
      <c r="B1549">
        <v>5762</v>
      </c>
      <c r="C1549">
        <v>28</v>
      </c>
      <c r="D1549">
        <v>69</v>
      </c>
      <c r="E1549">
        <v>520</v>
      </c>
      <c r="F1549">
        <v>4</v>
      </c>
      <c r="K1549" s="1">
        <f t="shared" ref="K1549:K1612" si="155">IF(E1549&lt;=1023, E1549, "")</f>
        <v>520</v>
      </c>
      <c r="L1549" s="1" t="str">
        <f t="shared" si="150"/>
        <v>Normal</v>
      </c>
      <c r="M1549" s="2">
        <f t="shared" si="151"/>
        <v>55.000000000000007</v>
      </c>
      <c r="N1549" s="1" t="str">
        <f t="shared" si="152"/>
        <v>Lembab</v>
      </c>
      <c r="O1549" t="str">
        <f t="shared" si="153"/>
        <v>Fuzzy</v>
      </c>
      <c r="P1549" t="str">
        <f t="shared" si="154"/>
        <v>Fuzzy</v>
      </c>
    </row>
    <row r="1550" spans="1:16" x14ac:dyDescent="0.35">
      <c r="A1550" t="s">
        <v>1553</v>
      </c>
      <c r="B1550">
        <v>5763</v>
      </c>
      <c r="C1550">
        <v>28</v>
      </c>
      <c r="D1550">
        <v>69</v>
      </c>
      <c r="E1550">
        <v>544</v>
      </c>
      <c r="F1550">
        <v>4</v>
      </c>
      <c r="K1550" s="1">
        <f t="shared" si="155"/>
        <v>544</v>
      </c>
      <c r="L1550" s="1" t="str">
        <f t="shared" si="150"/>
        <v>Normal</v>
      </c>
      <c r="M1550" s="2">
        <f t="shared" si="151"/>
        <v>61</v>
      </c>
      <c r="N1550" s="1" t="str">
        <f t="shared" si="152"/>
        <v>Lembab</v>
      </c>
      <c r="O1550" t="str">
        <f t="shared" si="153"/>
        <v>Fuzzy</v>
      </c>
      <c r="P1550" t="str">
        <f t="shared" si="154"/>
        <v>Fuzzy</v>
      </c>
    </row>
    <row r="1551" spans="1:16" x14ac:dyDescent="0.35">
      <c r="A1551" t="s">
        <v>1554</v>
      </c>
      <c r="B1551">
        <v>5764</v>
      </c>
      <c r="C1551">
        <v>28</v>
      </c>
      <c r="D1551">
        <v>67</v>
      </c>
      <c r="E1551">
        <v>486</v>
      </c>
      <c r="F1551">
        <v>4</v>
      </c>
      <c r="K1551" s="1">
        <f t="shared" si="155"/>
        <v>486</v>
      </c>
      <c r="L1551" s="1" t="str">
        <f t="shared" si="150"/>
        <v>Normal</v>
      </c>
      <c r="M1551" s="2">
        <f t="shared" si="151"/>
        <v>46.5</v>
      </c>
      <c r="N1551" s="1" t="str">
        <f t="shared" si="152"/>
        <v>Lembab</v>
      </c>
      <c r="O1551" t="str">
        <f t="shared" si="153"/>
        <v>Fuzzy</v>
      </c>
      <c r="P1551" t="str">
        <f t="shared" si="154"/>
        <v>Fuzzy</v>
      </c>
    </row>
    <row r="1552" spans="1:16" x14ac:dyDescent="0.35">
      <c r="A1552" t="s">
        <v>1555</v>
      </c>
      <c r="B1552">
        <v>5765</v>
      </c>
      <c r="C1552">
        <v>28</v>
      </c>
      <c r="D1552">
        <v>67</v>
      </c>
      <c r="E1552">
        <v>518</v>
      </c>
      <c r="F1552">
        <v>3</v>
      </c>
      <c r="K1552" s="1">
        <f t="shared" si="155"/>
        <v>518</v>
      </c>
      <c r="L1552" s="1" t="str">
        <f t="shared" si="150"/>
        <v>Normal</v>
      </c>
      <c r="M1552" s="2">
        <f t="shared" si="151"/>
        <v>54.500000000000007</v>
      </c>
      <c r="N1552" s="1" t="str">
        <f t="shared" si="152"/>
        <v>Lembab</v>
      </c>
      <c r="O1552" t="str">
        <f t="shared" si="153"/>
        <v>Fuzzy</v>
      </c>
      <c r="P1552" t="str">
        <f t="shared" si="154"/>
        <v>Fuzzy</v>
      </c>
    </row>
    <row r="1553" spans="1:16" x14ac:dyDescent="0.35">
      <c r="A1553" t="s">
        <v>1556</v>
      </c>
      <c r="B1553">
        <v>5766</v>
      </c>
      <c r="C1553">
        <v>28</v>
      </c>
      <c r="D1553">
        <v>67</v>
      </c>
      <c r="E1553">
        <v>371</v>
      </c>
      <c r="F1553">
        <v>4</v>
      </c>
      <c r="K1553" s="1">
        <f t="shared" si="155"/>
        <v>371</v>
      </c>
      <c r="L1553" s="1" t="str">
        <f t="shared" si="150"/>
        <v>Normal</v>
      </c>
      <c r="M1553" s="2">
        <f t="shared" si="151"/>
        <v>17.75</v>
      </c>
      <c r="N1553" s="1" t="str">
        <f t="shared" si="152"/>
        <v>Kering</v>
      </c>
      <c r="O1553" t="str">
        <f t="shared" si="153"/>
        <v>Fuzzy</v>
      </c>
      <c r="P1553" t="str">
        <f t="shared" si="154"/>
        <v>Fuzzy</v>
      </c>
    </row>
    <row r="1554" spans="1:16" x14ac:dyDescent="0.35">
      <c r="A1554" t="s">
        <v>1557</v>
      </c>
      <c r="B1554">
        <v>5767</v>
      </c>
      <c r="C1554">
        <v>28</v>
      </c>
      <c r="D1554">
        <v>67</v>
      </c>
      <c r="E1554">
        <v>551</v>
      </c>
      <c r="F1554">
        <v>4</v>
      </c>
      <c r="K1554" s="1">
        <f t="shared" si="155"/>
        <v>551</v>
      </c>
      <c r="L1554" s="1" t="str">
        <f t="shared" si="150"/>
        <v>Normal</v>
      </c>
      <c r="M1554" s="2">
        <f t="shared" si="151"/>
        <v>62.749999999999993</v>
      </c>
      <c r="N1554" s="1" t="str">
        <f t="shared" si="152"/>
        <v>Lembab</v>
      </c>
      <c r="O1554" t="str">
        <f t="shared" si="153"/>
        <v>Fuzzy</v>
      </c>
      <c r="P1554" t="str">
        <f t="shared" si="154"/>
        <v>Fuzzy</v>
      </c>
    </row>
    <row r="1555" spans="1:16" x14ac:dyDescent="0.35">
      <c r="A1555" t="s">
        <v>1558</v>
      </c>
      <c r="B1555">
        <v>5768</v>
      </c>
      <c r="C1555">
        <v>28</v>
      </c>
      <c r="D1555">
        <v>68</v>
      </c>
      <c r="E1555">
        <v>501</v>
      </c>
      <c r="F1555">
        <v>4</v>
      </c>
      <c r="K1555" s="1">
        <f t="shared" si="155"/>
        <v>501</v>
      </c>
      <c r="L1555" s="1" t="str">
        <f t="shared" si="150"/>
        <v>Normal</v>
      </c>
      <c r="M1555" s="2">
        <f t="shared" si="151"/>
        <v>50.249999999999993</v>
      </c>
      <c r="N1555" s="1" t="str">
        <f t="shared" si="152"/>
        <v>Lembab</v>
      </c>
      <c r="O1555" t="str">
        <f t="shared" si="153"/>
        <v>Fuzzy</v>
      </c>
      <c r="P1555" t="str">
        <f t="shared" si="154"/>
        <v>Fuzzy</v>
      </c>
    </row>
    <row r="1556" spans="1:16" x14ac:dyDescent="0.35">
      <c r="A1556" t="s">
        <v>1559</v>
      </c>
      <c r="B1556">
        <v>5769</v>
      </c>
      <c r="C1556">
        <v>28</v>
      </c>
      <c r="D1556">
        <v>68</v>
      </c>
      <c r="E1556">
        <v>512</v>
      </c>
      <c r="F1556">
        <v>4</v>
      </c>
      <c r="K1556" s="1">
        <f t="shared" si="155"/>
        <v>512</v>
      </c>
      <c r="L1556" s="1" t="str">
        <f t="shared" si="150"/>
        <v>Normal</v>
      </c>
      <c r="M1556" s="2">
        <f t="shared" si="151"/>
        <v>53</v>
      </c>
      <c r="N1556" s="1" t="str">
        <f t="shared" si="152"/>
        <v>Lembab</v>
      </c>
      <c r="O1556" t="str">
        <f t="shared" si="153"/>
        <v>Fuzzy</v>
      </c>
      <c r="P1556" t="str">
        <f t="shared" si="154"/>
        <v>Fuzzy</v>
      </c>
    </row>
    <row r="1557" spans="1:16" x14ac:dyDescent="0.35">
      <c r="A1557" t="s">
        <v>1560</v>
      </c>
      <c r="B1557">
        <v>5770</v>
      </c>
      <c r="C1557">
        <v>28</v>
      </c>
      <c r="D1557">
        <v>68</v>
      </c>
      <c r="E1557">
        <v>525</v>
      </c>
      <c r="F1557">
        <v>3</v>
      </c>
      <c r="K1557" s="1">
        <f t="shared" si="155"/>
        <v>525</v>
      </c>
      <c r="L1557" s="1" t="str">
        <f t="shared" si="150"/>
        <v>Normal</v>
      </c>
      <c r="M1557" s="2">
        <f t="shared" si="151"/>
        <v>56.25</v>
      </c>
      <c r="N1557" s="1" t="str">
        <f t="shared" si="152"/>
        <v>Lembab</v>
      </c>
      <c r="O1557" t="str">
        <f t="shared" si="153"/>
        <v>Fuzzy</v>
      </c>
      <c r="P1557" t="str">
        <f t="shared" si="154"/>
        <v>Fuzzy</v>
      </c>
    </row>
    <row r="1558" spans="1:16" x14ac:dyDescent="0.35">
      <c r="A1558" t="s">
        <v>1561</v>
      </c>
      <c r="B1558">
        <v>5771</v>
      </c>
      <c r="C1558">
        <v>28</v>
      </c>
      <c r="D1558">
        <v>68</v>
      </c>
      <c r="E1558">
        <v>520</v>
      </c>
      <c r="F1558">
        <v>4</v>
      </c>
      <c r="K1558" s="1">
        <f t="shared" si="155"/>
        <v>520</v>
      </c>
      <c r="L1558" s="1" t="str">
        <f t="shared" si="150"/>
        <v>Normal</v>
      </c>
      <c r="M1558" s="2">
        <f t="shared" si="151"/>
        <v>55.000000000000007</v>
      </c>
      <c r="N1558" s="1" t="str">
        <f t="shared" si="152"/>
        <v>Lembab</v>
      </c>
      <c r="O1558" t="str">
        <f t="shared" si="153"/>
        <v>Fuzzy</v>
      </c>
      <c r="P1558" t="str">
        <f t="shared" si="154"/>
        <v>Fuzzy</v>
      </c>
    </row>
    <row r="1559" spans="1:16" x14ac:dyDescent="0.35">
      <c r="A1559" t="s">
        <v>1562</v>
      </c>
      <c r="B1559">
        <v>5772</v>
      </c>
      <c r="C1559">
        <v>28</v>
      </c>
      <c r="D1559">
        <v>68</v>
      </c>
      <c r="E1559">
        <v>557</v>
      </c>
      <c r="F1559">
        <v>4</v>
      </c>
      <c r="K1559" s="1">
        <f t="shared" si="155"/>
        <v>557</v>
      </c>
      <c r="L1559" s="1" t="str">
        <f t="shared" si="150"/>
        <v>Normal</v>
      </c>
      <c r="M1559" s="2">
        <f t="shared" si="151"/>
        <v>64.25</v>
      </c>
      <c r="N1559" s="1" t="str">
        <f t="shared" si="152"/>
        <v>Lembab</v>
      </c>
      <c r="O1559" t="str">
        <f t="shared" si="153"/>
        <v>Fuzzy</v>
      </c>
      <c r="P1559" t="str">
        <f t="shared" si="154"/>
        <v>Fuzzy</v>
      </c>
    </row>
    <row r="1560" spans="1:16" x14ac:dyDescent="0.35">
      <c r="A1560" t="s">
        <v>1563</v>
      </c>
      <c r="B1560">
        <v>5773</v>
      </c>
      <c r="C1560">
        <v>28</v>
      </c>
      <c r="D1560">
        <v>69</v>
      </c>
      <c r="E1560">
        <v>473</v>
      </c>
      <c r="F1560">
        <v>3</v>
      </c>
      <c r="K1560" s="1">
        <f t="shared" si="155"/>
        <v>473</v>
      </c>
      <c r="L1560" s="1" t="str">
        <f t="shared" si="150"/>
        <v>Normal</v>
      </c>
      <c r="M1560" s="2">
        <f t="shared" si="151"/>
        <v>43.25</v>
      </c>
      <c r="N1560" s="1" t="str">
        <f t="shared" si="152"/>
        <v>Lembab</v>
      </c>
      <c r="O1560" t="str">
        <f t="shared" si="153"/>
        <v>Fuzzy</v>
      </c>
      <c r="P1560" t="str">
        <f t="shared" si="154"/>
        <v>Fuzzy</v>
      </c>
    </row>
    <row r="1561" spans="1:16" x14ac:dyDescent="0.35">
      <c r="A1561" t="s">
        <v>1564</v>
      </c>
      <c r="B1561">
        <v>5774</v>
      </c>
      <c r="C1561">
        <v>28</v>
      </c>
      <c r="D1561">
        <v>69</v>
      </c>
      <c r="E1561">
        <v>514</v>
      </c>
      <c r="F1561">
        <v>4</v>
      </c>
      <c r="K1561" s="1">
        <f t="shared" si="155"/>
        <v>514</v>
      </c>
      <c r="L1561" s="1" t="str">
        <f t="shared" si="150"/>
        <v>Normal</v>
      </c>
      <c r="M1561" s="2">
        <f t="shared" si="151"/>
        <v>53.5</v>
      </c>
      <c r="N1561" s="1" t="str">
        <f t="shared" si="152"/>
        <v>Lembab</v>
      </c>
      <c r="O1561" t="str">
        <f t="shared" si="153"/>
        <v>Fuzzy</v>
      </c>
      <c r="P1561" t="str">
        <f t="shared" si="154"/>
        <v>Fuzzy</v>
      </c>
    </row>
    <row r="1562" spans="1:16" x14ac:dyDescent="0.35">
      <c r="A1562" t="s">
        <v>1565</v>
      </c>
      <c r="B1562">
        <v>5775</v>
      </c>
      <c r="C1562">
        <v>28</v>
      </c>
      <c r="D1562">
        <v>69</v>
      </c>
      <c r="E1562">
        <v>491</v>
      </c>
      <c r="F1562">
        <v>4</v>
      </c>
      <c r="K1562" s="1">
        <f t="shared" si="155"/>
        <v>491</v>
      </c>
      <c r="L1562" s="1" t="str">
        <f t="shared" si="150"/>
        <v>Normal</v>
      </c>
      <c r="M1562" s="2">
        <f t="shared" si="151"/>
        <v>47.75</v>
      </c>
      <c r="N1562" s="1" t="str">
        <f t="shared" si="152"/>
        <v>Lembab</v>
      </c>
      <c r="O1562" t="str">
        <f t="shared" si="153"/>
        <v>Fuzzy</v>
      </c>
      <c r="P1562" t="str">
        <f t="shared" si="154"/>
        <v>Fuzzy</v>
      </c>
    </row>
    <row r="1563" spans="1:16" x14ac:dyDescent="0.35">
      <c r="A1563" t="s">
        <v>1566</v>
      </c>
      <c r="B1563">
        <v>5776</v>
      </c>
      <c r="C1563">
        <v>28</v>
      </c>
      <c r="D1563">
        <v>68</v>
      </c>
      <c r="E1563">
        <v>529</v>
      </c>
      <c r="F1563">
        <v>4</v>
      </c>
      <c r="K1563" s="1">
        <f t="shared" si="155"/>
        <v>529</v>
      </c>
      <c r="L1563" s="1" t="str">
        <f t="shared" si="150"/>
        <v>Normal</v>
      </c>
      <c r="M1563" s="2">
        <f t="shared" si="151"/>
        <v>57.25</v>
      </c>
      <c r="N1563" s="1" t="str">
        <f t="shared" si="152"/>
        <v>Lembab</v>
      </c>
      <c r="O1563" t="str">
        <f t="shared" si="153"/>
        <v>Fuzzy</v>
      </c>
      <c r="P1563" t="str">
        <f t="shared" si="154"/>
        <v>Fuzzy</v>
      </c>
    </row>
    <row r="1564" spans="1:16" x14ac:dyDescent="0.35">
      <c r="A1564" t="s">
        <v>1567</v>
      </c>
      <c r="B1564">
        <v>5777</v>
      </c>
      <c r="C1564">
        <v>28</v>
      </c>
      <c r="D1564">
        <v>68</v>
      </c>
      <c r="E1564">
        <v>553</v>
      </c>
      <c r="F1564">
        <v>3</v>
      </c>
      <c r="K1564" s="1">
        <f t="shared" si="155"/>
        <v>553</v>
      </c>
      <c r="L1564" s="1" t="str">
        <f t="shared" si="150"/>
        <v>Normal</v>
      </c>
      <c r="M1564" s="2">
        <f t="shared" si="151"/>
        <v>63.249999999999993</v>
      </c>
      <c r="N1564" s="1" t="str">
        <f t="shared" si="152"/>
        <v>Lembab</v>
      </c>
      <c r="O1564" t="str">
        <f t="shared" si="153"/>
        <v>Fuzzy</v>
      </c>
      <c r="P1564" t="str">
        <f t="shared" si="154"/>
        <v>Fuzzy</v>
      </c>
    </row>
    <row r="1565" spans="1:16" x14ac:dyDescent="0.35">
      <c r="A1565" t="s">
        <v>1568</v>
      </c>
      <c r="B1565">
        <v>5778</v>
      </c>
      <c r="C1565">
        <v>28</v>
      </c>
      <c r="D1565">
        <v>68</v>
      </c>
      <c r="E1565">
        <v>541</v>
      </c>
      <c r="F1565">
        <v>4</v>
      </c>
      <c r="K1565" s="1">
        <f t="shared" si="155"/>
        <v>541</v>
      </c>
      <c r="L1565" s="1" t="str">
        <f t="shared" si="150"/>
        <v>Normal</v>
      </c>
      <c r="M1565" s="2">
        <f t="shared" si="151"/>
        <v>60.25</v>
      </c>
      <c r="N1565" s="1" t="str">
        <f t="shared" si="152"/>
        <v>Lembab</v>
      </c>
      <c r="O1565" t="str">
        <f t="shared" si="153"/>
        <v>Fuzzy</v>
      </c>
      <c r="P1565" t="str">
        <f t="shared" si="154"/>
        <v>Fuzzy</v>
      </c>
    </row>
    <row r="1566" spans="1:16" x14ac:dyDescent="0.35">
      <c r="A1566" t="s">
        <v>1569</v>
      </c>
      <c r="B1566">
        <v>5779</v>
      </c>
      <c r="C1566">
        <v>28</v>
      </c>
      <c r="D1566">
        <v>68</v>
      </c>
      <c r="E1566">
        <v>498</v>
      </c>
      <c r="F1566">
        <v>3</v>
      </c>
      <c r="K1566" s="1">
        <f t="shared" si="155"/>
        <v>498</v>
      </c>
      <c r="L1566" s="1" t="str">
        <f t="shared" si="150"/>
        <v>Normal</v>
      </c>
      <c r="M1566" s="2">
        <f t="shared" si="151"/>
        <v>49.5</v>
      </c>
      <c r="N1566" s="1" t="str">
        <f t="shared" si="152"/>
        <v>Lembab</v>
      </c>
      <c r="O1566" t="str">
        <f t="shared" si="153"/>
        <v>Fuzzy</v>
      </c>
      <c r="P1566" t="str">
        <f t="shared" si="154"/>
        <v>Fuzzy</v>
      </c>
    </row>
    <row r="1567" spans="1:16" x14ac:dyDescent="0.35">
      <c r="A1567" t="s">
        <v>1570</v>
      </c>
      <c r="B1567">
        <v>5780</v>
      </c>
      <c r="C1567">
        <v>28</v>
      </c>
      <c r="D1567">
        <v>69</v>
      </c>
      <c r="E1567">
        <v>596</v>
      </c>
      <c r="F1567">
        <v>4</v>
      </c>
      <c r="K1567" s="1">
        <f t="shared" si="155"/>
        <v>596</v>
      </c>
      <c r="L1567" s="1" t="str">
        <f t="shared" si="150"/>
        <v>Normal</v>
      </c>
      <c r="M1567" s="2">
        <f t="shared" si="151"/>
        <v>74</v>
      </c>
      <c r="N1567" s="1" t="str">
        <f t="shared" si="152"/>
        <v>Basah</v>
      </c>
      <c r="O1567" t="str">
        <f t="shared" si="153"/>
        <v>Fuzzy</v>
      </c>
      <c r="P1567" t="str">
        <f t="shared" si="154"/>
        <v>Fuzzy</v>
      </c>
    </row>
    <row r="1568" spans="1:16" x14ac:dyDescent="0.35">
      <c r="A1568" t="s">
        <v>1571</v>
      </c>
      <c r="B1568">
        <v>5781</v>
      </c>
      <c r="C1568">
        <v>28</v>
      </c>
      <c r="D1568">
        <v>68</v>
      </c>
      <c r="E1568">
        <v>601</v>
      </c>
      <c r="F1568">
        <v>3</v>
      </c>
      <c r="K1568" s="1">
        <f t="shared" si="155"/>
        <v>601</v>
      </c>
      <c r="L1568" s="1" t="str">
        <f t="shared" si="150"/>
        <v>Normal</v>
      </c>
      <c r="M1568" s="2">
        <f t="shared" si="151"/>
        <v>75.25</v>
      </c>
      <c r="N1568" s="1" t="str">
        <f t="shared" si="152"/>
        <v>Basah</v>
      </c>
      <c r="O1568" t="str">
        <f t="shared" si="153"/>
        <v>Fuzzy</v>
      </c>
      <c r="P1568" t="str">
        <f t="shared" si="154"/>
        <v>Fuzzy</v>
      </c>
    </row>
    <row r="1569" spans="1:16" x14ac:dyDescent="0.35">
      <c r="A1569" t="s">
        <v>1572</v>
      </c>
      <c r="B1569">
        <v>5782</v>
      </c>
      <c r="C1569">
        <v>28</v>
      </c>
      <c r="D1569">
        <v>68</v>
      </c>
      <c r="E1569">
        <v>315</v>
      </c>
      <c r="F1569">
        <v>4</v>
      </c>
      <c r="K1569" s="1">
        <f t="shared" si="155"/>
        <v>315</v>
      </c>
      <c r="L1569" s="1" t="str">
        <f t="shared" si="150"/>
        <v>Normal</v>
      </c>
      <c r="M1569" s="2">
        <f t="shared" si="151"/>
        <v>3.75</v>
      </c>
      <c r="N1569" s="1" t="str">
        <f t="shared" si="152"/>
        <v>Kering</v>
      </c>
      <c r="O1569" t="str">
        <f t="shared" si="153"/>
        <v>Fuzzy</v>
      </c>
      <c r="P1569" t="str">
        <f t="shared" si="154"/>
        <v>Fuzzy</v>
      </c>
    </row>
    <row r="1570" spans="1:16" x14ac:dyDescent="0.35">
      <c r="A1570" t="s">
        <v>1573</v>
      </c>
      <c r="B1570">
        <v>5783</v>
      </c>
      <c r="C1570">
        <v>28</v>
      </c>
      <c r="D1570">
        <v>68</v>
      </c>
      <c r="E1570">
        <v>544</v>
      </c>
      <c r="F1570">
        <v>4</v>
      </c>
      <c r="K1570" s="1">
        <f t="shared" si="155"/>
        <v>544</v>
      </c>
      <c r="L1570" s="1" t="str">
        <f t="shared" si="150"/>
        <v>Normal</v>
      </c>
      <c r="M1570" s="2">
        <f t="shared" si="151"/>
        <v>61</v>
      </c>
      <c r="N1570" s="1" t="str">
        <f t="shared" si="152"/>
        <v>Lembab</v>
      </c>
      <c r="O1570" t="str">
        <f t="shared" si="153"/>
        <v>Fuzzy</v>
      </c>
      <c r="P1570" t="str">
        <f t="shared" si="154"/>
        <v>Fuzzy</v>
      </c>
    </row>
    <row r="1571" spans="1:16" x14ac:dyDescent="0.35">
      <c r="A1571" t="s">
        <v>1574</v>
      </c>
      <c r="B1571">
        <v>5784</v>
      </c>
      <c r="C1571">
        <v>28</v>
      </c>
      <c r="D1571">
        <v>68</v>
      </c>
      <c r="E1571">
        <v>536</v>
      </c>
      <c r="F1571">
        <v>4</v>
      </c>
      <c r="K1571" s="1">
        <f t="shared" si="155"/>
        <v>536</v>
      </c>
      <c r="L1571" s="1" t="str">
        <f t="shared" si="150"/>
        <v>Normal</v>
      </c>
      <c r="M1571" s="2">
        <f t="shared" si="151"/>
        <v>59</v>
      </c>
      <c r="N1571" s="1" t="str">
        <f t="shared" si="152"/>
        <v>Lembab</v>
      </c>
      <c r="O1571" t="str">
        <f t="shared" si="153"/>
        <v>Fuzzy</v>
      </c>
      <c r="P1571" t="str">
        <f t="shared" si="154"/>
        <v>Fuzzy</v>
      </c>
    </row>
    <row r="1572" spans="1:16" x14ac:dyDescent="0.35">
      <c r="A1572" t="s">
        <v>1575</v>
      </c>
      <c r="B1572">
        <v>5785</v>
      </c>
      <c r="C1572">
        <v>28</v>
      </c>
      <c r="D1572">
        <v>68</v>
      </c>
      <c r="E1572">
        <v>577</v>
      </c>
      <c r="F1572">
        <v>4</v>
      </c>
      <c r="K1572" s="1">
        <f t="shared" si="155"/>
        <v>577</v>
      </c>
      <c r="L1572" s="1" t="str">
        <f t="shared" si="150"/>
        <v>Normal</v>
      </c>
      <c r="M1572" s="2">
        <f t="shared" si="151"/>
        <v>69.25</v>
      </c>
      <c r="N1572" s="1" t="str">
        <f t="shared" si="152"/>
        <v>Basah</v>
      </c>
      <c r="O1572" t="str">
        <f t="shared" si="153"/>
        <v>Fuzzy</v>
      </c>
      <c r="P1572" t="str">
        <f t="shared" si="154"/>
        <v>Fuzzy</v>
      </c>
    </row>
    <row r="1573" spans="1:16" x14ac:dyDescent="0.35">
      <c r="A1573" t="s">
        <v>1576</v>
      </c>
      <c r="B1573">
        <v>5786</v>
      </c>
      <c r="C1573">
        <v>28</v>
      </c>
      <c r="D1573">
        <v>68</v>
      </c>
      <c r="E1573">
        <v>895</v>
      </c>
      <c r="F1573">
        <v>5</v>
      </c>
      <c r="K1573" s="1">
        <f t="shared" si="155"/>
        <v>895</v>
      </c>
      <c r="L1573" s="1" t="str">
        <f t="shared" si="150"/>
        <v>Normal</v>
      </c>
      <c r="M1573" s="2">
        <f t="shared" si="151"/>
        <v>60.371517027863774</v>
      </c>
      <c r="N1573" s="1" t="str">
        <f t="shared" si="152"/>
        <v>Lembab</v>
      </c>
      <c r="O1573" t="str">
        <f t="shared" si="153"/>
        <v>Fuzzy</v>
      </c>
      <c r="P1573" t="str">
        <f t="shared" si="154"/>
        <v>Fuzzy</v>
      </c>
    </row>
    <row r="1574" spans="1:16" x14ac:dyDescent="0.35">
      <c r="A1574" t="s">
        <v>1577</v>
      </c>
      <c r="B1574">
        <v>5787</v>
      </c>
      <c r="C1574">
        <v>28</v>
      </c>
      <c r="D1574">
        <v>68</v>
      </c>
      <c r="E1574">
        <v>583</v>
      </c>
      <c r="F1574">
        <v>3</v>
      </c>
      <c r="K1574" s="1">
        <f t="shared" si="155"/>
        <v>583</v>
      </c>
      <c r="L1574" s="1" t="str">
        <f t="shared" si="150"/>
        <v>Normal</v>
      </c>
      <c r="M1574" s="2">
        <f t="shared" si="151"/>
        <v>70.75</v>
      </c>
      <c r="N1574" s="1" t="str">
        <f t="shared" si="152"/>
        <v>Basah</v>
      </c>
      <c r="O1574" t="str">
        <f t="shared" si="153"/>
        <v>Fuzzy</v>
      </c>
      <c r="P1574" t="str">
        <f t="shared" si="154"/>
        <v>Fuzzy</v>
      </c>
    </row>
    <row r="1575" spans="1:16" x14ac:dyDescent="0.35">
      <c r="A1575" t="s">
        <v>1578</v>
      </c>
      <c r="B1575">
        <v>5788</v>
      </c>
      <c r="C1575">
        <v>28</v>
      </c>
      <c r="D1575">
        <v>67</v>
      </c>
      <c r="E1575">
        <v>643</v>
      </c>
      <c r="F1575">
        <v>4</v>
      </c>
      <c r="K1575" s="1">
        <f t="shared" si="155"/>
        <v>643</v>
      </c>
      <c r="L1575" s="1" t="str">
        <f t="shared" si="150"/>
        <v>Normal</v>
      </c>
      <c r="M1575" s="2">
        <f t="shared" si="151"/>
        <v>85.75</v>
      </c>
      <c r="N1575" s="1" t="str">
        <f t="shared" si="152"/>
        <v>Basah</v>
      </c>
      <c r="O1575" t="str">
        <f t="shared" si="153"/>
        <v>Fuzzy</v>
      </c>
      <c r="P1575" t="str">
        <f t="shared" si="154"/>
        <v>Fuzzy</v>
      </c>
    </row>
    <row r="1576" spans="1:16" x14ac:dyDescent="0.35">
      <c r="A1576" t="s">
        <v>1579</v>
      </c>
      <c r="B1576">
        <v>5789</v>
      </c>
      <c r="C1576">
        <v>28</v>
      </c>
      <c r="D1576">
        <v>66</v>
      </c>
      <c r="E1576">
        <v>527</v>
      </c>
      <c r="F1576">
        <v>4</v>
      </c>
      <c r="K1576" s="1">
        <f t="shared" si="155"/>
        <v>527</v>
      </c>
      <c r="L1576" s="1" t="str">
        <f t="shared" si="150"/>
        <v>Normal</v>
      </c>
      <c r="M1576" s="2">
        <f t="shared" si="151"/>
        <v>56.75</v>
      </c>
      <c r="N1576" s="1" t="str">
        <f t="shared" si="152"/>
        <v>Lembab</v>
      </c>
      <c r="O1576" t="str">
        <f t="shared" si="153"/>
        <v>Fuzzy</v>
      </c>
      <c r="P1576" t="str">
        <f t="shared" si="154"/>
        <v>Fuzzy</v>
      </c>
    </row>
    <row r="1577" spans="1:16" x14ac:dyDescent="0.35">
      <c r="A1577" t="s">
        <v>1580</v>
      </c>
      <c r="B1577">
        <v>5790</v>
      </c>
      <c r="C1577">
        <v>28</v>
      </c>
      <c r="D1577">
        <v>66</v>
      </c>
      <c r="E1577">
        <v>543</v>
      </c>
      <c r="F1577">
        <v>4</v>
      </c>
      <c r="K1577" s="1">
        <f t="shared" si="155"/>
        <v>543</v>
      </c>
      <c r="L1577" s="1" t="str">
        <f t="shared" si="150"/>
        <v>Normal</v>
      </c>
      <c r="M1577" s="2">
        <f t="shared" si="151"/>
        <v>60.750000000000007</v>
      </c>
      <c r="N1577" s="1" t="str">
        <f t="shared" si="152"/>
        <v>Lembab</v>
      </c>
      <c r="O1577" t="str">
        <f t="shared" si="153"/>
        <v>Fuzzy</v>
      </c>
      <c r="P1577" t="str">
        <f t="shared" si="154"/>
        <v>Fuzzy</v>
      </c>
    </row>
    <row r="1578" spans="1:16" x14ac:dyDescent="0.35">
      <c r="A1578" t="s">
        <v>1581</v>
      </c>
      <c r="B1578">
        <v>5791</v>
      </c>
      <c r="C1578">
        <v>28</v>
      </c>
      <c r="D1578">
        <v>66</v>
      </c>
      <c r="E1578">
        <v>363</v>
      </c>
      <c r="F1578">
        <v>4</v>
      </c>
      <c r="K1578" s="1">
        <f t="shared" si="155"/>
        <v>363</v>
      </c>
      <c r="L1578" s="1" t="str">
        <f t="shared" si="150"/>
        <v>Normal</v>
      </c>
      <c r="M1578" s="2">
        <f t="shared" si="151"/>
        <v>15.75</v>
      </c>
      <c r="N1578" s="1" t="str">
        <f t="shared" si="152"/>
        <v>Kering</v>
      </c>
      <c r="O1578" t="str">
        <f t="shared" si="153"/>
        <v>Fuzzy</v>
      </c>
      <c r="P1578" t="str">
        <f t="shared" si="154"/>
        <v>Fuzzy</v>
      </c>
    </row>
    <row r="1579" spans="1:16" x14ac:dyDescent="0.35">
      <c r="A1579" t="s">
        <v>1582</v>
      </c>
      <c r="B1579">
        <v>5792</v>
      </c>
      <c r="C1579">
        <v>28</v>
      </c>
      <c r="D1579">
        <v>67</v>
      </c>
      <c r="E1579">
        <v>588</v>
      </c>
      <c r="F1579">
        <v>4</v>
      </c>
      <c r="K1579" s="1">
        <f t="shared" si="155"/>
        <v>588</v>
      </c>
      <c r="L1579" s="1" t="str">
        <f t="shared" si="150"/>
        <v>Normal</v>
      </c>
      <c r="M1579" s="2">
        <f t="shared" si="151"/>
        <v>72</v>
      </c>
      <c r="N1579" s="1" t="str">
        <f t="shared" si="152"/>
        <v>Basah</v>
      </c>
      <c r="O1579" t="str">
        <f t="shared" si="153"/>
        <v>Fuzzy</v>
      </c>
      <c r="P1579" t="str">
        <f t="shared" si="154"/>
        <v>Fuzzy</v>
      </c>
    </row>
    <row r="1580" spans="1:16" x14ac:dyDescent="0.35">
      <c r="A1580" t="s">
        <v>1583</v>
      </c>
      <c r="B1580">
        <v>5793</v>
      </c>
      <c r="C1580">
        <v>28</v>
      </c>
      <c r="D1580">
        <v>67</v>
      </c>
      <c r="E1580">
        <v>675</v>
      </c>
      <c r="F1580">
        <v>4</v>
      </c>
      <c r="K1580" s="1">
        <f t="shared" si="155"/>
        <v>675</v>
      </c>
      <c r="L1580" s="1" t="str">
        <f t="shared" si="150"/>
        <v>Normal</v>
      </c>
      <c r="M1580" s="2">
        <f t="shared" si="151"/>
        <v>93.75</v>
      </c>
      <c r="N1580" s="1" t="str">
        <f t="shared" si="152"/>
        <v>Basah</v>
      </c>
      <c r="O1580" t="str">
        <f t="shared" si="153"/>
        <v>Fuzzy</v>
      </c>
      <c r="P1580" t="str">
        <f t="shared" si="154"/>
        <v>Fuzzy</v>
      </c>
    </row>
    <row r="1581" spans="1:16" x14ac:dyDescent="0.35">
      <c r="A1581" t="s">
        <v>1584</v>
      </c>
      <c r="B1581">
        <v>5794</v>
      </c>
      <c r="C1581">
        <v>28</v>
      </c>
      <c r="D1581">
        <v>67</v>
      </c>
      <c r="E1581">
        <v>542</v>
      </c>
      <c r="F1581">
        <v>4</v>
      </c>
      <c r="K1581" s="1">
        <f t="shared" si="155"/>
        <v>542</v>
      </c>
      <c r="L1581" s="1" t="str">
        <f t="shared" si="150"/>
        <v>Normal</v>
      </c>
      <c r="M1581" s="2">
        <f t="shared" si="151"/>
        <v>60.5</v>
      </c>
      <c r="N1581" s="1" t="str">
        <f t="shared" si="152"/>
        <v>Lembab</v>
      </c>
      <c r="O1581" t="str">
        <f t="shared" si="153"/>
        <v>Fuzzy</v>
      </c>
      <c r="P1581" t="str">
        <f t="shared" si="154"/>
        <v>Fuzzy</v>
      </c>
    </row>
    <row r="1582" spans="1:16" x14ac:dyDescent="0.35">
      <c r="A1582" t="s">
        <v>1585</v>
      </c>
      <c r="B1582">
        <v>5795</v>
      </c>
      <c r="C1582">
        <v>28</v>
      </c>
      <c r="D1582">
        <v>68</v>
      </c>
      <c r="E1582">
        <v>595</v>
      </c>
      <c r="F1582">
        <v>4</v>
      </c>
      <c r="K1582" s="1">
        <f t="shared" si="155"/>
        <v>595</v>
      </c>
      <c r="L1582" s="1" t="str">
        <f t="shared" si="150"/>
        <v>Normal</v>
      </c>
      <c r="M1582" s="2">
        <f t="shared" si="151"/>
        <v>73.75</v>
      </c>
      <c r="N1582" s="1" t="str">
        <f t="shared" si="152"/>
        <v>Basah</v>
      </c>
      <c r="O1582" t="str">
        <f t="shared" si="153"/>
        <v>Fuzzy</v>
      </c>
      <c r="P1582" t="str">
        <f t="shared" si="154"/>
        <v>Fuzzy</v>
      </c>
    </row>
    <row r="1583" spans="1:16" x14ac:dyDescent="0.35">
      <c r="A1583" t="s">
        <v>1586</v>
      </c>
      <c r="B1583">
        <v>5796</v>
      </c>
      <c r="C1583">
        <v>28</v>
      </c>
      <c r="D1583">
        <v>68</v>
      </c>
      <c r="E1583">
        <v>510</v>
      </c>
      <c r="F1583">
        <v>4</v>
      </c>
      <c r="K1583" s="1">
        <f t="shared" si="155"/>
        <v>510</v>
      </c>
      <c r="L1583" s="1" t="str">
        <f t="shared" si="150"/>
        <v>Normal</v>
      </c>
      <c r="M1583" s="2">
        <f t="shared" si="151"/>
        <v>52.5</v>
      </c>
      <c r="N1583" s="1" t="str">
        <f t="shared" si="152"/>
        <v>Lembab</v>
      </c>
      <c r="O1583" t="str">
        <f t="shared" si="153"/>
        <v>Fuzzy</v>
      </c>
      <c r="P1583" t="str">
        <f t="shared" si="154"/>
        <v>Fuzzy</v>
      </c>
    </row>
    <row r="1584" spans="1:16" x14ac:dyDescent="0.35">
      <c r="A1584" t="s">
        <v>1587</v>
      </c>
      <c r="B1584">
        <v>5797</v>
      </c>
      <c r="C1584">
        <v>28</v>
      </c>
      <c r="D1584">
        <v>68</v>
      </c>
      <c r="E1584">
        <v>558</v>
      </c>
      <c r="F1584">
        <v>4</v>
      </c>
      <c r="K1584" s="1">
        <f t="shared" si="155"/>
        <v>558</v>
      </c>
      <c r="L1584" s="1" t="str">
        <f t="shared" si="150"/>
        <v>Normal</v>
      </c>
      <c r="M1584" s="2">
        <f t="shared" si="151"/>
        <v>64.5</v>
      </c>
      <c r="N1584" s="1" t="str">
        <f t="shared" si="152"/>
        <v>Lembab</v>
      </c>
      <c r="O1584" t="str">
        <f t="shared" si="153"/>
        <v>Fuzzy</v>
      </c>
      <c r="P1584" t="str">
        <f t="shared" si="154"/>
        <v>Fuzzy</v>
      </c>
    </row>
    <row r="1585" spans="1:16" x14ac:dyDescent="0.35">
      <c r="A1585" t="s">
        <v>1588</v>
      </c>
      <c r="B1585">
        <v>5798</v>
      </c>
      <c r="C1585">
        <v>28</v>
      </c>
      <c r="D1585">
        <v>68</v>
      </c>
      <c r="E1585">
        <v>758</v>
      </c>
      <c r="F1585">
        <v>4</v>
      </c>
      <c r="K1585" s="1">
        <f t="shared" si="155"/>
        <v>758</v>
      </c>
      <c r="L1585" s="1" t="str">
        <f t="shared" si="150"/>
        <v>Normal</v>
      </c>
      <c r="M1585" s="2">
        <f t="shared" si="151"/>
        <v>17.956656346749224</v>
      </c>
      <c r="N1585" s="1" t="str">
        <f t="shared" si="152"/>
        <v>Kering</v>
      </c>
      <c r="O1585" t="str">
        <f t="shared" si="153"/>
        <v>Fuzzy</v>
      </c>
      <c r="P1585" t="str">
        <f t="shared" si="154"/>
        <v>Fuzzy</v>
      </c>
    </row>
    <row r="1586" spans="1:16" x14ac:dyDescent="0.35">
      <c r="A1586" t="s">
        <v>1589</v>
      </c>
      <c r="B1586">
        <v>5799</v>
      </c>
      <c r="C1586">
        <v>28</v>
      </c>
      <c r="D1586">
        <v>68</v>
      </c>
      <c r="E1586">
        <v>577</v>
      </c>
      <c r="F1586">
        <v>4</v>
      </c>
      <c r="K1586" s="1">
        <f t="shared" si="155"/>
        <v>577</v>
      </c>
      <c r="L1586" s="1" t="str">
        <f t="shared" si="150"/>
        <v>Normal</v>
      </c>
      <c r="M1586" s="2">
        <f t="shared" si="151"/>
        <v>69.25</v>
      </c>
      <c r="N1586" s="1" t="str">
        <f t="shared" si="152"/>
        <v>Basah</v>
      </c>
      <c r="O1586" t="str">
        <f t="shared" si="153"/>
        <v>Fuzzy</v>
      </c>
      <c r="P1586" t="str">
        <f t="shared" si="154"/>
        <v>Fuzzy</v>
      </c>
    </row>
    <row r="1587" spans="1:16" x14ac:dyDescent="0.35">
      <c r="A1587" t="s">
        <v>1590</v>
      </c>
      <c r="B1587">
        <v>5800</v>
      </c>
      <c r="C1587">
        <v>28</v>
      </c>
      <c r="D1587">
        <v>68</v>
      </c>
      <c r="E1587">
        <v>523</v>
      </c>
      <c r="F1587">
        <v>4</v>
      </c>
      <c r="K1587" s="1">
        <f t="shared" si="155"/>
        <v>523</v>
      </c>
      <c r="L1587" s="1" t="str">
        <f t="shared" si="150"/>
        <v>Normal</v>
      </c>
      <c r="M1587" s="2">
        <f t="shared" si="151"/>
        <v>55.75</v>
      </c>
      <c r="N1587" s="1" t="str">
        <f t="shared" si="152"/>
        <v>Lembab</v>
      </c>
      <c r="O1587" t="str">
        <f t="shared" si="153"/>
        <v>Fuzzy</v>
      </c>
      <c r="P1587" t="str">
        <f t="shared" si="154"/>
        <v>Fuzzy</v>
      </c>
    </row>
    <row r="1588" spans="1:16" x14ac:dyDescent="0.35">
      <c r="A1588" t="s">
        <v>1591</v>
      </c>
      <c r="B1588">
        <v>5801</v>
      </c>
      <c r="C1588">
        <v>28</v>
      </c>
      <c r="D1588">
        <v>68</v>
      </c>
      <c r="E1588">
        <v>531</v>
      </c>
      <c r="F1588">
        <v>4</v>
      </c>
      <c r="K1588" s="1">
        <f t="shared" si="155"/>
        <v>531</v>
      </c>
      <c r="L1588" s="1" t="str">
        <f t="shared" si="150"/>
        <v>Normal</v>
      </c>
      <c r="M1588" s="2">
        <f t="shared" si="151"/>
        <v>57.75</v>
      </c>
      <c r="N1588" s="1" t="str">
        <f t="shared" si="152"/>
        <v>Lembab</v>
      </c>
      <c r="O1588" t="str">
        <f t="shared" si="153"/>
        <v>Fuzzy</v>
      </c>
      <c r="P1588" t="str">
        <f t="shared" si="154"/>
        <v>Fuzzy</v>
      </c>
    </row>
    <row r="1589" spans="1:16" x14ac:dyDescent="0.35">
      <c r="A1589" t="s">
        <v>1592</v>
      </c>
      <c r="B1589">
        <v>5802</v>
      </c>
      <c r="C1589">
        <v>28</v>
      </c>
      <c r="D1589">
        <v>68</v>
      </c>
      <c r="E1589">
        <v>483</v>
      </c>
      <c r="F1589">
        <v>4</v>
      </c>
      <c r="K1589" s="1">
        <f t="shared" si="155"/>
        <v>483</v>
      </c>
      <c r="L1589" s="1" t="str">
        <f t="shared" si="150"/>
        <v>Normal</v>
      </c>
      <c r="M1589" s="2">
        <f t="shared" si="151"/>
        <v>45.75</v>
      </c>
      <c r="N1589" s="1" t="str">
        <f t="shared" si="152"/>
        <v>Lembab</v>
      </c>
      <c r="O1589" t="str">
        <f t="shared" si="153"/>
        <v>Fuzzy</v>
      </c>
      <c r="P1589" t="str">
        <f t="shared" si="154"/>
        <v>Fuzzy</v>
      </c>
    </row>
    <row r="1590" spans="1:16" x14ac:dyDescent="0.35">
      <c r="A1590" t="s">
        <v>1593</v>
      </c>
      <c r="B1590">
        <v>5803</v>
      </c>
      <c r="C1590">
        <v>28</v>
      </c>
      <c r="D1590">
        <v>68</v>
      </c>
      <c r="E1590">
        <v>508</v>
      </c>
      <c r="F1590">
        <v>4</v>
      </c>
      <c r="K1590" s="1">
        <f t="shared" si="155"/>
        <v>508</v>
      </c>
      <c r="L1590" s="1" t="str">
        <f t="shared" si="150"/>
        <v>Normal</v>
      </c>
      <c r="M1590" s="2">
        <f t="shared" si="151"/>
        <v>52</v>
      </c>
      <c r="N1590" s="1" t="str">
        <f t="shared" si="152"/>
        <v>Lembab</v>
      </c>
      <c r="O1590" t="str">
        <f t="shared" si="153"/>
        <v>Fuzzy</v>
      </c>
      <c r="P1590" t="str">
        <f t="shared" si="154"/>
        <v>Fuzzy</v>
      </c>
    </row>
    <row r="1591" spans="1:16" x14ac:dyDescent="0.35">
      <c r="A1591" t="s">
        <v>1594</v>
      </c>
      <c r="B1591">
        <v>5804</v>
      </c>
      <c r="C1591">
        <v>28</v>
      </c>
      <c r="D1591">
        <v>68</v>
      </c>
      <c r="E1591">
        <v>549</v>
      </c>
      <c r="F1591">
        <v>4</v>
      </c>
      <c r="K1591" s="1">
        <f t="shared" si="155"/>
        <v>549</v>
      </c>
      <c r="L1591" s="1" t="str">
        <f t="shared" si="150"/>
        <v>Normal</v>
      </c>
      <c r="M1591" s="2">
        <f t="shared" si="151"/>
        <v>62.250000000000007</v>
      </c>
      <c r="N1591" s="1" t="str">
        <f t="shared" si="152"/>
        <v>Lembab</v>
      </c>
      <c r="O1591" t="str">
        <f t="shared" si="153"/>
        <v>Fuzzy</v>
      </c>
      <c r="P1591" t="str">
        <f t="shared" si="154"/>
        <v>Fuzzy</v>
      </c>
    </row>
    <row r="1592" spans="1:16" x14ac:dyDescent="0.35">
      <c r="A1592" t="s">
        <v>1595</v>
      </c>
      <c r="B1592">
        <v>5805</v>
      </c>
      <c r="C1592">
        <v>28</v>
      </c>
      <c r="D1592">
        <v>68</v>
      </c>
      <c r="E1592">
        <v>549</v>
      </c>
      <c r="F1592">
        <v>4</v>
      </c>
      <c r="K1592" s="1">
        <f t="shared" si="155"/>
        <v>549</v>
      </c>
      <c r="L1592" s="1" t="str">
        <f t="shared" si="150"/>
        <v>Normal</v>
      </c>
      <c r="M1592" s="2">
        <f t="shared" si="151"/>
        <v>62.250000000000007</v>
      </c>
      <c r="N1592" s="1" t="str">
        <f t="shared" si="152"/>
        <v>Lembab</v>
      </c>
      <c r="O1592" t="str">
        <f t="shared" si="153"/>
        <v>Fuzzy</v>
      </c>
      <c r="P1592" t="str">
        <f t="shared" si="154"/>
        <v>Fuzzy</v>
      </c>
    </row>
    <row r="1593" spans="1:16" x14ac:dyDescent="0.35">
      <c r="A1593" t="s">
        <v>1596</v>
      </c>
      <c r="B1593">
        <v>5806</v>
      </c>
      <c r="C1593">
        <v>28</v>
      </c>
      <c r="D1593">
        <v>69</v>
      </c>
      <c r="E1593">
        <v>641</v>
      </c>
      <c r="F1593">
        <v>4</v>
      </c>
      <c r="K1593" s="1">
        <f t="shared" si="155"/>
        <v>641</v>
      </c>
      <c r="L1593" s="1" t="str">
        <f t="shared" si="150"/>
        <v>Normal</v>
      </c>
      <c r="M1593" s="2">
        <f t="shared" si="151"/>
        <v>85.25</v>
      </c>
      <c r="N1593" s="1" t="str">
        <f t="shared" si="152"/>
        <v>Basah</v>
      </c>
      <c r="O1593" t="str">
        <f t="shared" si="153"/>
        <v>Fuzzy</v>
      </c>
      <c r="P1593" t="str">
        <f t="shared" si="154"/>
        <v>Fuzzy</v>
      </c>
    </row>
    <row r="1594" spans="1:16" x14ac:dyDescent="0.35">
      <c r="A1594" t="s">
        <v>1597</v>
      </c>
      <c r="B1594">
        <v>5807</v>
      </c>
      <c r="C1594">
        <v>28</v>
      </c>
      <c r="D1594">
        <v>69</v>
      </c>
      <c r="E1594">
        <v>480</v>
      </c>
      <c r="F1594">
        <v>4</v>
      </c>
      <c r="K1594" s="1">
        <f t="shared" si="155"/>
        <v>480</v>
      </c>
      <c r="L1594" s="1" t="str">
        <f t="shared" si="150"/>
        <v>Normal</v>
      </c>
      <c r="M1594" s="2">
        <f t="shared" si="151"/>
        <v>45</v>
      </c>
      <c r="N1594" s="1" t="str">
        <f t="shared" si="152"/>
        <v>Lembab</v>
      </c>
      <c r="O1594" t="str">
        <f t="shared" si="153"/>
        <v>Fuzzy</v>
      </c>
      <c r="P1594" t="str">
        <f t="shared" si="154"/>
        <v>Fuzzy</v>
      </c>
    </row>
    <row r="1595" spans="1:16" x14ac:dyDescent="0.35">
      <c r="A1595" t="s">
        <v>1598</v>
      </c>
      <c r="B1595">
        <v>5808</v>
      </c>
      <c r="C1595">
        <v>28</v>
      </c>
      <c r="D1595">
        <v>68</v>
      </c>
      <c r="E1595">
        <v>491</v>
      </c>
      <c r="F1595">
        <v>4</v>
      </c>
      <c r="K1595" s="1">
        <f t="shared" si="155"/>
        <v>491</v>
      </c>
      <c r="L1595" s="1" t="str">
        <f t="shared" si="150"/>
        <v>Normal</v>
      </c>
      <c r="M1595" s="2">
        <f t="shared" si="151"/>
        <v>47.75</v>
      </c>
      <c r="N1595" s="1" t="str">
        <f t="shared" si="152"/>
        <v>Lembab</v>
      </c>
      <c r="O1595" t="str">
        <f t="shared" si="153"/>
        <v>Fuzzy</v>
      </c>
      <c r="P1595" t="str">
        <f t="shared" si="154"/>
        <v>Fuzzy</v>
      </c>
    </row>
    <row r="1596" spans="1:16" x14ac:dyDescent="0.35">
      <c r="A1596" t="s">
        <v>1599</v>
      </c>
      <c r="B1596">
        <v>5809</v>
      </c>
      <c r="C1596">
        <v>28</v>
      </c>
      <c r="D1596">
        <v>68</v>
      </c>
      <c r="E1596">
        <v>467</v>
      </c>
      <c r="F1596">
        <v>3</v>
      </c>
      <c r="K1596" s="1">
        <f t="shared" si="155"/>
        <v>467</v>
      </c>
      <c r="L1596" s="1" t="str">
        <f t="shared" si="150"/>
        <v>Normal</v>
      </c>
      <c r="M1596" s="2">
        <f t="shared" si="151"/>
        <v>41.75</v>
      </c>
      <c r="N1596" s="1" t="str">
        <f t="shared" si="152"/>
        <v>Lembab</v>
      </c>
      <c r="O1596" t="str">
        <f t="shared" si="153"/>
        <v>Fuzzy</v>
      </c>
      <c r="P1596" t="str">
        <f t="shared" si="154"/>
        <v>Fuzzy</v>
      </c>
    </row>
    <row r="1597" spans="1:16" x14ac:dyDescent="0.35">
      <c r="A1597" t="s">
        <v>1600</v>
      </c>
      <c r="B1597">
        <v>5810</v>
      </c>
      <c r="C1597">
        <v>28</v>
      </c>
      <c r="D1597">
        <v>68</v>
      </c>
      <c r="E1597">
        <v>596</v>
      </c>
      <c r="F1597">
        <v>3</v>
      </c>
      <c r="K1597" s="1">
        <f t="shared" si="155"/>
        <v>596</v>
      </c>
      <c r="L1597" s="1" t="str">
        <f t="shared" si="150"/>
        <v>Normal</v>
      </c>
      <c r="M1597" s="2">
        <f t="shared" si="151"/>
        <v>74</v>
      </c>
      <c r="N1597" s="1" t="str">
        <f t="shared" si="152"/>
        <v>Basah</v>
      </c>
      <c r="O1597" t="str">
        <f t="shared" si="153"/>
        <v>Fuzzy</v>
      </c>
      <c r="P1597" t="str">
        <f t="shared" si="154"/>
        <v>Fuzzy</v>
      </c>
    </row>
    <row r="1598" spans="1:16" x14ac:dyDescent="0.35">
      <c r="A1598" t="s">
        <v>1601</v>
      </c>
      <c r="B1598">
        <v>5811</v>
      </c>
      <c r="C1598">
        <v>28</v>
      </c>
      <c r="D1598">
        <v>68</v>
      </c>
      <c r="E1598">
        <v>847</v>
      </c>
      <c r="F1598">
        <v>4</v>
      </c>
      <c r="K1598" s="1">
        <f t="shared" si="155"/>
        <v>847</v>
      </c>
      <c r="L1598" s="1" t="str">
        <f t="shared" si="150"/>
        <v>Normal</v>
      </c>
      <c r="M1598" s="2">
        <f t="shared" si="151"/>
        <v>45.51083591331269</v>
      </c>
      <c r="N1598" s="1" t="str">
        <f t="shared" si="152"/>
        <v>Lembab</v>
      </c>
      <c r="O1598" t="str">
        <f t="shared" si="153"/>
        <v>Fuzzy</v>
      </c>
      <c r="P1598" t="str">
        <f t="shared" si="154"/>
        <v>Fuzzy</v>
      </c>
    </row>
    <row r="1599" spans="1:16" x14ac:dyDescent="0.35">
      <c r="A1599" t="s">
        <v>1602</v>
      </c>
      <c r="B1599">
        <v>5812</v>
      </c>
      <c r="C1599">
        <v>28</v>
      </c>
      <c r="D1599">
        <v>68</v>
      </c>
      <c r="E1599">
        <v>557</v>
      </c>
      <c r="F1599">
        <v>4</v>
      </c>
      <c r="K1599" s="1">
        <f t="shared" si="155"/>
        <v>557</v>
      </c>
      <c r="L1599" s="1" t="str">
        <f t="shared" si="150"/>
        <v>Normal</v>
      </c>
      <c r="M1599" s="2">
        <f t="shared" si="151"/>
        <v>64.25</v>
      </c>
      <c r="N1599" s="1" t="str">
        <f t="shared" si="152"/>
        <v>Lembab</v>
      </c>
      <c r="O1599" t="str">
        <f t="shared" si="153"/>
        <v>Fuzzy</v>
      </c>
      <c r="P1599" t="str">
        <f t="shared" si="154"/>
        <v>Fuzzy</v>
      </c>
    </row>
    <row r="1600" spans="1:16" x14ac:dyDescent="0.35">
      <c r="A1600" t="s">
        <v>1603</v>
      </c>
      <c r="B1600">
        <v>5813</v>
      </c>
      <c r="C1600">
        <v>28</v>
      </c>
      <c r="D1600">
        <v>68</v>
      </c>
      <c r="E1600">
        <v>572</v>
      </c>
      <c r="F1600">
        <v>4</v>
      </c>
      <c r="K1600" s="1">
        <f t="shared" si="155"/>
        <v>572</v>
      </c>
      <c r="L1600" s="1" t="str">
        <f t="shared" si="150"/>
        <v>Normal</v>
      </c>
      <c r="M1600" s="2">
        <f t="shared" si="151"/>
        <v>68</v>
      </c>
      <c r="N1600" s="1" t="str">
        <f t="shared" si="152"/>
        <v>Lembab</v>
      </c>
      <c r="O1600" t="str">
        <f t="shared" si="153"/>
        <v>Fuzzy</v>
      </c>
      <c r="P1600" t="str">
        <f t="shared" si="154"/>
        <v>Fuzzy</v>
      </c>
    </row>
    <row r="1601" spans="1:16" x14ac:dyDescent="0.35">
      <c r="A1601" t="s">
        <v>1604</v>
      </c>
      <c r="B1601">
        <v>5814</v>
      </c>
      <c r="C1601">
        <v>28</v>
      </c>
      <c r="D1601">
        <v>66</v>
      </c>
      <c r="E1601">
        <v>368</v>
      </c>
      <c r="F1601">
        <v>4</v>
      </c>
      <c r="K1601" s="1">
        <f t="shared" si="155"/>
        <v>368</v>
      </c>
      <c r="L1601" s="1" t="str">
        <f t="shared" si="150"/>
        <v>Normal</v>
      </c>
      <c r="M1601" s="2">
        <f t="shared" si="151"/>
        <v>17</v>
      </c>
      <c r="N1601" s="1" t="str">
        <f t="shared" si="152"/>
        <v>Kering</v>
      </c>
      <c r="O1601" t="str">
        <f t="shared" si="153"/>
        <v>Fuzzy</v>
      </c>
      <c r="P1601" t="str">
        <f t="shared" si="154"/>
        <v>Fuzzy</v>
      </c>
    </row>
    <row r="1602" spans="1:16" x14ac:dyDescent="0.35">
      <c r="A1602" t="s">
        <v>1605</v>
      </c>
      <c r="B1602">
        <v>5815</v>
      </c>
      <c r="C1602">
        <v>28</v>
      </c>
      <c r="D1602">
        <v>66</v>
      </c>
      <c r="E1602">
        <v>535</v>
      </c>
      <c r="F1602">
        <v>3</v>
      </c>
      <c r="K1602" s="1">
        <f t="shared" si="155"/>
        <v>535</v>
      </c>
      <c r="L1602" s="1" t="str">
        <f t="shared" si="150"/>
        <v>Normal</v>
      </c>
      <c r="M1602" s="2">
        <f t="shared" si="151"/>
        <v>58.75</v>
      </c>
      <c r="N1602" s="1" t="str">
        <f t="shared" si="152"/>
        <v>Lembab</v>
      </c>
      <c r="O1602" t="str">
        <f t="shared" si="153"/>
        <v>Fuzzy</v>
      </c>
      <c r="P1602" t="str">
        <f t="shared" si="154"/>
        <v>Fuzzy</v>
      </c>
    </row>
    <row r="1603" spans="1:16" x14ac:dyDescent="0.35">
      <c r="A1603" t="s">
        <v>1606</v>
      </c>
      <c r="B1603">
        <v>5816</v>
      </c>
      <c r="C1603">
        <v>28</v>
      </c>
      <c r="D1603">
        <v>67</v>
      </c>
      <c r="E1603">
        <v>621</v>
      </c>
      <c r="F1603">
        <v>4</v>
      </c>
      <c r="K1603" s="1">
        <f t="shared" si="155"/>
        <v>621</v>
      </c>
      <c r="L1603" s="1" t="str">
        <f t="shared" ref="L1603:L1666" si="156">IF(A1602 &lt;= 10, "Dingin", IF(OR(A1602 &gt;= 10, A1602 &lt; 35), "Normal", "Panas"))</f>
        <v>Normal</v>
      </c>
      <c r="M1603" s="2">
        <f t="shared" ref="M1603:M1666" si="157">IF(K1603&lt;=300, K1603/1023*100, IF(K1603&lt;=700, (K1603-300)/(700-301+1)*100, (K1603-700)/(1023-701+1)*100))</f>
        <v>80.25</v>
      </c>
      <c r="N1603" s="1" t="str">
        <f t="shared" ref="N1603:N1666" si="158">IF(M1603&lt;=29.32, "Kering", IF(M1603&lt;=68.53, "Lembab", "Basah"))</f>
        <v>Basah</v>
      </c>
      <c r="O1603" t="str">
        <f t="shared" ref="O1603:O1666" si="159">IF(OR(AND(C1603 &gt; 10, C1603 &lt; 22.5), AND(C1603 &gt;= 22.5, C1603 &lt; 35)), "Fuzzy", "")</f>
        <v>Fuzzy</v>
      </c>
      <c r="P1603" t="str">
        <f t="shared" ref="P1603:P1666" si="160">IF(OR(AND(M1603 &gt;= 0, M1603 &lt; 50), AND(M1603 &gt;= 50, M1603 &lt; 100)), "Fuzzy", "")</f>
        <v>Fuzzy</v>
      </c>
    </row>
    <row r="1604" spans="1:16" x14ac:dyDescent="0.35">
      <c r="A1604" t="s">
        <v>1607</v>
      </c>
      <c r="B1604">
        <v>5817</v>
      </c>
      <c r="C1604">
        <v>28</v>
      </c>
      <c r="D1604">
        <v>67</v>
      </c>
      <c r="E1604">
        <v>560</v>
      </c>
      <c r="F1604">
        <v>4</v>
      </c>
      <c r="K1604" s="1">
        <f t="shared" si="155"/>
        <v>560</v>
      </c>
      <c r="L1604" s="1" t="str">
        <f t="shared" si="156"/>
        <v>Normal</v>
      </c>
      <c r="M1604" s="2">
        <f t="shared" si="157"/>
        <v>65</v>
      </c>
      <c r="N1604" s="1" t="str">
        <f t="shared" si="158"/>
        <v>Lembab</v>
      </c>
      <c r="O1604" t="str">
        <f t="shared" si="159"/>
        <v>Fuzzy</v>
      </c>
      <c r="P1604" t="str">
        <f t="shared" si="160"/>
        <v>Fuzzy</v>
      </c>
    </row>
    <row r="1605" spans="1:16" x14ac:dyDescent="0.35">
      <c r="A1605" t="s">
        <v>1608</v>
      </c>
      <c r="B1605">
        <v>5818</v>
      </c>
      <c r="C1605">
        <v>28</v>
      </c>
      <c r="D1605">
        <v>67</v>
      </c>
      <c r="E1605">
        <v>566</v>
      </c>
      <c r="F1605">
        <v>3</v>
      </c>
      <c r="K1605" s="1">
        <f t="shared" si="155"/>
        <v>566</v>
      </c>
      <c r="L1605" s="1" t="str">
        <f t="shared" si="156"/>
        <v>Normal</v>
      </c>
      <c r="M1605" s="2">
        <f t="shared" si="157"/>
        <v>66.5</v>
      </c>
      <c r="N1605" s="1" t="str">
        <f t="shared" si="158"/>
        <v>Lembab</v>
      </c>
      <c r="O1605" t="str">
        <f t="shared" si="159"/>
        <v>Fuzzy</v>
      </c>
      <c r="P1605" t="str">
        <f t="shared" si="160"/>
        <v>Fuzzy</v>
      </c>
    </row>
    <row r="1606" spans="1:16" x14ac:dyDescent="0.35">
      <c r="A1606" t="s">
        <v>1609</v>
      </c>
      <c r="B1606">
        <v>5819</v>
      </c>
      <c r="C1606">
        <v>28</v>
      </c>
      <c r="D1606">
        <v>67</v>
      </c>
      <c r="E1606">
        <v>505</v>
      </c>
      <c r="F1606">
        <v>3</v>
      </c>
      <c r="K1606" s="1">
        <f t="shared" si="155"/>
        <v>505</v>
      </c>
      <c r="L1606" s="1" t="str">
        <f t="shared" si="156"/>
        <v>Normal</v>
      </c>
      <c r="M1606" s="2">
        <f t="shared" si="157"/>
        <v>51.249999999999993</v>
      </c>
      <c r="N1606" s="1" t="str">
        <f t="shared" si="158"/>
        <v>Lembab</v>
      </c>
      <c r="O1606" t="str">
        <f t="shared" si="159"/>
        <v>Fuzzy</v>
      </c>
      <c r="P1606" t="str">
        <f t="shared" si="160"/>
        <v>Fuzzy</v>
      </c>
    </row>
    <row r="1607" spans="1:16" x14ac:dyDescent="0.35">
      <c r="A1607" t="s">
        <v>1610</v>
      </c>
      <c r="B1607">
        <v>5820</v>
      </c>
      <c r="C1607">
        <v>28</v>
      </c>
      <c r="D1607">
        <v>68</v>
      </c>
      <c r="E1607">
        <v>606</v>
      </c>
      <c r="F1607">
        <v>4</v>
      </c>
      <c r="K1607" s="1">
        <f t="shared" si="155"/>
        <v>606</v>
      </c>
      <c r="L1607" s="1" t="str">
        <f t="shared" si="156"/>
        <v>Normal</v>
      </c>
      <c r="M1607" s="2">
        <f t="shared" si="157"/>
        <v>76.5</v>
      </c>
      <c r="N1607" s="1" t="str">
        <f t="shared" si="158"/>
        <v>Basah</v>
      </c>
      <c r="O1607" t="str">
        <f t="shared" si="159"/>
        <v>Fuzzy</v>
      </c>
      <c r="P1607" t="str">
        <f t="shared" si="160"/>
        <v>Fuzzy</v>
      </c>
    </row>
    <row r="1608" spans="1:16" x14ac:dyDescent="0.35">
      <c r="A1608" t="s">
        <v>1611</v>
      </c>
      <c r="B1608">
        <v>5821</v>
      </c>
      <c r="C1608">
        <v>28</v>
      </c>
      <c r="D1608">
        <v>68</v>
      </c>
      <c r="E1608">
        <v>562</v>
      </c>
      <c r="F1608">
        <v>4</v>
      </c>
      <c r="K1608" s="1">
        <f t="shared" si="155"/>
        <v>562</v>
      </c>
      <c r="L1608" s="1" t="str">
        <f t="shared" si="156"/>
        <v>Normal</v>
      </c>
      <c r="M1608" s="2">
        <f t="shared" si="157"/>
        <v>65.5</v>
      </c>
      <c r="N1608" s="1" t="str">
        <f t="shared" si="158"/>
        <v>Lembab</v>
      </c>
      <c r="O1608" t="str">
        <f t="shared" si="159"/>
        <v>Fuzzy</v>
      </c>
      <c r="P1608" t="str">
        <f t="shared" si="160"/>
        <v>Fuzzy</v>
      </c>
    </row>
    <row r="1609" spans="1:16" x14ac:dyDescent="0.35">
      <c r="A1609" t="s">
        <v>1612</v>
      </c>
      <c r="B1609">
        <v>5822</v>
      </c>
      <c r="C1609">
        <v>28</v>
      </c>
      <c r="D1609">
        <v>68</v>
      </c>
      <c r="E1609">
        <v>530</v>
      </c>
      <c r="F1609">
        <v>4</v>
      </c>
      <c r="K1609" s="1">
        <f t="shared" si="155"/>
        <v>530</v>
      </c>
      <c r="L1609" s="1" t="str">
        <f t="shared" si="156"/>
        <v>Normal</v>
      </c>
      <c r="M1609" s="2">
        <f t="shared" si="157"/>
        <v>57.499999999999993</v>
      </c>
      <c r="N1609" s="1" t="str">
        <f t="shared" si="158"/>
        <v>Lembab</v>
      </c>
      <c r="O1609" t="str">
        <f t="shared" si="159"/>
        <v>Fuzzy</v>
      </c>
      <c r="P1609" t="str">
        <f t="shared" si="160"/>
        <v>Fuzzy</v>
      </c>
    </row>
    <row r="1610" spans="1:16" x14ac:dyDescent="0.35">
      <c r="A1610" t="s">
        <v>1613</v>
      </c>
      <c r="B1610">
        <v>5823</v>
      </c>
      <c r="C1610">
        <v>28</v>
      </c>
      <c r="D1610">
        <v>68</v>
      </c>
      <c r="E1610">
        <v>501</v>
      </c>
      <c r="F1610">
        <v>3</v>
      </c>
      <c r="K1610" s="1">
        <f t="shared" si="155"/>
        <v>501</v>
      </c>
      <c r="L1610" s="1" t="str">
        <f t="shared" si="156"/>
        <v>Normal</v>
      </c>
      <c r="M1610" s="2">
        <f t="shared" si="157"/>
        <v>50.249999999999993</v>
      </c>
      <c r="N1610" s="1" t="str">
        <f t="shared" si="158"/>
        <v>Lembab</v>
      </c>
      <c r="O1610" t="str">
        <f t="shared" si="159"/>
        <v>Fuzzy</v>
      </c>
      <c r="P1610" t="str">
        <f t="shared" si="160"/>
        <v>Fuzzy</v>
      </c>
    </row>
    <row r="1611" spans="1:16" x14ac:dyDescent="0.35">
      <c r="A1611" t="s">
        <v>1614</v>
      </c>
      <c r="B1611">
        <v>5824</v>
      </c>
      <c r="C1611">
        <v>28</v>
      </c>
      <c r="D1611">
        <v>68</v>
      </c>
      <c r="E1611">
        <v>522</v>
      </c>
      <c r="F1611">
        <v>3</v>
      </c>
      <c r="K1611" s="1">
        <f t="shared" si="155"/>
        <v>522</v>
      </c>
      <c r="L1611" s="1" t="str">
        <f t="shared" si="156"/>
        <v>Normal</v>
      </c>
      <c r="M1611" s="2">
        <f t="shared" si="157"/>
        <v>55.500000000000007</v>
      </c>
      <c r="N1611" s="1" t="str">
        <f t="shared" si="158"/>
        <v>Lembab</v>
      </c>
      <c r="O1611" t="str">
        <f t="shared" si="159"/>
        <v>Fuzzy</v>
      </c>
      <c r="P1611" t="str">
        <f t="shared" si="160"/>
        <v>Fuzzy</v>
      </c>
    </row>
    <row r="1612" spans="1:16" x14ac:dyDescent="0.35">
      <c r="A1612" t="s">
        <v>1615</v>
      </c>
      <c r="B1612">
        <v>5825</v>
      </c>
      <c r="C1612">
        <v>28</v>
      </c>
      <c r="D1612">
        <v>68</v>
      </c>
      <c r="E1612">
        <v>544</v>
      </c>
      <c r="F1612">
        <v>4</v>
      </c>
      <c r="K1612" s="1">
        <f t="shared" si="155"/>
        <v>544</v>
      </c>
      <c r="L1612" s="1" t="str">
        <f t="shared" si="156"/>
        <v>Normal</v>
      </c>
      <c r="M1612" s="2">
        <f t="shared" si="157"/>
        <v>61</v>
      </c>
      <c r="N1612" s="1" t="str">
        <f t="shared" si="158"/>
        <v>Lembab</v>
      </c>
      <c r="O1612" t="str">
        <f t="shared" si="159"/>
        <v>Fuzzy</v>
      </c>
      <c r="P1612" t="str">
        <f t="shared" si="160"/>
        <v>Fuzzy</v>
      </c>
    </row>
    <row r="1613" spans="1:16" x14ac:dyDescent="0.35">
      <c r="A1613" t="s">
        <v>1616</v>
      </c>
      <c r="B1613">
        <v>5826</v>
      </c>
      <c r="C1613">
        <v>28</v>
      </c>
      <c r="D1613">
        <v>68</v>
      </c>
      <c r="E1613">
        <v>568</v>
      </c>
      <c r="F1613">
        <v>3</v>
      </c>
      <c r="K1613" s="1">
        <f t="shared" ref="K1613:K1676" si="161">IF(E1613&lt;=1023, E1613, "")</f>
        <v>568</v>
      </c>
      <c r="L1613" s="1" t="str">
        <f t="shared" si="156"/>
        <v>Normal</v>
      </c>
      <c r="M1613" s="2">
        <f t="shared" si="157"/>
        <v>67</v>
      </c>
      <c r="N1613" s="1" t="str">
        <f t="shared" si="158"/>
        <v>Lembab</v>
      </c>
      <c r="O1613" t="str">
        <f t="shared" si="159"/>
        <v>Fuzzy</v>
      </c>
      <c r="P1613" t="str">
        <f t="shared" si="160"/>
        <v>Fuzzy</v>
      </c>
    </row>
    <row r="1614" spans="1:16" x14ac:dyDescent="0.35">
      <c r="A1614" t="s">
        <v>1617</v>
      </c>
      <c r="B1614">
        <v>5827</v>
      </c>
      <c r="C1614">
        <v>28</v>
      </c>
      <c r="D1614">
        <v>68</v>
      </c>
      <c r="E1614">
        <v>570</v>
      </c>
      <c r="F1614">
        <v>3</v>
      </c>
      <c r="K1614" s="1">
        <f t="shared" si="161"/>
        <v>570</v>
      </c>
      <c r="L1614" s="1" t="str">
        <f t="shared" si="156"/>
        <v>Normal</v>
      </c>
      <c r="M1614" s="2">
        <f t="shared" si="157"/>
        <v>67.5</v>
      </c>
      <c r="N1614" s="1" t="str">
        <f t="shared" si="158"/>
        <v>Lembab</v>
      </c>
      <c r="O1614" t="str">
        <f t="shared" si="159"/>
        <v>Fuzzy</v>
      </c>
      <c r="P1614" t="str">
        <f t="shared" si="160"/>
        <v>Fuzzy</v>
      </c>
    </row>
    <row r="1615" spans="1:16" x14ac:dyDescent="0.35">
      <c r="A1615" t="s">
        <v>1618</v>
      </c>
      <c r="B1615">
        <v>5828</v>
      </c>
      <c r="C1615">
        <v>28</v>
      </c>
      <c r="D1615">
        <v>68</v>
      </c>
      <c r="E1615">
        <v>536</v>
      </c>
      <c r="F1615">
        <v>4</v>
      </c>
      <c r="K1615" s="1">
        <f t="shared" si="161"/>
        <v>536</v>
      </c>
      <c r="L1615" s="1" t="str">
        <f t="shared" si="156"/>
        <v>Normal</v>
      </c>
      <c r="M1615" s="2">
        <f t="shared" si="157"/>
        <v>59</v>
      </c>
      <c r="N1615" s="1" t="str">
        <f t="shared" si="158"/>
        <v>Lembab</v>
      </c>
      <c r="O1615" t="str">
        <f t="shared" si="159"/>
        <v>Fuzzy</v>
      </c>
      <c r="P1615" t="str">
        <f t="shared" si="160"/>
        <v>Fuzzy</v>
      </c>
    </row>
    <row r="1616" spans="1:16" x14ac:dyDescent="0.35">
      <c r="A1616" t="s">
        <v>1619</v>
      </c>
      <c r="B1616">
        <v>5829</v>
      </c>
      <c r="C1616">
        <v>28</v>
      </c>
      <c r="D1616">
        <v>68</v>
      </c>
      <c r="E1616">
        <v>536</v>
      </c>
      <c r="F1616">
        <v>4</v>
      </c>
      <c r="K1616" s="1">
        <f t="shared" si="161"/>
        <v>536</v>
      </c>
      <c r="L1616" s="1" t="str">
        <f t="shared" si="156"/>
        <v>Normal</v>
      </c>
      <c r="M1616" s="2">
        <f t="shared" si="157"/>
        <v>59</v>
      </c>
      <c r="N1616" s="1" t="str">
        <f t="shared" si="158"/>
        <v>Lembab</v>
      </c>
      <c r="O1616" t="str">
        <f t="shared" si="159"/>
        <v>Fuzzy</v>
      </c>
      <c r="P1616" t="str">
        <f t="shared" si="160"/>
        <v>Fuzzy</v>
      </c>
    </row>
    <row r="1617" spans="1:16" x14ac:dyDescent="0.35">
      <c r="A1617" t="s">
        <v>1620</v>
      </c>
      <c r="B1617">
        <v>5830</v>
      </c>
      <c r="C1617">
        <v>28</v>
      </c>
      <c r="D1617">
        <v>68</v>
      </c>
      <c r="E1617">
        <v>540</v>
      </c>
      <c r="F1617">
        <v>4</v>
      </c>
      <c r="K1617" s="1">
        <f t="shared" si="161"/>
        <v>540</v>
      </c>
      <c r="L1617" s="1" t="str">
        <f t="shared" si="156"/>
        <v>Normal</v>
      </c>
      <c r="M1617" s="2">
        <f t="shared" si="157"/>
        <v>60</v>
      </c>
      <c r="N1617" s="1" t="str">
        <f t="shared" si="158"/>
        <v>Lembab</v>
      </c>
      <c r="O1617" t="str">
        <f t="shared" si="159"/>
        <v>Fuzzy</v>
      </c>
      <c r="P1617" t="str">
        <f t="shared" si="160"/>
        <v>Fuzzy</v>
      </c>
    </row>
    <row r="1618" spans="1:16" x14ac:dyDescent="0.35">
      <c r="A1618" t="s">
        <v>1621</v>
      </c>
      <c r="B1618">
        <v>5831</v>
      </c>
      <c r="C1618">
        <v>28</v>
      </c>
      <c r="D1618">
        <v>68</v>
      </c>
      <c r="E1618">
        <v>577</v>
      </c>
      <c r="F1618">
        <v>4</v>
      </c>
      <c r="K1618" s="1">
        <f t="shared" si="161"/>
        <v>577</v>
      </c>
      <c r="L1618" s="1" t="str">
        <f t="shared" si="156"/>
        <v>Normal</v>
      </c>
      <c r="M1618" s="2">
        <f t="shared" si="157"/>
        <v>69.25</v>
      </c>
      <c r="N1618" s="1" t="str">
        <f t="shared" si="158"/>
        <v>Basah</v>
      </c>
      <c r="O1618" t="str">
        <f t="shared" si="159"/>
        <v>Fuzzy</v>
      </c>
      <c r="P1618" t="str">
        <f t="shared" si="160"/>
        <v>Fuzzy</v>
      </c>
    </row>
    <row r="1619" spans="1:16" x14ac:dyDescent="0.35">
      <c r="A1619" t="s">
        <v>1622</v>
      </c>
      <c r="B1619">
        <v>5832</v>
      </c>
      <c r="C1619">
        <v>28</v>
      </c>
      <c r="D1619">
        <v>68</v>
      </c>
      <c r="E1619">
        <v>545</v>
      </c>
      <c r="F1619">
        <v>4</v>
      </c>
      <c r="K1619" s="1">
        <f t="shared" si="161"/>
        <v>545</v>
      </c>
      <c r="L1619" s="1" t="str">
        <f t="shared" si="156"/>
        <v>Normal</v>
      </c>
      <c r="M1619" s="2">
        <f t="shared" si="157"/>
        <v>61.250000000000007</v>
      </c>
      <c r="N1619" s="1" t="str">
        <f t="shared" si="158"/>
        <v>Lembab</v>
      </c>
      <c r="O1619" t="str">
        <f t="shared" si="159"/>
        <v>Fuzzy</v>
      </c>
      <c r="P1619" t="str">
        <f t="shared" si="160"/>
        <v>Fuzzy</v>
      </c>
    </row>
    <row r="1620" spans="1:16" x14ac:dyDescent="0.35">
      <c r="A1620" t="s">
        <v>1623</v>
      </c>
      <c r="B1620">
        <v>5833</v>
      </c>
      <c r="C1620">
        <v>28</v>
      </c>
      <c r="D1620">
        <v>68</v>
      </c>
      <c r="E1620">
        <v>545</v>
      </c>
      <c r="F1620">
        <v>4</v>
      </c>
      <c r="K1620" s="1">
        <f t="shared" si="161"/>
        <v>545</v>
      </c>
      <c r="L1620" s="1" t="str">
        <f t="shared" si="156"/>
        <v>Normal</v>
      </c>
      <c r="M1620" s="2">
        <f t="shared" si="157"/>
        <v>61.250000000000007</v>
      </c>
      <c r="N1620" s="1" t="str">
        <f t="shared" si="158"/>
        <v>Lembab</v>
      </c>
      <c r="O1620" t="str">
        <f t="shared" si="159"/>
        <v>Fuzzy</v>
      </c>
      <c r="P1620" t="str">
        <f t="shared" si="160"/>
        <v>Fuzzy</v>
      </c>
    </row>
    <row r="1621" spans="1:16" x14ac:dyDescent="0.35">
      <c r="A1621" t="s">
        <v>1624</v>
      </c>
      <c r="B1621">
        <v>5834</v>
      </c>
      <c r="C1621">
        <v>28</v>
      </c>
      <c r="D1621">
        <v>68</v>
      </c>
      <c r="E1621">
        <v>490</v>
      </c>
      <c r="F1621">
        <v>4</v>
      </c>
      <c r="K1621" s="1">
        <f t="shared" si="161"/>
        <v>490</v>
      </c>
      <c r="L1621" s="1" t="str">
        <f t="shared" si="156"/>
        <v>Normal</v>
      </c>
      <c r="M1621" s="2">
        <f t="shared" si="157"/>
        <v>47.5</v>
      </c>
      <c r="N1621" s="1" t="str">
        <f t="shared" si="158"/>
        <v>Lembab</v>
      </c>
      <c r="O1621" t="str">
        <f t="shared" si="159"/>
        <v>Fuzzy</v>
      </c>
      <c r="P1621" t="str">
        <f t="shared" si="160"/>
        <v>Fuzzy</v>
      </c>
    </row>
    <row r="1622" spans="1:16" x14ac:dyDescent="0.35">
      <c r="A1622" t="s">
        <v>1625</v>
      </c>
      <c r="B1622">
        <v>5835</v>
      </c>
      <c r="C1622">
        <v>28</v>
      </c>
      <c r="D1622">
        <v>68</v>
      </c>
      <c r="E1622">
        <v>514</v>
      </c>
      <c r="F1622">
        <v>4</v>
      </c>
      <c r="K1622" s="1">
        <f t="shared" si="161"/>
        <v>514</v>
      </c>
      <c r="L1622" s="1" t="str">
        <f t="shared" si="156"/>
        <v>Normal</v>
      </c>
      <c r="M1622" s="2">
        <f t="shared" si="157"/>
        <v>53.5</v>
      </c>
      <c r="N1622" s="1" t="str">
        <f t="shared" si="158"/>
        <v>Lembab</v>
      </c>
      <c r="O1622" t="str">
        <f t="shared" si="159"/>
        <v>Fuzzy</v>
      </c>
      <c r="P1622" t="str">
        <f t="shared" si="160"/>
        <v>Fuzzy</v>
      </c>
    </row>
    <row r="1623" spans="1:16" x14ac:dyDescent="0.35">
      <c r="A1623" t="s">
        <v>1626</v>
      </c>
      <c r="B1623">
        <v>5836</v>
      </c>
      <c r="C1623">
        <v>28</v>
      </c>
      <c r="D1623">
        <v>68</v>
      </c>
      <c r="E1623">
        <v>525</v>
      </c>
      <c r="F1623">
        <v>4</v>
      </c>
      <c r="K1623" s="1">
        <f t="shared" si="161"/>
        <v>525</v>
      </c>
      <c r="L1623" s="1" t="str">
        <f t="shared" si="156"/>
        <v>Normal</v>
      </c>
      <c r="M1623" s="2">
        <f t="shared" si="157"/>
        <v>56.25</v>
      </c>
      <c r="N1623" s="1" t="str">
        <f t="shared" si="158"/>
        <v>Lembab</v>
      </c>
      <c r="O1623" t="str">
        <f t="shared" si="159"/>
        <v>Fuzzy</v>
      </c>
      <c r="P1623" t="str">
        <f t="shared" si="160"/>
        <v>Fuzzy</v>
      </c>
    </row>
    <row r="1624" spans="1:16" x14ac:dyDescent="0.35">
      <c r="A1624" t="s">
        <v>1627</v>
      </c>
      <c r="B1624">
        <v>5837</v>
      </c>
      <c r="C1624">
        <v>28</v>
      </c>
      <c r="D1624">
        <v>68</v>
      </c>
      <c r="E1624">
        <v>493</v>
      </c>
      <c r="F1624">
        <v>4</v>
      </c>
      <c r="K1624" s="1">
        <f t="shared" si="161"/>
        <v>493</v>
      </c>
      <c r="L1624" s="1" t="str">
        <f t="shared" si="156"/>
        <v>Normal</v>
      </c>
      <c r="M1624" s="2">
        <f t="shared" si="157"/>
        <v>48.25</v>
      </c>
      <c r="N1624" s="1" t="str">
        <f t="shared" si="158"/>
        <v>Lembab</v>
      </c>
      <c r="O1624" t="str">
        <f t="shared" si="159"/>
        <v>Fuzzy</v>
      </c>
      <c r="P1624" t="str">
        <f t="shared" si="160"/>
        <v>Fuzzy</v>
      </c>
    </row>
    <row r="1625" spans="1:16" x14ac:dyDescent="0.35">
      <c r="A1625" t="s">
        <v>1628</v>
      </c>
      <c r="B1625">
        <v>5838</v>
      </c>
      <c r="C1625">
        <v>28</v>
      </c>
      <c r="D1625">
        <v>68</v>
      </c>
      <c r="E1625">
        <v>562</v>
      </c>
      <c r="F1625">
        <v>3</v>
      </c>
      <c r="K1625" s="1">
        <f t="shared" si="161"/>
        <v>562</v>
      </c>
      <c r="L1625" s="1" t="str">
        <f t="shared" si="156"/>
        <v>Normal</v>
      </c>
      <c r="M1625" s="2">
        <f t="shared" si="157"/>
        <v>65.5</v>
      </c>
      <c r="N1625" s="1" t="str">
        <f t="shared" si="158"/>
        <v>Lembab</v>
      </c>
      <c r="O1625" t="str">
        <f t="shared" si="159"/>
        <v>Fuzzy</v>
      </c>
      <c r="P1625" t="str">
        <f t="shared" si="160"/>
        <v>Fuzzy</v>
      </c>
    </row>
    <row r="1626" spans="1:16" x14ac:dyDescent="0.35">
      <c r="A1626" t="s">
        <v>1629</v>
      </c>
      <c r="B1626">
        <v>5839</v>
      </c>
      <c r="C1626">
        <v>28</v>
      </c>
      <c r="D1626">
        <v>66</v>
      </c>
      <c r="E1626">
        <v>524</v>
      </c>
      <c r="F1626">
        <v>4</v>
      </c>
      <c r="K1626" s="1">
        <f t="shared" si="161"/>
        <v>524</v>
      </c>
      <c r="L1626" s="1" t="str">
        <f t="shared" si="156"/>
        <v>Normal</v>
      </c>
      <c r="M1626" s="2">
        <f t="shared" si="157"/>
        <v>56.000000000000007</v>
      </c>
      <c r="N1626" s="1" t="str">
        <f t="shared" si="158"/>
        <v>Lembab</v>
      </c>
      <c r="O1626" t="str">
        <f t="shared" si="159"/>
        <v>Fuzzy</v>
      </c>
      <c r="P1626" t="str">
        <f t="shared" si="160"/>
        <v>Fuzzy</v>
      </c>
    </row>
    <row r="1627" spans="1:16" x14ac:dyDescent="0.35">
      <c r="A1627" t="s">
        <v>1630</v>
      </c>
      <c r="B1627">
        <v>5840</v>
      </c>
      <c r="C1627">
        <v>28</v>
      </c>
      <c r="D1627">
        <v>66</v>
      </c>
      <c r="E1627">
        <v>521</v>
      </c>
      <c r="F1627">
        <v>3</v>
      </c>
      <c r="K1627" s="1">
        <f t="shared" si="161"/>
        <v>521</v>
      </c>
      <c r="L1627" s="1" t="str">
        <f t="shared" si="156"/>
        <v>Normal</v>
      </c>
      <c r="M1627" s="2">
        <f t="shared" si="157"/>
        <v>55.25</v>
      </c>
      <c r="N1627" s="1" t="str">
        <f t="shared" si="158"/>
        <v>Lembab</v>
      </c>
      <c r="O1627" t="str">
        <f t="shared" si="159"/>
        <v>Fuzzy</v>
      </c>
      <c r="P1627" t="str">
        <f t="shared" si="160"/>
        <v>Fuzzy</v>
      </c>
    </row>
    <row r="1628" spans="1:16" x14ac:dyDescent="0.35">
      <c r="A1628" t="s">
        <v>1631</v>
      </c>
      <c r="B1628">
        <v>5841</v>
      </c>
      <c r="C1628">
        <v>28</v>
      </c>
      <c r="D1628">
        <v>66</v>
      </c>
      <c r="E1628">
        <v>531</v>
      </c>
      <c r="F1628">
        <v>4</v>
      </c>
      <c r="K1628" s="1">
        <f t="shared" si="161"/>
        <v>531</v>
      </c>
      <c r="L1628" s="1" t="str">
        <f t="shared" si="156"/>
        <v>Normal</v>
      </c>
      <c r="M1628" s="2">
        <f t="shared" si="157"/>
        <v>57.75</v>
      </c>
      <c r="N1628" s="1" t="str">
        <f t="shared" si="158"/>
        <v>Lembab</v>
      </c>
      <c r="O1628" t="str">
        <f t="shared" si="159"/>
        <v>Fuzzy</v>
      </c>
      <c r="P1628" t="str">
        <f t="shared" si="160"/>
        <v>Fuzzy</v>
      </c>
    </row>
    <row r="1629" spans="1:16" x14ac:dyDescent="0.35">
      <c r="A1629" t="s">
        <v>1632</v>
      </c>
      <c r="B1629">
        <v>5842</v>
      </c>
      <c r="C1629">
        <v>28</v>
      </c>
      <c r="D1629">
        <v>66</v>
      </c>
      <c r="E1629">
        <v>607</v>
      </c>
      <c r="F1629">
        <v>4</v>
      </c>
      <c r="K1629" s="1">
        <f t="shared" si="161"/>
        <v>607</v>
      </c>
      <c r="L1629" s="1" t="str">
        <f t="shared" si="156"/>
        <v>Normal</v>
      </c>
      <c r="M1629" s="2">
        <f t="shared" si="157"/>
        <v>76.75</v>
      </c>
      <c r="N1629" s="1" t="str">
        <f t="shared" si="158"/>
        <v>Basah</v>
      </c>
      <c r="O1629" t="str">
        <f t="shared" si="159"/>
        <v>Fuzzy</v>
      </c>
      <c r="P1629" t="str">
        <f t="shared" si="160"/>
        <v>Fuzzy</v>
      </c>
    </row>
    <row r="1630" spans="1:16" x14ac:dyDescent="0.35">
      <c r="A1630" t="s">
        <v>1633</v>
      </c>
      <c r="B1630">
        <v>5843</v>
      </c>
      <c r="C1630">
        <v>28</v>
      </c>
      <c r="D1630">
        <v>67</v>
      </c>
      <c r="E1630">
        <v>442</v>
      </c>
      <c r="F1630">
        <v>3</v>
      </c>
      <c r="K1630" s="1">
        <f t="shared" si="161"/>
        <v>442</v>
      </c>
      <c r="L1630" s="1" t="str">
        <f t="shared" si="156"/>
        <v>Normal</v>
      </c>
      <c r="M1630" s="2">
        <f t="shared" si="157"/>
        <v>35.5</v>
      </c>
      <c r="N1630" s="1" t="str">
        <f t="shared" si="158"/>
        <v>Lembab</v>
      </c>
      <c r="O1630" t="str">
        <f t="shared" si="159"/>
        <v>Fuzzy</v>
      </c>
      <c r="P1630" t="str">
        <f t="shared" si="160"/>
        <v>Fuzzy</v>
      </c>
    </row>
    <row r="1631" spans="1:16" x14ac:dyDescent="0.35">
      <c r="A1631" t="s">
        <v>1634</v>
      </c>
      <c r="B1631">
        <v>5844</v>
      </c>
      <c r="C1631">
        <v>28</v>
      </c>
      <c r="D1631">
        <v>67</v>
      </c>
      <c r="E1631">
        <v>569</v>
      </c>
      <c r="F1631">
        <v>4</v>
      </c>
      <c r="K1631" s="1">
        <f t="shared" si="161"/>
        <v>569</v>
      </c>
      <c r="L1631" s="1" t="str">
        <f t="shared" si="156"/>
        <v>Normal</v>
      </c>
      <c r="M1631" s="2">
        <f t="shared" si="157"/>
        <v>67.25</v>
      </c>
      <c r="N1631" s="1" t="str">
        <f t="shared" si="158"/>
        <v>Lembab</v>
      </c>
      <c r="O1631" t="str">
        <f t="shared" si="159"/>
        <v>Fuzzy</v>
      </c>
      <c r="P1631" t="str">
        <f t="shared" si="160"/>
        <v>Fuzzy</v>
      </c>
    </row>
    <row r="1632" spans="1:16" x14ac:dyDescent="0.35">
      <c r="A1632" t="s">
        <v>1635</v>
      </c>
      <c r="B1632">
        <v>5845</v>
      </c>
      <c r="C1632">
        <v>28</v>
      </c>
      <c r="D1632">
        <v>68</v>
      </c>
      <c r="E1632">
        <v>524</v>
      </c>
      <c r="F1632">
        <v>3</v>
      </c>
      <c r="K1632" s="1">
        <f t="shared" si="161"/>
        <v>524</v>
      </c>
      <c r="L1632" s="1" t="str">
        <f t="shared" si="156"/>
        <v>Normal</v>
      </c>
      <c r="M1632" s="2">
        <f t="shared" si="157"/>
        <v>56.000000000000007</v>
      </c>
      <c r="N1632" s="1" t="str">
        <f t="shared" si="158"/>
        <v>Lembab</v>
      </c>
      <c r="O1632" t="str">
        <f t="shared" si="159"/>
        <v>Fuzzy</v>
      </c>
      <c r="P1632" t="str">
        <f t="shared" si="160"/>
        <v>Fuzzy</v>
      </c>
    </row>
    <row r="1633" spans="1:16" x14ac:dyDescent="0.35">
      <c r="A1633" t="s">
        <v>1636</v>
      </c>
      <c r="B1633">
        <v>5846</v>
      </c>
      <c r="C1633">
        <v>28</v>
      </c>
      <c r="D1633">
        <v>68</v>
      </c>
      <c r="E1633">
        <v>600</v>
      </c>
      <c r="F1633">
        <v>4</v>
      </c>
      <c r="K1633" s="1">
        <f t="shared" si="161"/>
        <v>600</v>
      </c>
      <c r="L1633" s="1" t="str">
        <f t="shared" si="156"/>
        <v>Normal</v>
      </c>
      <c r="M1633" s="2">
        <f t="shared" si="157"/>
        <v>75</v>
      </c>
      <c r="N1633" s="1" t="str">
        <f t="shared" si="158"/>
        <v>Basah</v>
      </c>
      <c r="O1633" t="str">
        <f t="shared" si="159"/>
        <v>Fuzzy</v>
      </c>
      <c r="P1633" t="str">
        <f t="shared" si="160"/>
        <v>Fuzzy</v>
      </c>
    </row>
    <row r="1634" spans="1:16" x14ac:dyDescent="0.35">
      <c r="A1634" t="s">
        <v>1637</v>
      </c>
      <c r="B1634">
        <v>5847</v>
      </c>
      <c r="C1634">
        <v>28</v>
      </c>
      <c r="D1634">
        <v>68</v>
      </c>
      <c r="E1634">
        <v>487</v>
      </c>
      <c r="F1634">
        <v>3</v>
      </c>
      <c r="K1634" s="1">
        <f t="shared" si="161"/>
        <v>487</v>
      </c>
      <c r="L1634" s="1" t="str">
        <f t="shared" si="156"/>
        <v>Normal</v>
      </c>
      <c r="M1634" s="2">
        <f t="shared" si="157"/>
        <v>46.75</v>
      </c>
      <c r="N1634" s="1" t="str">
        <f t="shared" si="158"/>
        <v>Lembab</v>
      </c>
      <c r="O1634" t="str">
        <f t="shared" si="159"/>
        <v>Fuzzy</v>
      </c>
      <c r="P1634" t="str">
        <f t="shared" si="160"/>
        <v>Fuzzy</v>
      </c>
    </row>
    <row r="1635" spans="1:16" x14ac:dyDescent="0.35">
      <c r="A1635" t="s">
        <v>1638</v>
      </c>
      <c r="B1635">
        <v>5848</v>
      </c>
      <c r="C1635">
        <v>28</v>
      </c>
      <c r="D1635">
        <v>68</v>
      </c>
      <c r="E1635">
        <v>480</v>
      </c>
      <c r="F1635">
        <v>4</v>
      </c>
      <c r="K1635" s="1">
        <f t="shared" si="161"/>
        <v>480</v>
      </c>
      <c r="L1635" s="1" t="str">
        <f t="shared" si="156"/>
        <v>Normal</v>
      </c>
      <c r="M1635" s="2">
        <f t="shared" si="157"/>
        <v>45</v>
      </c>
      <c r="N1635" s="1" t="str">
        <f t="shared" si="158"/>
        <v>Lembab</v>
      </c>
      <c r="O1635" t="str">
        <f t="shared" si="159"/>
        <v>Fuzzy</v>
      </c>
      <c r="P1635" t="str">
        <f t="shared" si="160"/>
        <v>Fuzzy</v>
      </c>
    </row>
    <row r="1636" spans="1:16" x14ac:dyDescent="0.35">
      <c r="A1636" t="s">
        <v>1639</v>
      </c>
      <c r="B1636">
        <v>5849</v>
      </c>
      <c r="C1636">
        <v>28</v>
      </c>
      <c r="D1636">
        <v>68</v>
      </c>
      <c r="E1636">
        <v>556</v>
      </c>
      <c r="F1636">
        <v>4</v>
      </c>
      <c r="K1636" s="1">
        <f t="shared" si="161"/>
        <v>556</v>
      </c>
      <c r="L1636" s="1" t="str">
        <f t="shared" si="156"/>
        <v>Normal</v>
      </c>
      <c r="M1636" s="2">
        <f t="shared" si="157"/>
        <v>64</v>
      </c>
      <c r="N1636" s="1" t="str">
        <f t="shared" si="158"/>
        <v>Lembab</v>
      </c>
      <c r="O1636" t="str">
        <f t="shared" si="159"/>
        <v>Fuzzy</v>
      </c>
      <c r="P1636" t="str">
        <f t="shared" si="160"/>
        <v>Fuzzy</v>
      </c>
    </row>
    <row r="1637" spans="1:16" x14ac:dyDescent="0.35">
      <c r="A1637" t="s">
        <v>1640</v>
      </c>
      <c r="B1637">
        <v>5850</v>
      </c>
      <c r="C1637">
        <v>28</v>
      </c>
      <c r="D1637">
        <v>68</v>
      </c>
      <c r="E1637">
        <v>519</v>
      </c>
      <c r="F1637">
        <v>4</v>
      </c>
      <c r="K1637" s="1">
        <f t="shared" si="161"/>
        <v>519</v>
      </c>
      <c r="L1637" s="1" t="str">
        <f t="shared" si="156"/>
        <v>Normal</v>
      </c>
      <c r="M1637" s="2">
        <f t="shared" si="157"/>
        <v>54.75</v>
      </c>
      <c r="N1637" s="1" t="str">
        <f t="shared" si="158"/>
        <v>Lembab</v>
      </c>
      <c r="O1637" t="str">
        <f t="shared" si="159"/>
        <v>Fuzzy</v>
      </c>
      <c r="P1637" t="str">
        <f t="shared" si="160"/>
        <v>Fuzzy</v>
      </c>
    </row>
    <row r="1638" spans="1:16" x14ac:dyDescent="0.35">
      <c r="A1638" t="s">
        <v>1641</v>
      </c>
      <c r="B1638">
        <v>5851</v>
      </c>
      <c r="C1638">
        <v>28</v>
      </c>
      <c r="D1638">
        <v>68</v>
      </c>
      <c r="E1638">
        <v>483</v>
      </c>
      <c r="F1638">
        <v>4</v>
      </c>
      <c r="K1638" s="1">
        <f t="shared" si="161"/>
        <v>483</v>
      </c>
      <c r="L1638" s="1" t="str">
        <f t="shared" si="156"/>
        <v>Normal</v>
      </c>
      <c r="M1638" s="2">
        <f t="shared" si="157"/>
        <v>45.75</v>
      </c>
      <c r="N1638" s="1" t="str">
        <f t="shared" si="158"/>
        <v>Lembab</v>
      </c>
      <c r="O1638" t="str">
        <f t="shared" si="159"/>
        <v>Fuzzy</v>
      </c>
      <c r="P1638" t="str">
        <f t="shared" si="160"/>
        <v>Fuzzy</v>
      </c>
    </row>
    <row r="1639" spans="1:16" x14ac:dyDescent="0.35">
      <c r="A1639" t="s">
        <v>1642</v>
      </c>
      <c r="B1639">
        <v>5852</v>
      </c>
      <c r="C1639">
        <v>28</v>
      </c>
      <c r="D1639">
        <v>69</v>
      </c>
      <c r="E1639">
        <v>551</v>
      </c>
      <c r="F1639">
        <v>4</v>
      </c>
      <c r="K1639" s="1">
        <f t="shared" si="161"/>
        <v>551</v>
      </c>
      <c r="L1639" s="1" t="str">
        <f t="shared" si="156"/>
        <v>Normal</v>
      </c>
      <c r="M1639" s="2">
        <f t="shared" si="157"/>
        <v>62.749999999999993</v>
      </c>
      <c r="N1639" s="1" t="str">
        <f t="shared" si="158"/>
        <v>Lembab</v>
      </c>
      <c r="O1639" t="str">
        <f t="shared" si="159"/>
        <v>Fuzzy</v>
      </c>
      <c r="P1639" t="str">
        <f t="shared" si="160"/>
        <v>Fuzzy</v>
      </c>
    </row>
    <row r="1640" spans="1:16" x14ac:dyDescent="0.35">
      <c r="A1640" t="s">
        <v>1643</v>
      </c>
      <c r="B1640">
        <v>5853</v>
      </c>
      <c r="C1640">
        <v>28</v>
      </c>
      <c r="D1640">
        <v>69</v>
      </c>
      <c r="E1640">
        <v>551</v>
      </c>
      <c r="F1640">
        <v>4</v>
      </c>
      <c r="K1640" s="1">
        <f t="shared" si="161"/>
        <v>551</v>
      </c>
      <c r="L1640" s="1" t="str">
        <f t="shared" si="156"/>
        <v>Normal</v>
      </c>
      <c r="M1640" s="2">
        <f t="shared" si="157"/>
        <v>62.749999999999993</v>
      </c>
      <c r="N1640" s="1" t="str">
        <f t="shared" si="158"/>
        <v>Lembab</v>
      </c>
      <c r="O1640" t="str">
        <f t="shared" si="159"/>
        <v>Fuzzy</v>
      </c>
      <c r="P1640" t="str">
        <f t="shared" si="160"/>
        <v>Fuzzy</v>
      </c>
    </row>
    <row r="1641" spans="1:16" x14ac:dyDescent="0.35">
      <c r="A1641" t="s">
        <v>1644</v>
      </c>
      <c r="B1641">
        <v>5854</v>
      </c>
      <c r="C1641">
        <v>28</v>
      </c>
      <c r="D1641">
        <v>68</v>
      </c>
      <c r="E1641">
        <v>535</v>
      </c>
      <c r="F1641">
        <v>3</v>
      </c>
      <c r="K1641" s="1">
        <f t="shared" si="161"/>
        <v>535</v>
      </c>
      <c r="L1641" s="1" t="str">
        <f t="shared" si="156"/>
        <v>Normal</v>
      </c>
      <c r="M1641" s="2">
        <f t="shared" si="157"/>
        <v>58.75</v>
      </c>
      <c r="N1641" s="1" t="str">
        <f t="shared" si="158"/>
        <v>Lembab</v>
      </c>
      <c r="O1641" t="str">
        <f t="shared" si="159"/>
        <v>Fuzzy</v>
      </c>
      <c r="P1641" t="str">
        <f t="shared" si="160"/>
        <v>Fuzzy</v>
      </c>
    </row>
    <row r="1642" spans="1:16" x14ac:dyDescent="0.35">
      <c r="A1642" t="s">
        <v>1645</v>
      </c>
      <c r="B1642">
        <v>5855</v>
      </c>
      <c r="C1642">
        <v>28</v>
      </c>
      <c r="D1642">
        <v>68</v>
      </c>
      <c r="E1642">
        <v>559</v>
      </c>
      <c r="F1642">
        <v>4</v>
      </c>
      <c r="K1642" s="1">
        <f t="shared" si="161"/>
        <v>559</v>
      </c>
      <c r="L1642" s="1" t="str">
        <f t="shared" si="156"/>
        <v>Normal</v>
      </c>
      <c r="M1642" s="2">
        <f t="shared" si="157"/>
        <v>64.75</v>
      </c>
      <c r="N1642" s="1" t="str">
        <f t="shared" si="158"/>
        <v>Lembab</v>
      </c>
      <c r="O1642" t="str">
        <f t="shared" si="159"/>
        <v>Fuzzy</v>
      </c>
      <c r="P1642" t="str">
        <f t="shared" si="160"/>
        <v>Fuzzy</v>
      </c>
    </row>
    <row r="1643" spans="1:16" x14ac:dyDescent="0.35">
      <c r="A1643" t="s">
        <v>1646</v>
      </c>
      <c r="B1643">
        <v>5856</v>
      </c>
      <c r="C1643">
        <v>28</v>
      </c>
      <c r="D1643">
        <v>68</v>
      </c>
      <c r="E1643">
        <v>553</v>
      </c>
      <c r="F1643">
        <v>4</v>
      </c>
      <c r="K1643" s="1">
        <f t="shared" si="161"/>
        <v>553</v>
      </c>
      <c r="L1643" s="1" t="str">
        <f t="shared" si="156"/>
        <v>Normal</v>
      </c>
      <c r="M1643" s="2">
        <f t="shared" si="157"/>
        <v>63.249999999999993</v>
      </c>
      <c r="N1643" s="1" t="str">
        <f t="shared" si="158"/>
        <v>Lembab</v>
      </c>
      <c r="O1643" t="str">
        <f t="shared" si="159"/>
        <v>Fuzzy</v>
      </c>
      <c r="P1643" t="str">
        <f t="shared" si="160"/>
        <v>Fuzzy</v>
      </c>
    </row>
    <row r="1644" spans="1:16" x14ac:dyDescent="0.35">
      <c r="A1644" t="s">
        <v>1647</v>
      </c>
      <c r="B1644">
        <v>5857</v>
      </c>
      <c r="C1644">
        <v>28</v>
      </c>
      <c r="D1644">
        <v>68</v>
      </c>
      <c r="E1644">
        <v>517</v>
      </c>
      <c r="F1644">
        <v>3</v>
      </c>
      <c r="K1644" s="1">
        <f t="shared" si="161"/>
        <v>517</v>
      </c>
      <c r="L1644" s="1" t="str">
        <f t="shared" si="156"/>
        <v>Normal</v>
      </c>
      <c r="M1644" s="2">
        <f t="shared" si="157"/>
        <v>54.25</v>
      </c>
      <c r="N1644" s="1" t="str">
        <f t="shared" si="158"/>
        <v>Lembab</v>
      </c>
      <c r="O1644" t="str">
        <f t="shared" si="159"/>
        <v>Fuzzy</v>
      </c>
      <c r="P1644" t="str">
        <f t="shared" si="160"/>
        <v>Fuzzy</v>
      </c>
    </row>
    <row r="1645" spans="1:16" x14ac:dyDescent="0.35">
      <c r="A1645" t="s">
        <v>1648</v>
      </c>
      <c r="B1645">
        <v>5858</v>
      </c>
      <c r="C1645">
        <v>28</v>
      </c>
      <c r="D1645">
        <v>68</v>
      </c>
      <c r="E1645">
        <v>511</v>
      </c>
      <c r="F1645">
        <v>4</v>
      </c>
      <c r="K1645" s="1">
        <f t="shared" si="161"/>
        <v>511</v>
      </c>
      <c r="L1645" s="1" t="str">
        <f t="shared" si="156"/>
        <v>Normal</v>
      </c>
      <c r="M1645" s="2">
        <f t="shared" si="157"/>
        <v>52.75</v>
      </c>
      <c r="N1645" s="1" t="str">
        <f t="shared" si="158"/>
        <v>Lembab</v>
      </c>
      <c r="O1645" t="str">
        <f t="shared" si="159"/>
        <v>Fuzzy</v>
      </c>
      <c r="P1645" t="str">
        <f t="shared" si="160"/>
        <v>Fuzzy</v>
      </c>
    </row>
    <row r="1646" spans="1:16" x14ac:dyDescent="0.35">
      <c r="A1646" t="s">
        <v>1649</v>
      </c>
      <c r="B1646">
        <v>5859</v>
      </c>
      <c r="C1646">
        <v>28</v>
      </c>
      <c r="D1646">
        <v>68</v>
      </c>
      <c r="E1646">
        <v>414</v>
      </c>
      <c r="F1646">
        <v>3</v>
      </c>
      <c r="K1646" s="1">
        <f t="shared" si="161"/>
        <v>414</v>
      </c>
      <c r="L1646" s="1" t="str">
        <f t="shared" si="156"/>
        <v>Normal</v>
      </c>
      <c r="M1646" s="2">
        <f t="shared" si="157"/>
        <v>28.499999999999996</v>
      </c>
      <c r="N1646" s="1" t="str">
        <f t="shared" si="158"/>
        <v>Kering</v>
      </c>
      <c r="O1646" t="str">
        <f t="shared" si="159"/>
        <v>Fuzzy</v>
      </c>
      <c r="P1646" t="str">
        <f t="shared" si="160"/>
        <v>Fuzzy</v>
      </c>
    </row>
    <row r="1647" spans="1:16" x14ac:dyDescent="0.35">
      <c r="A1647" t="s">
        <v>1650</v>
      </c>
      <c r="B1647">
        <v>5860</v>
      </c>
      <c r="C1647">
        <v>28</v>
      </c>
      <c r="D1647">
        <v>68</v>
      </c>
      <c r="E1647">
        <v>474</v>
      </c>
      <c r="F1647">
        <v>3</v>
      </c>
      <c r="K1647" s="1">
        <f t="shared" si="161"/>
        <v>474</v>
      </c>
      <c r="L1647" s="1" t="str">
        <f t="shared" si="156"/>
        <v>Normal</v>
      </c>
      <c r="M1647" s="2">
        <f t="shared" si="157"/>
        <v>43.5</v>
      </c>
      <c r="N1647" s="1" t="str">
        <f t="shared" si="158"/>
        <v>Lembab</v>
      </c>
      <c r="O1647" t="str">
        <f t="shared" si="159"/>
        <v>Fuzzy</v>
      </c>
      <c r="P1647" t="str">
        <f t="shared" si="160"/>
        <v>Fuzzy</v>
      </c>
    </row>
    <row r="1648" spans="1:16" x14ac:dyDescent="0.35">
      <c r="A1648" t="s">
        <v>1651</v>
      </c>
      <c r="B1648">
        <v>5861</v>
      </c>
      <c r="C1648">
        <v>28</v>
      </c>
      <c r="D1648">
        <v>68</v>
      </c>
      <c r="E1648">
        <v>478</v>
      </c>
      <c r="F1648">
        <v>4</v>
      </c>
      <c r="K1648" s="1">
        <f t="shared" si="161"/>
        <v>478</v>
      </c>
      <c r="L1648" s="1" t="str">
        <f t="shared" si="156"/>
        <v>Normal</v>
      </c>
      <c r="M1648" s="2">
        <f t="shared" si="157"/>
        <v>44.5</v>
      </c>
      <c r="N1648" s="1" t="str">
        <f t="shared" si="158"/>
        <v>Lembab</v>
      </c>
      <c r="O1648" t="str">
        <f t="shared" si="159"/>
        <v>Fuzzy</v>
      </c>
      <c r="P1648" t="str">
        <f t="shared" si="160"/>
        <v>Fuzzy</v>
      </c>
    </row>
    <row r="1649" spans="1:16" x14ac:dyDescent="0.35">
      <c r="A1649" t="s">
        <v>1652</v>
      </c>
      <c r="B1649">
        <v>5862</v>
      </c>
      <c r="C1649">
        <v>28</v>
      </c>
      <c r="D1649">
        <v>68</v>
      </c>
      <c r="E1649">
        <v>493</v>
      </c>
      <c r="F1649">
        <v>4</v>
      </c>
      <c r="K1649" s="1">
        <f t="shared" si="161"/>
        <v>493</v>
      </c>
      <c r="L1649" s="1" t="str">
        <f t="shared" si="156"/>
        <v>Normal</v>
      </c>
      <c r="M1649" s="2">
        <f t="shared" si="157"/>
        <v>48.25</v>
      </c>
      <c r="N1649" s="1" t="str">
        <f t="shared" si="158"/>
        <v>Lembab</v>
      </c>
      <c r="O1649" t="str">
        <f t="shared" si="159"/>
        <v>Fuzzy</v>
      </c>
      <c r="P1649" t="str">
        <f t="shared" si="160"/>
        <v>Fuzzy</v>
      </c>
    </row>
    <row r="1650" spans="1:16" x14ac:dyDescent="0.35">
      <c r="A1650" t="s">
        <v>1653</v>
      </c>
      <c r="B1650">
        <v>5863</v>
      </c>
      <c r="C1650">
        <v>28</v>
      </c>
      <c r="D1650">
        <v>67</v>
      </c>
      <c r="E1650">
        <v>528</v>
      </c>
      <c r="F1650">
        <v>4</v>
      </c>
      <c r="K1650" s="1">
        <f t="shared" si="161"/>
        <v>528</v>
      </c>
      <c r="L1650" s="1" t="str">
        <f t="shared" si="156"/>
        <v>Normal</v>
      </c>
      <c r="M1650" s="2">
        <f t="shared" si="157"/>
        <v>56.999999999999993</v>
      </c>
      <c r="N1650" s="1" t="str">
        <f t="shared" si="158"/>
        <v>Lembab</v>
      </c>
      <c r="O1650" t="str">
        <f t="shared" si="159"/>
        <v>Fuzzy</v>
      </c>
      <c r="P1650" t="str">
        <f t="shared" si="160"/>
        <v>Fuzzy</v>
      </c>
    </row>
    <row r="1651" spans="1:16" x14ac:dyDescent="0.35">
      <c r="A1651" t="s">
        <v>1654</v>
      </c>
      <c r="B1651">
        <v>5864</v>
      </c>
      <c r="C1651">
        <v>28</v>
      </c>
      <c r="D1651">
        <v>66</v>
      </c>
      <c r="E1651">
        <v>493</v>
      </c>
      <c r="F1651">
        <v>4</v>
      </c>
      <c r="K1651" s="1">
        <f t="shared" si="161"/>
        <v>493</v>
      </c>
      <c r="L1651" s="1" t="str">
        <f t="shared" si="156"/>
        <v>Normal</v>
      </c>
      <c r="M1651" s="2">
        <f t="shared" si="157"/>
        <v>48.25</v>
      </c>
      <c r="N1651" s="1" t="str">
        <f t="shared" si="158"/>
        <v>Lembab</v>
      </c>
      <c r="O1651" t="str">
        <f t="shared" si="159"/>
        <v>Fuzzy</v>
      </c>
      <c r="P1651" t="str">
        <f t="shared" si="160"/>
        <v>Fuzzy</v>
      </c>
    </row>
    <row r="1652" spans="1:16" x14ac:dyDescent="0.35">
      <c r="A1652" t="s">
        <v>1655</v>
      </c>
      <c r="B1652">
        <v>5865</v>
      </c>
      <c r="C1652">
        <v>28</v>
      </c>
      <c r="D1652">
        <v>66</v>
      </c>
      <c r="E1652">
        <v>486</v>
      </c>
      <c r="F1652">
        <v>4</v>
      </c>
      <c r="K1652" s="1">
        <f t="shared" si="161"/>
        <v>486</v>
      </c>
      <c r="L1652" s="1" t="str">
        <f t="shared" si="156"/>
        <v>Normal</v>
      </c>
      <c r="M1652" s="2">
        <f t="shared" si="157"/>
        <v>46.5</v>
      </c>
      <c r="N1652" s="1" t="str">
        <f t="shared" si="158"/>
        <v>Lembab</v>
      </c>
      <c r="O1652" t="str">
        <f t="shared" si="159"/>
        <v>Fuzzy</v>
      </c>
      <c r="P1652" t="str">
        <f t="shared" si="160"/>
        <v>Fuzzy</v>
      </c>
    </row>
    <row r="1653" spans="1:16" x14ac:dyDescent="0.35">
      <c r="A1653" t="s">
        <v>1656</v>
      </c>
      <c r="B1653">
        <v>5866</v>
      </c>
      <c r="C1653">
        <v>28</v>
      </c>
      <c r="D1653">
        <v>67</v>
      </c>
      <c r="E1653">
        <v>493</v>
      </c>
      <c r="F1653">
        <v>4</v>
      </c>
      <c r="K1653" s="1">
        <f t="shared" si="161"/>
        <v>493</v>
      </c>
      <c r="L1653" s="1" t="str">
        <f t="shared" si="156"/>
        <v>Normal</v>
      </c>
      <c r="M1653" s="2">
        <f t="shared" si="157"/>
        <v>48.25</v>
      </c>
      <c r="N1653" s="1" t="str">
        <f t="shared" si="158"/>
        <v>Lembab</v>
      </c>
      <c r="O1653" t="str">
        <f t="shared" si="159"/>
        <v>Fuzzy</v>
      </c>
      <c r="P1653" t="str">
        <f t="shared" si="160"/>
        <v>Fuzzy</v>
      </c>
    </row>
    <row r="1654" spans="1:16" x14ac:dyDescent="0.35">
      <c r="A1654" t="s">
        <v>1657</v>
      </c>
      <c r="B1654">
        <v>5867</v>
      </c>
      <c r="C1654">
        <v>28</v>
      </c>
      <c r="D1654">
        <v>67</v>
      </c>
      <c r="E1654">
        <v>522</v>
      </c>
      <c r="F1654">
        <v>4</v>
      </c>
      <c r="K1654" s="1">
        <f t="shared" si="161"/>
        <v>522</v>
      </c>
      <c r="L1654" s="1" t="str">
        <f t="shared" si="156"/>
        <v>Normal</v>
      </c>
      <c r="M1654" s="2">
        <f t="shared" si="157"/>
        <v>55.500000000000007</v>
      </c>
      <c r="N1654" s="1" t="str">
        <f t="shared" si="158"/>
        <v>Lembab</v>
      </c>
      <c r="O1654" t="str">
        <f t="shared" si="159"/>
        <v>Fuzzy</v>
      </c>
      <c r="P1654" t="str">
        <f t="shared" si="160"/>
        <v>Fuzzy</v>
      </c>
    </row>
    <row r="1655" spans="1:16" x14ac:dyDescent="0.35">
      <c r="A1655" t="s">
        <v>1658</v>
      </c>
      <c r="B1655">
        <v>5868</v>
      </c>
      <c r="C1655">
        <v>28</v>
      </c>
      <c r="D1655">
        <v>67</v>
      </c>
      <c r="E1655">
        <v>389</v>
      </c>
      <c r="F1655">
        <v>4</v>
      </c>
      <c r="K1655" s="1">
        <f t="shared" si="161"/>
        <v>389</v>
      </c>
      <c r="L1655" s="1" t="str">
        <f t="shared" si="156"/>
        <v>Normal</v>
      </c>
      <c r="M1655" s="2">
        <f t="shared" si="157"/>
        <v>22.25</v>
      </c>
      <c r="N1655" s="1" t="str">
        <f t="shared" si="158"/>
        <v>Kering</v>
      </c>
      <c r="O1655" t="str">
        <f t="shared" si="159"/>
        <v>Fuzzy</v>
      </c>
      <c r="P1655" t="str">
        <f t="shared" si="160"/>
        <v>Fuzzy</v>
      </c>
    </row>
    <row r="1656" spans="1:16" x14ac:dyDescent="0.35">
      <c r="A1656" t="s">
        <v>1659</v>
      </c>
      <c r="B1656">
        <v>5869</v>
      </c>
      <c r="C1656">
        <v>28</v>
      </c>
      <c r="D1656">
        <v>68</v>
      </c>
      <c r="E1656">
        <v>854</v>
      </c>
      <c r="F1656">
        <v>4</v>
      </c>
      <c r="K1656" s="1">
        <f t="shared" si="161"/>
        <v>854</v>
      </c>
      <c r="L1656" s="1" t="str">
        <f t="shared" si="156"/>
        <v>Normal</v>
      </c>
      <c r="M1656" s="2">
        <f t="shared" si="157"/>
        <v>47.678018575851397</v>
      </c>
      <c r="N1656" s="1" t="str">
        <f t="shared" si="158"/>
        <v>Lembab</v>
      </c>
      <c r="O1656" t="str">
        <f t="shared" si="159"/>
        <v>Fuzzy</v>
      </c>
      <c r="P1656" t="str">
        <f t="shared" si="160"/>
        <v>Fuzzy</v>
      </c>
    </row>
    <row r="1657" spans="1:16" x14ac:dyDescent="0.35">
      <c r="A1657" t="s">
        <v>1660</v>
      </c>
      <c r="B1657">
        <v>5870</v>
      </c>
      <c r="C1657">
        <v>28</v>
      </c>
      <c r="D1657">
        <v>68</v>
      </c>
      <c r="E1657">
        <v>450</v>
      </c>
      <c r="F1657">
        <v>4</v>
      </c>
      <c r="K1657" s="1">
        <f t="shared" si="161"/>
        <v>450</v>
      </c>
      <c r="L1657" s="1" t="str">
        <f t="shared" si="156"/>
        <v>Normal</v>
      </c>
      <c r="M1657" s="2">
        <f t="shared" si="157"/>
        <v>37.5</v>
      </c>
      <c r="N1657" s="1" t="str">
        <f t="shared" si="158"/>
        <v>Lembab</v>
      </c>
      <c r="O1657" t="str">
        <f t="shared" si="159"/>
        <v>Fuzzy</v>
      </c>
      <c r="P1657" t="str">
        <f t="shared" si="160"/>
        <v>Fuzzy</v>
      </c>
    </row>
    <row r="1658" spans="1:16" x14ac:dyDescent="0.35">
      <c r="A1658" t="s">
        <v>1661</v>
      </c>
      <c r="B1658">
        <v>5871</v>
      </c>
      <c r="C1658">
        <v>28</v>
      </c>
      <c r="D1658">
        <v>68</v>
      </c>
      <c r="E1658">
        <v>607</v>
      </c>
      <c r="F1658">
        <v>4</v>
      </c>
      <c r="K1658" s="1">
        <f t="shared" si="161"/>
        <v>607</v>
      </c>
      <c r="L1658" s="1" t="str">
        <f t="shared" si="156"/>
        <v>Normal</v>
      </c>
      <c r="M1658" s="2">
        <f t="shared" si="157"/>
        <v>76.75</v>
      </c>
      <c r="N1658" s="1" t="str">
        <f t="shared" si="158"/>
        <v>Basah</v>
      </c>
      <c r="O1658" t="str">
        <f t="shared" si="159"/>
        <v>Fuzzy</v>
      </c>
      <c r="P1658" t="str">
        <f t="shared" si="160"/>
        <v>Fuzzy</v>
      </c>
    </row>
    <row r="1659" spans="1:16" x14ac:dyDescent="0.35">
      <c r="A1659" t="s">
        <v>1662</v>
      </c>
      <c r="B1659">
        <v>5872</v>
      </c>
      <c r="C1659">
        <v>28</v>
      </c>
      <c r="D1659">
        <v>68</v>
      </c>
      <c r="E1659">
        <v>494</v>
      </c>
      <c r="F1659">
        <v>4</v>
      </c>
      <c r="K1659" s="1">
        <f t="shared" si="161"/>
        <v>494</v>
      </c>
      <c r="L1659" s="1" t="str">
        <f t="shared" si="156"/>
        <v>Normal</v>
      </c>
      <c r="M1659" s="2">
        <f t="shared" si="157"/>
        <v>48.5</v>
      </c>
      <c r="N1659" s="1" t="str">
        <f t="shared" si="158"/>
        <v>Lembab</v>
      </c>
      <c r="O1659" t="str">
        <f t="shared" si="159"/>
        <v>Fuzzy</v>
      </c>
      <c r="P1659" t="str">
        <f t="shared" si="160"/>
        <v>Fuzzy</v>
      </c>
    </row>
    <row r="1660" spans="1:16" x14ac:dyDescent="0.35">
      <c r="A1660" t="s">
        <v>1663</v>
      </c>
      <c r="B1660">
        <v>5873</v>
      </c>
      <c r="C1660">
        <v>28</v>
      </c>
      <c r="D1660">
        <v>68</v>
      </c>
      <c r="E1660">
        <v>519</v>
      </c>
      <c r="F1660">
        <v>4</v>
      </c>
      <c r="K1660" s="1">
        <f t="shared" si="161"/>
        <v>519</v>
      </c>
      <c r="L1660" s="1" t="str">
        <f t="shared" si="156"/>
        <v>Normal</v>
      </c>
      <c r="M1660" s="2">
        <f t="shared" si="157"/>
        <v>54.75</v>
      </c>
      <c r="N1660" s="1" t="str">
        <f t="shared" si="158"/>
        <v>Lembab</v>
      </c>
      <c r="O1660" t="str">
        <f t="shared" si="159"/>
        <v>Fuzzy</v>
      </c>
      <c r="P1660" t="str">
        <f t="shared" si="160"/>
        <v>Fuzzy</v>
      </c>
    </row>
    <row r="1661" spans="1:16" x14ac:dyDescent="0.35">
      <c r="A1661" t="s">
        <v>1664</v>
      </c>
      <c r="B1661">
        <v>5874</v>
      </c>
      <c r="C1661">
        <v>28</v>
      </c>
      <c r="D1661">
        <v>68</v>
      </c>
      <c r="E1661">
        <v>781</v>
      </c>
      <c r="F1661">
        <v>4</v>
      </c>
      <c r="K1661" s="1">
        <f t="shared" si="161"/>
        <v>781</v>
      </c>
      <c r="L1661" s="1" t="str">
        <f t="shared" si="156"/>
        <v>Normal</v>
      </c>
      <c r="M1661" s="2">
        <f t="shared" si="157"/>
        <v>25.077399380804955</v>
      </c>
      <c r="N1661" s="1" t="str">
        <f t="shared" si="158"/>
        <v>Kering</v>
      </c>
      <c r="O1661" t="str">
        <f t="shared" si="159"/>
        <v>Fuzzy</v>
      </c>
      <c r="P1661" t="str">
        <f t="shared" si="160"/>
        <v>Fuzzy</v>
      </c>
    </row>
    <row r="1662" spans="1:16" x14ac:dyDescent="0.35">
      <c r="A1662" t="s">
        <v>1665</v>
      </c>
      <c r="B1662">
        <v>5875</v>
      </c>
      <c r="C1662">
        <v>28</v>
      </c>
      <c r="D1662">
        <v>68</v>
      </c>
      <c r="E1662">
        <v>522</v>
      </c>
      <c r="F1662">
        <v>4</v>
      </c>
      <c r="K1662" s="1">
        <f t="shared" si="161"/>
        <v>522</v>
      </c>
      <c r="L1662" s="1" t="str">
        <f t="shared" si="156"/>
        <v>Normal</v>
      </c>
      <c r="M1662" s="2">
        <f t="shared" si="157"/>
        <v>55.500000000000007</v>
      </c>
      <c r="N1662" s="1" t="str">
        <f t="shared" si="158"/>
        <v>Lembab</v>
      </c>
      <c r="O1662" t="str">
        <f t="shared" si="159"/>
        <v>Fuzzy</v>
      </c>
      <c r="P1662" t="str">
        <f t="shared" si="160"/>
        <v>Fuzzy</v>
      </c>
    </row>
    <row r="1663" spans="1:16" x14ac:dyDescent="0.35">
      <c r="A1663" t="s">
        <v>1666</v>
      </c>
      <c r="B1663">
        <v>5876</v>
      </c>
      <c r="C1663">
        <v>28</v>
      </c>
      <c r="D1663">
        <v>68</v>
      </c>
      <c r="E1663">
        <v>497</v>
      </c>
      <c r="F1663">
        <v>4</v>
      </c>
      <c r="K1663" s="1">
        <f t="shared" si="161"/>
        <v>497</v>
      </c>
      <c r="L1663" s="1" t="str">
        <f t="shared" si="156"/>
        <v>Normal</v>
      </c>
      <c r="M1663" s="2">
        <f t="shared" si="157"/>
        <v>49.25</v>
      </c>
      <c r="N1663" s="1" t="str">
        <f t="shared" si="158"/>
        <v>Lembab</v>
      </c>
      <c r="O1663" t="str">
        <f t="shared" si="159"/>
        <v>Fuzzy</v>
      </c>
      <c r="P1663" t="str">
        <f t="shared" si="160"/>
        <v>Fuzzy</v>
      </c>
    </row>
    <row r="1664" spans="1:16" x14ac:dyDescent="0.35">
      <c r="A1664" t="s">
        <v>1667</v>
      </c>
      <c r="B1664">
        <v>5877</v>
      </c>
      <c r="C1664">
        <v>28</v>
      </c>
      <c r="D1664">
        <v>68</v>
      </c>
      <c r="E1664">
        <v>520</v>
      </c>
      <c r="F1664">
        <v>4</v>
      </c>
      <c r="K1664" s="1">
        <f t="shared" si="161"/>
        <v>520</v>
      </c>
      <c r="L1664" s="1" t="str">
        <f t="shared" si="156"/>
        <v>Normal</v>
      </c>
      <c r="M1664" s="2">
        <f t="shared" si="157"/>
        <v>55.000000000000007</v>
      </c>
      <c r="N1664" s="1" t="str">
        <f t="shared" si="158"/>
        <v>Lembab</v>
      </c>
      <c r="O1664" t="str">
        <f t="shared" si="159"/>
        <v>Fuzzy</v>
      </c>
      <c r="P1664" t="str">
        <f t="shared" si="160"/>
        <v>Fuzzy</v>
      </c>
    </row>
    <row r="1665" spans="1:16" x14ac:dyDescent="0.35">
      <c r="A1665" t="s">
        <v>1668</v>
      </c>
      <c r="B1665">
        <v>5878</v>
      </c>
      <c r="C1665">
        <v>28</v>
      </c>
      <c r="D1665">
        <v>68</v>
      </c>
      <c r="E1665">
        <v>512</v>
      </c>
      <c r="F1665">
        <v>4</v>
      </c>
      <c r="K1665" s="1">
        <f t="shared" si="161"/>
        <v>512</v>
      </c>
      <c r="L1665" s="1" t="str">
        <f t="shared" si="156"/>
        <v>Normal</v>
      </c>
      <c r="M1665" s="2">
        <f t="shared" si="157"/>
        <v>53</v>
      </c>
      <c r="N1665" s="1" t="str">
        <f t="shared" si="158"/>
        <v>Lembab</v>
      </c>
      <c r="O1665" t="str">
        <f t="shared" si="159"/>
        <v>Fuzzy</v>
      </c>
      <c r="P1665" t="str">
        <f t="shared" si="160"/>
        <v>Fuzzy</v>
      </c>
    </row>
    <row r="1666" spans="1:16" x14ac:dyDescent="0.35">
      <c r="A1666" t="s">
        <v>1669</v>
      </c>
      <c r="B1666">
        <v>5879</v>
      </c>
      <c r="C1666">
        <v>28</v>
      </c>
      <c r="D1666">
        <v>68</v>
      </c>
      <c r="E1666">
        <v>332</v>
      </c>
      <c r="F1666">
        <v>4</v>
      </c>
      <c r="K1666" s="1">
        <f t="shared" si="161"/>
        <v>332</v>
      </c>
      <c r="L1666" s="1" t="str">
        <f t="shared" si="156"/>
        <v>Normal</v>
      </c>
      <c r="M1666" s="2">
        <f t="shared" si="157"/>
        <v>8</v>
      </c>
      <c r="N1666" s="1" t="str">
        <f t="shared" si="158"/>
        <v>Kering</v>
      </c>
      <c r="O1666" t="str">
        <f t="shared" si="159"/>
        <v>Fuzzy</v>
      </c>
      <c r="P1666" t="str">
        <f t="shared" si="160"/>
        <v>Fuzzy</v>
      </c>
    </row>
    <row r="1667" spans="1:16" x14ac:dyDescent="0.35">
      <c r="A1667" t="s">
        <v>1670</v>
      </c>
      <c r="B1667">
        <v>5880</v>
      </c>
      <c r="C1667">
        <v>28</v>
      </c>
      <c r="D1667">
        <v>68</v>
      </c>
      <c r="E1667">
        <v>518</v>
      </c>
      <c r="F1667">
        <v>4</v>
      </c>
      <c r="K1667" s="1">
        <f t="shared" si="161"/>
        <v>518</v>
      </c>
      <c r="L1667" s="1" t="str">
        <f t="shared" ref="L1667:L1730" si="162">IF(A1666 &lt;= 10, "Dingin", IF(OR(A1666 &gt;= 10, A1666 &lt; 35), "Normal", "Panas"))</f>
        <v>Normal</v>
      </c>
      <c r="M1667" s="2">
        <f t="shared" ref="M1667:M1730" si="163">IF(K1667&lt;=300, K1667/1023*100, IF(K1667&lt;=700, (K1667-300)/(700-301+1)*100, (K1667-700)/(1023-701+1)*100))</f>
        <v>54.500000000000007</v>
      </c>
      <c r="N1667" s="1" t="str">
        <f t="shared" ref="N1667:N1730" si="164">IF(M1667&lt;=29.32, "Kering", IF(M1667&lt;=68.53, "Lembab", "Basah"))</f>
        <v>Lembab</v>
      </c>
      <c r="O1667" t="str">
        <f t="shared" ref="O1667:O1730" si="165">IF(OR(AND(C1667 &gt; 10, C1667 &lt; 22.5), AND(C1667 &gt;= 22.5, C1667 &lt; 35)), "Fuzzy", "")</f>
        <v>Fuzzy</v>
      </c>
      <c r="P1667" t="str">
        <f t="shared" ref="P1667:P1730" si="166">IF(OR(AND(M1667 &gt;= 0, M1667 &lt; 50), AND(M1667 &gt;= 50, M1667 &lt; 100)), "Fuzzy", "")</f>
        <v>Fuzzy</v>
      </c>
    </row>
    <row r="1668" spans="1:16" x14ac:dyDescent="0.35">
      <c r="A1668" t="s">
        <v>1671</v>
      </c>
      <c r="B1668">
        <v>5881</v>
      </c>
      <c r="C1668">
        <v>28</v>
      </c>
      <c r="D1668">
        <v>69</v>
      </c>
      <c r="E1668">
        <v>522</v>
      </c>
      <c r="F1668">
        <v>4</v>
      </c>
      <c r="K1668" s="1">
        <f t="shared" si="161"/>
        <v>522</v>
      </c>
      <c r="L1668" s="1" t="str">
        <f t="shared" si="162"/>
        <v>Normal</v>
      </c>
      <c r="M1668" s="2">
        <f t="shared" si="163"/>
        <v>55.500000000000007</v>
      </c>
      <c r="N1668" s="1" t="str">
        <f t="shared" si="164"/>
        <v>Lembab</v>
      </c>
      <c r="O1668" t="str">
        <f t="shared" si="165"/>
        <v>Fuzzy</v>
      </c>
      <c r="P1668" t="str">
        <f t="shared" si="166"/>
        <v>Fuzzy</v>
      </c>
    </row>
    <row r="1669" spans="1:16" x14ac:dyDescent="0.35">
      <c r="A1669" t="s">
        <v>1672</v>
      </c>
      <c r="B1669">
        <v>5882</v>
      </c>
      <c r="C1669">
        <v>28</v>
      </c>
      <c r="D1669">
        <v>69</v>
      </c>
      <c r="E1669">
        <v>501</v>
      </c>
      <c r="F1669">
        <v>4</v>
      </c>
      <c r="K1669" s="1">
        <f t="shared" si="161"/>
        <v>501</v>
      </c>
      <c r="L1669" s="1" t="str">
        <f t="shared" si="162"/>
        <v>Normal</v>
      </c>
      <c r="M1669" s="2">
        <f t="shared" si="163"/>
        <v>50.249999999999993</v>
      </c>
      <c r="N1669" s="1" t="str">
        <f t="shared" si="164"/>
        <v>Lembab</v>
      </c>
      <c r="O1669" t="str">
        <f t="shared" si="165"/>
        <v>Fuzzy</v>
      </c>
      <c r="P1669" t="str">
        <f t="shared" si="166"/>
        <v>Fuzzy</v>
      </c>
    </row>
    <row r="1670" spans="1:16" x14ac:dyDescent="0.35">
      <c r="A1670" t="s">
        <v>1673</v>
      </c>
      <c r="B1670">
        <v>5883</v>
      </c>
      <c r="C1670">
        <v>28</v>
      </c>
      <c r="D1670">
        <v>69</v>
      </c>
      <c r="E1670">
        <v>581</v>
      </c>
      <c r="F1670">
        <v>4</v>
      </c>
      <c r="K1670" s="1">
        <f t="shared" si="161"/>
        <v>581</v>
      </c>
      <c r="L1670" s="1" t="str">
        <f t="shared" si="162"/>
        <v>Normal</v>
      </c>
      <c r="M1670" s="2">
        <f t="shared" si="163"/>
        <v>70.25</v>
      </c>
      <c r="N1670" s="1" t="str">
        <f t="shared" si="164"/>
        <v>Basah</v>
      </c>
      <c r="O1670" t="str">
        <f t="shared" si="165"/>
        <v>Fuzzy</v>
      </c>
      <c r="P1670" t="str">
        <f t="shared" si="166"/>
        <v>Fuzzy</v>
      </c>
    </row>
    <row r="1671" spans="1:16" x14ac:dyDescent="0.35">
      <c r="A1671" t="s">
        <v>1674</v>
      </c>
      <c r="B1671">
        <v>5884</v>
      </c>
      <c r="C1671">
        <v>28</v>
      </c>
      <c r="D1671">
        <v>68</v>
      </c>
      <c r="E1671">
        <v>503</v>
      </c>
      <c r="F1671">
        <v>4</v>
      </c>
      <c r="K1671" s="1">
        <f t="shared" si="161"/>
        <v>503</v>
      </c>
      <c r="L1671" s="1" t="str">
        <f t="shared" si="162"/>
        <v>Normal</v>
      </c>
      <c r="M1671" s="2">
        <f t="shared" si="163"/>
        <v>50.749999999999993</v>
      </c>
      <c r="N1671" s="1" t="str">
        <f t="shared" si="164"/>
        <v>Lembab</v>
      </c>
      <c r="O1671" t="str">
        <f t="shared" si="165"/>
        <v>Fuzzy</v>
      </c>
      <c r="P1671" t="str">
        <f t="shared" si="166"/>
        <v>Fuzzy</v>
      </c>
    </row>
    <row r="1672" spans="1:16" x14ac:dyDescent="0.35">
      <c r="A1672" t="s">
        <v>1675</v>
      </c>
      <c r="B1672">
        <v>5885</v>
      </c>
      <c r="C1672">
        <v>28</v>
      </c>
      <c r="D1672">
        <v>68</v>
      </c>
      <c r="E1672">
        <v>452</v>
      </c>
      <c r="F1672">
        <v>4</v>
      </c>
      <c r="K1672" s="1">
        <f t="shared" si="161"/>
        <v>452</v>
      </c>
      <c r="L1672" s="1" t="str">
        <f t="shared" si="162"/>
        <v>Normal</v>
      </c>
      <c r="M1672" s="2">
        <f t="shared" si="163"/>
        <v>38</v>
      </c>
      <c r="N1672" s="1" t="str">
        <f t="shared" si="164"/>
        <v>Lembab</v>
      </c>
      <c r="O1672" t="str">
        <f t="shared" si="165"/>
        <v>Fuzzy</v>
      </c>
      <c r="P1672" t="str">
        <f t="shared" si="166"/>
        <v>Fuzzy</v>
      </c>
    </row>
    <row r="1673" spans="1:16" x14ac:dyDescent="0.35">
      <c r="A1673" t="s">
        <v>1676</v>
      </c>
      <c r="B1673">
        <v>5886</v>
      </c>
      <c r="C1673">
        <v>28</v>
      </c>
      <c r="D1673">
        <v>68</v>
      </c>
      <c r="E1673">
        <v>610</v>
      </c>
      <c r="F1673">
        <v>3</v>
      </c>
      <c r="K1673" s="1">
        <f t="shared" si="161"/>
        <v>610</v>
      </c>
      <c r="L1673" s="1" t="str">
        <f t="shared" si="162"/>
        <v>Normal</v>
      </c>
      <c r="M1673" s="2">
        <f t="shared" si="163"/>
        <v>77.5</v>
      </c>
      <c r="N1673" s="1" t="str">
        <f t="shared" si="164"/>
        <v>Basah</v>
      </c>
      <c r="O1673" t="str">
        <f t="shared" si="165"/>
        <v>Fuzzy</v>
      </c>
      <c r="P1673" t="str">
        <f t="shared" si="166"/>
        <v>Fuzzy</v>
      </c>
    </row>
    <row r="1674" spans="1:16" x14ac:dyDescent="0.35">
      <c r="A1674" t="s">
        <v>1677</v>
      </c>
      <c r="B1674">
        <v>5887</v>
      </c>
      <c r="C1674">
        <v>28</v>
      </c>
      <c r="D1674">
        <v>69</v>
      </c>
      <c r="E1674">
        <v>688</v>
      </c>
      <c r="F1674">
        <v>4</v>
      </c>
      <c r="K1674" s="1">
        <f t="shared" si="161"/>
        <v>688</v>
      </c>
      <c r="L1674" s="1" t="str">
        <f t="shared" si="162"/>
        <v>Normal</v>
      </c>
      <c r="M1674" s="2">
        <f t="shared" si="163"/>
        <v>97</v>
      </c>
      <c r="N1674" s="1" t="str">
        <f t="shared" si="164"/>
        <v>Basah</v>
      </c>
      <c r="O1674" t="str">
        <f t="shared" si="165"/>
        <v>Fuzzy</v>
      </c>
      <c r="P1674" t="str">
        <f t="shared" si="166"/>
        <v>Fuzzy</v>
      </c>
    </row>
    <row r="1675" spans="1:16" x14ac:dyDescent="0.35">
      <c r="A1675" t="s">
        <v>1678</v>
      </c>
      <c r="B1675">
        <v>5888</v>
      </c>
      <c r="C1675">
        <v>28</v>
      </c>
      <c r="D1675">
        <v>68</v>
      </c>
      <c r="E1675">
        <v>541</v>
      </c>
      <c r="F1675">
        <v>4</v>
      </c>
      <c r="K1675" s="1">
        <f t="shared" si="161"/>
        <v>541</v>
      </c>
      <c r="L1675" s="1" t="str">
        <f t="shared" si="162"/>
        <v>Normal</v>
      </c>
      <c r="M1675" s="2">
        <f t="shared" si="163"/>
        <v>60.25</v>
      </c>
      <c r="N1675" s="1" t="str">
        <f t="shared" si="164"/>
        <v>Lembab</v>
      </c>
      <c r="O1675" t="str">
        <f t="shared" si="165"/>
        <v>Fuzzy</v>
      </c>
      <c r="P1675" t="str">
        <f t="shared" si="166"/>
        <v>Fuzzy</v>
      </c>
    </row>
    <row r="1676" spans="1:16" x14ac:dyDescent="0.35">
      <c r="A1676" t="s">
        <v>1679</v>
      </c>
      <c r="B1676">
        <v>5889</v>
      </c>
      <c r="C1676">
        <v>28</v>
      </c>
      <c r="D1676">
        <v>66</v>
      </c>
      <c r="E1676">
        <v>522</v>
      </c>
      <c r="F1676">
        <v>4</v>
      </c>
      <c r="K1676" s="1">
        <f t="shared" si="161"/>
        <v>522</v>
      </c>
      <c r="L1676" s="1" t="str">
        <f t="shared" si="162"/>
        <v>Normal</v>
      </c>
      <c r="M1676" s="2">
        <f t="shared" si="163"/>
        <v>55.500000000000007</v>
      </c>
      <c r="N1676" s="1" t="str">
        <f t="shared" si="164"/>
        <v>Lembab</v>
      </c>
      <c r="O1676" t="str">
        <f t="shared" si="165"/>
        <v>Fuzzy</v>
      </c>
      <c r="P1676" t="str">
        <f t="shared" si="166"/>
        <v>Fuzzy</v>
      </c>
    </row>
    <row r="1677" spans="1:16" x14ac:dyDescent="0.35">
      <c r="A1677" t="s">
        <v>1680</v>
      </c>
      <c r="B1677">
        <v>5890</v>
      </c>
      <c r="C1677">
        <v>28</v>
      </c>
      <c r="D1677">
        <v>66</v>
      </c>
      <c r="E1677">
        <v>468</v>
      </c>
      <c r="F1677">
        <v>4</v>
      </c>
      <c r="K1677" s="1">
        <f t="shared" ref="K1677:K1740" si="167">IF(E1677&lt;=1023, E1677, "")</f>
        <v>468</v>
      </c>
      <c r="L1677" s="1" t="str">
        <f t="shared" si="162"/>
        <v>Normal</v>
      </c>
      <c r="M1677" s="2">
        <f t="shared" si="163"/>
        <v>42</v>
      </c>
      <c r="N1677" s="1" t="str">
        <f t="shared" si="164"/>
        <v>Lembab</v>
      </c>
      <c r="O1677" t="str">
        <f t="shared" si="165"/>
        <v>Fuzzy</v>
      </c>
      <c r="P1677" t="str">
        <f t="shared" si="166"/>
        <v>Fuzzy</v>
      </c>
    </row>
    <row r="1678" spans="1:16" x14ac:dyDescent="0.35">
      <c r="A1678" t="s">
        <v>1681</v>
      </c>
      <c r="B1678">
        <v>5891</v>
      </c>
      <c r="C1678">
        <v>28</v>
      </c>
      <c r="D1678">
        <v>66</v>
      </c>
      <c r="E1678">
        <v>538</v>
      </c>
      <c r="F1678">
        <v>4</v>
      </c>
      <c r="K1678" s="1">
        <f t="shared" si="167"/>
        <v>538</v>
      </c>
      <c r="L1678" s="1" t="str">
        <f t="shared" si="162"/>
        <v>Normal</v>
      </c>
      <c r="M1678" s="2">
        <f t="shared" si="163"/>
        <v>59.5</v>
      </c>
      <c r="N1678" s="1" t="str">
        <f t="shared" si="164"/>
        <v>Lembab</v>
      </c>
      <c r="O1678" t="str">
        <f t="shared" si="165"/>
        <v>Fuzzy</v>
      </c>
      <c r="P1678" t="str">
        <f t="shared" si="166"/>
        <v>Fuzzy</v>
      </c>
    </row>
    <row r="1679" spans="1:16" x14ac:dyDescent="0.35">
      <c r="A1679" t="s">
        <v>1682</v>
      </c>
      <c r="B1679">
        <v>5892</v>
      </c>
      <c r="C1679">
        <v>28</v>
      </c>
      <c r="D1679">
        <v>67</v>
      </c>
      <c r="E1679">
        <v>541</v>
      </c>
      <c r="F1679">
        <v>4</v>
      </c>
      <c r="K1679" s="1">
        <f t="shared" si="167"/>
        <v>541</v>
      </c>
      <c r="L1679" s="1" t="str">
        <f t="shared" si="162"/>
        <v>Normal</v>
      </c>
      <c r="M1679" s="2">
        <f t="shared" si="163"/>
        <v>60.25</v>
      </c>
      <c r="N1679" s="1" t="str">
        <f t="shared" si="164"/>
        <v>Lembab</v>
      </c>
      <c r="O1679" t="str">
        <f t="shared" si="165"/>
        <v>Fuzzy</v>
      </c>
      <c r="P1679" t="str">
        <f t="shared" si="166"/>
        <v>Fuzzy</v>
      </c>
    </row>
    <row r="1680" spans="1:16" x14ac:dyDescent="0.35">
      <c r="A1680" t="s">
        <v>1683</v>
      </c>
      <c r="B1680">
        <v>5893</v>
      </c>
      <c r="C1680">
        <v>28</v>
      </c>
      <c r="D1680">
        <v>67</v>
      </c>
      <c r="E1680">
        <v>559</v>
      </c>
      <c r="F1680">
        <v>4</v>
      </c>
      <c r="K1680" s="1">
        <f t="shared" si="167"/>
        <v>559</v>
      </c>
      <c r="L1680" s="1" t="str">
        <f t="shared" si="162"/>
        <v>Normal</v>
      </c>
      <c r="M1680" s="2">
        <f t="shared" si="163"/>
        <v>64.75</v>
      </c>
      <c r="N1680" s="1" t="str">
        <f t="shared" si="164"/>
        <v>Lembab</v>
      </c>
      <c r="O1680" t="str">
        <f t="shared" si="165"/>
        <v>Fuzzy</v>
      </c>
      <c r="P1680" t="str">
        <f t="shared" si="166"/>
        <v>Fuzzy</v>
      </c>
    </row>
    <row r="1681" spans="1:16" x14ac:dyDescent="0.35">
      <c r="A1681" t="s">
        <v>1684</v>
      </c>
      <c r="B1681">
        <v>5894</v>
      </c>
      <c r="C1681">
        <v>28</v>
      </c>
      <c r="D1681">
        <v>67</v>
      </c>
      <c r="E1681">
        <v>480</v>
      </c>
      <c r="F1681">
        <v>3</v>
      </c>
      <c r="K1681" s="1">
        <f t="shared" si="167"/>
        <v>480</v>
      </c>
      <c r="L1681" s="1" t="str">
        <f t="shared" si="162"/>
        <v>Normal</v>
      </c>
      <c r="M1681" s="2">
        <f t="shared" si="163"/>
        <v>45</v>
      </c>
      <c r="N1681" s="1" t="str">
        <f t="shared" si="164"/>
        <v>Lembab</v>
      </c>
      <c r="O1681" t="str">
        <f t="shared" si="165"/>
        <v>Fuzzy</v>
      </c>
      <c r="P1681" t="str">
        <f t="shared" si="166"/>
        <v>Fuzzy</v>
      </c>
    </row>
    <row r="1682" spans="1:16" x14ac:dyDescent="0.35">
      <c r="A1682" t="s">
        <v>1685</v>
      </c>
      <c r="B1682">
        <v>5895</v>
      </c>
      <c r="C1682">
        <v>28</v>
      </c>
      <c r="D1682">
        <v>68</v>
      </c>
      <c r="E1682">
        <v>519</v>
      </c>
      <c r="F1682">
        <v>4</v>
      </c>
      <c r="K1682" s="1">
        <f t="shared" si="167"/>
        <v>519</v>
      </c>
      <c r="L1682" s="1" t="str">
        <f t="shared" si="162"/>
        <v>Normal</v>
      </c>
      <c r="M1682" s="2">
        <f t="shared" si="163"/>
        <v>54.75</v>
      </c>
      <c r="N1682" s="1" t="str">
        <f t="shared" si="164"/>
        <v>Lembab</v>
      </c>
      <c r="O1682" t="str">
        <f t="shared" si="165"/>
        <v>Fuzzy</v>
      </c>
      <c r="P1682" t="str">
        <f t="shared" si="166"/>
        <v>Fuzzy</v>
      </c>
    </row>
    <row r="1683" spans="1:16" x14ac:dyDescent="0.35">
      <c r="A1683" t="s">
        <v>1686</v>
      </c>
      <c r="B1683">
        <v>5896</v>
      </c>
      <c r="C1683">
        <v>28</v>
      </c>
      <c r="D1683">
        <v>68</v>
      </c>
      <c r="E1683">
        <v>572</v>
      </c>
      <c r="F1683">
        <v>4</v>
      </c>
      <c r="K1683" s="1">
        <f t="shared" si="167"/>
        <v>572</v>
      </c>
      <c r="L1683" s="1" t="str">
        <f t="shared" si="162"/>
        <v>Normal</v>
      </c>
      <c r="M1683" s="2">
        <f t="shared" si="163"/>
        <v>68</v>
      </c>
      <c r="N1683" s="1" t="str">
        <f t="shared" si="164"/>
        <v>Lembab</v>
      </c>
      <c r="O1683" t="str">
        <f t="shared" si="165"/>
        <v>Fuzzy</v>
      </c>
      <c r="P1683" t="str">
        <f t="shared" si="166"/>
        <v>Fuzzy</v>
      </c>
    </row>
    <row r="1684" spans="1:16" x14ac:dyDescent="0.35">
      <c r="A1684" t="s">
        <v>1687</v>
      </c>
      <c r="B1684">
        <v>5897</v>
      </c>
      <c r="C1684">
        <v>28</v>
      </c>
      <c r="D1684">
        <v>68</v>
      </c>
      <c r="E1684">
        <v>570</v>
      </c>
      <c r="F1684">
        <v>3</v>
      </c>
      <c r="K1684" s="1">
        <f t="shared" si="167"/>
        <v>570</v>
      </c>
      <c r="L1684" s="1" t="str">
        <f t="shared" si="162"/>
        <v>Normal</v>
      </c>
      <c r="M1684" s="2">
        <f t="shared" si="163"/>
        <v>67.5</v>
      </c>
      <c r="N1684" s="1" t="str">
        <f t="shared" si="164"/>
        <v>Lembab</v>
      </c>
      <c r="O1684" t="str">
        <f t="shared" si="165"/>
        <v>Fuzzy</v>
      </c>
      <c r="P1684" t="str">
        <f t="shared" si="166"/>
        <v>Fuzzy</v>
      </c>
    </row>
    <row r="1685" spans="1:16" x14ac:dyDescent="0.35">
      <c r="A1685" t="s">
        <v>1688</v>
      </c>
      <c r="B1685">
        <v>5898</v>
      </c>
      <c r="C1685">
        <v>28</v>
      </c>
      <c r="D1685">
        <v>68</v>
      </c>
      <c r="E1685">
        <v>543</v>
      </c>
      <c r="F1685">
        <v>4</v>
      </c>
      <c r="K1685" s="1">
        <f t="shared" si="167"/>
        <v>543</v>
      </c>
      <c r="L1685" s="1" t="str">
        <f t="shared" si="162"/>
        <v>Normal</v>
      </c>
      <c r="M1685" s="2">
        <f t="shared" si="163"/>
        <v>60.750000000000007</v>
      </c>
      <c r="N1685" s="1" t="str">
        <f t="shared" si="164"/>
        <v>Lembab</v>
      </c>
      <c r="O1685" t="str">
        <f t="shared" si="165"/>
        <v>Fuzzy</v>
      </c>
      <c r="P1685" t="str">
        <f t="shared" si="166"/>
        <v>Fuzzy</v>
      </c>
    </row>
    <row r="1686" spans="1:16" x14ac:dyDescent="0.35">
      <c r="A1686" t="s">
        <v>1689</v>
      </c>
      <c r="B1686">
        <v>5899</v>
      </c>
      <c r="C1686">
        <v>28</v>
      </c>
      <c r="D1686">
        <v>69</v>
      </c>
      <c r="E1686">
        <v>566</v>
      </c>
      <c r="F1686">
        <v>3</v>
      </c>
      <c r="K1686" s="1">
        <f t="shared" si="167"/>
        <v>566</v>
      </c>
      <c r="L1686" s="1" t="str">
        <f t="shared" si="162"/>
        <v>Normal</v>
      </c>
      <c r="M1686" s="2">
        <f t="shared" si="163"/>
        <v>66.5</v>
      </c>
      <c r="N1686" s="1" t="str">
        <f t="shared" si="164"/>
        <v>Lembab</v>
      </c>
      <c r="O1686" t="str">
        <f t="shared" si="165"/>
        <v>Fuzzy</v>
      </c>
      <c r="P1686" t="str">
        <f t="shared" si="166"/>
        <v>Fuzzy</v>
      </c>
    </row>
    <row r="1687" spans="1:16" x14ac:dyDescent="0.35">
      <c r="A1687" t="s">
        <v>1690</v>
      </c>
      <c r="B1687">
        <v>5900</v>
      </c>
      <c r="C1687">
        <v>28</v>
      </c>
      <c r="D1687">
        <v>69</v>
      </c>
      <c r="E1687">
        <v>593</v>
      </c>
      <c r="F1687">
        <v>3</v>
      </c>
      <c r="K1687" s="1">
        <f t="shared" si="167"/>
        <v>593</v>
      </c>
      <c r="L1687" s="1" t="str">
        <f t="shared" si="162"/>
        <v>Normal</v>
      </c>
      <c r="M1687" s="2">
        <f t="shared" si="163"/>
        <v>73.25</v>
      </c>
      <c r="N1687" s="1" t="str">
        <f t="shared" si="164"/>
        <v>Basah</v>
      </c>
      <c r="O1687" t="str">
        <f t="shared" si="165"/>
        <v>Fuzzy</v>
      </c>
      <c r="P1687" t="str">
        <f t="shared" si="166"/>
        <v>Fuzzy</v>
      </c>
    </row>
    <row r="1688" spans="1:16" x14ac:dyDescent="0.35">
      <c r="A1688" t="s">
        <v>1691</v>
      </c>
      <c r="B1688">
        <v>5901</v>
      </c>
      <c r="C1688">
        <v>28</v>
      </c>
      <c r="D1688">
        <v>69</v>
      </c>
      <c r="E1688">
        <v>502</v>
      </c>
      <c r="F1688">
        <v>3</v>
      </c>
      <c r="K1688" s="1">
        <f t="shared" si="167"/>
        <v>502</v>
      </c>
      <c r="L1688" s="1" t="str">
        <f t="shared" si="162"/>
        <v>Normal</v>
      </c>
      <c r="M1688" s="2">
        <f t="shared" si="163"/>
        <v>50.5</v>
      </c>
      <c r="N1688" s="1" t="str">
        <f t="shared" si="164"/>
        <v>Lembab</v>
      </c>
      <c r="O1688" t="str">
        <f t="shared" si="165"/>
        <v>Fuzzy</v>
      </c>
      <c r="P1688" t="str">
        <f t="shared" si="166"/>
        <v>Fuzzy</v>
      </c>
    </row>
    <row r="1689" spans="1:16" x14ac:dyDescent="0.35">
      <c r="A1689" t="s">
        <v>1692</v>
      </c>
      <c r="B1689">
        <v>5902</v>
      </c>
      <c r="C1689">
        <v>28</v>
      </c>
      <c r="D1689">
        <v>69</v>
      </c>
      <c r="E1689">
        <v>529</v>
      </c>
      <c r="F1689">
        <v>4</v>
      </c>
      <c r="K1689" s="1">
        <f t="shared" si="167"/>
        <v>529</v>
      </c>
      <c r="L1689" s="1" t="str">
        <f t="shared" si="162"/>
        <v>Normal</v>
      </c>
      <c r="M1689" s="2">
        <f t="shared" si="163"/>
        <v>57.25</v>
      </c>
      <c r="N1689" s="1" t="str">
        <f t="shared" si="164"/>
        <v>Lembab</v>
      </c>
      <c r="O1689" t="str">
        <f t="shared" si="165"/>
        <v>Fuzzy</v>
      </c>
      <c r="P1689" t="str">
        <f t="shared" si="166"/>
        <v>Fuzzy</v>
      </c>
    </row>
    <row r="1690" spans="1:16" x14ac:dyDescent="0.35">
      <c r="A1690" t="s">
        <v>1693</v>
      </c>
      <c r="B1690">
        <v>5903</v>
      </c>
      <c r="C1690">
        <v>28</v>
      </c>
      <c r="D1690">
        <v>69</v>
      </c>
      <c r="E1690">
        <v>480</v>
      </c>
      <c r="F1690">
        <v>4</v>
      </c>
      <c r="K1690" s="1">
        <f t="shared" si="167"/>
        <v>480</v>
      </c>
      <c r="L1690" s="1" t="str">
        <f t="shared" si="162"/>
        <v>Normal</v>
      </c>
      <c r="M1690" s="2">
        <f t="shared" si="163"/>
        <v>45</v>
      </c>
      <c r="N1690" s="1" t="str">
        <f t="shared" si="164"/>
        <v>Lembab</v>
      </c>
      <c r="O1690" t="str">
        <f t="shared" si="165"/>
        <v>Fuzzy</v>
      </c>
      <c r="P1690" t="str">
        <f t="shared" si="166"/>
        <v>Fuzzy</v>
      </c>
    </row>
    <row r="1691" spans="1:16" x14ac:dyDescent="0.35">
      <c r="A1691" t="s">
        <v>1694</v>
      </c>
      <c r="B1691">
        <v>5904</v>
      </c>
      <c r="C1691">
        <v>28</v>
      </c>
      <c r="D1691">
        <v>69</v>
      </c>
      <c r="E1691">
        <v>497</v>
      </c>
      <c r="F1691">
        <v>4</v>
      </c>
      <c r="K1691" s="1">
        <f t="shared" si="167"/>
        <v>497</v>
      </c>
      <c r="L1691" s="1" t="str">
        <f t="shared" si="162"/>
        <v>Normal</v>
      </c>
      <c r="M1691" s="2">
        <f t="shared" si="163"/>
        <v>49.25</v>
      </c>
      <c r="N1691" s="1" t="str">
        <f t="shared" si="164"/>
        <v>Lembab</v>
      </c>
      <c r="O1691" t="str">
        <f t="shared" si="165"/>
        <v>Fuzzy</v>
      </c>
      <c r="P1691" t="str">
        <f t="shared" si="166"/>
        <v>Fuzzy</v>
      </c>
    </row>
    <row r="1692" spans="1:16" x14ac:dyDescent="0.35">
      <c r="A1692" t="s">
        <v>1695</v>
      </c>
      <c r="B1692">
        <v>5905</v>
      </c>
      <c r="C1692">
        <v>28</v>
      </c>
      <c r="D1692">
        <v>69</v>
      </c>
      <c r="E1692">
        <v>584</v>
      </c>
      <c r="F1692">
        <v>4</v>
      </c>
      <c r="K1692" s="1">
        <f t="shared" si="167"/>
        <v>584</v>
      </c>
      <c r="L1692" s="1" t="str">
        <f t="shared" si="162"/>
        <v>Normal</v>
      </c>
      <c r="M1692" s="2">
        <f t="shared" si="163"/>
        <v>71</v>
      </c>
      <c r="N1692" s="1" t="str">
        <f t="shared" si="164"/>
        <v>Basah</v>
      </c>
      <c r="O1692" t="str">
        <f t="shared" si="165"/>
        <v>Fuzzy</v>
      </c>
      <c r="P1692" t="str">
        <f t="shared" si="166"/>
        <v>Fuzzy</v>
      </c>
    </row>
    <row r="1693" spans="1:16" x14ac:dyDescent="0.35">
      <c r="A1693" t="s">
        <v>1696</v>
      </c>
      <c r="B1693">
        <v>5906</v>
      </c>
      <c r="C1693">
        <v>28</v>
      </c>
      <c r="D1693">
        <v>69</v>
      </c>
      <c r="E1693">
        <v>555</v>
      </c>
      <c r="F1693">
        <v>4</v>
      </c>
      <c r="K1693" s="1">
        <f t="shared" si="167"/>
        <v>555</v>
      </c>
      <c r="L1693" s="1" t="str">
        <f t="shared" si="162"/>
        <v>Normal</v>
      </c>
      <c r="M1693" s="2">
        <f t="shared" si="163"/>
        <v>63.749999999999993</v>
      </c>
      <c r="N1693" s="1" t="str">
        <f t="shared" si="164"/>
        <v>Lembab</v>
      </c>
      <c r="O1693" t="str">
        <f t="shared" si="165"/>
        <v>Fuzzy</v>
      </c>
      <c r="P1693" t="str">
        <f t="shared" si="166"/>
        <v>Fuzzy</v>
      </c>
    </row>
    <row r="1694" spans="1:16" x14ac:dyDescent="0.35">
      <c r="A1694" t="s">
        <v>1697</v>
      </c>
      <c r="B1694">
        <v>5907</v>
      </c>
      <c r="C1694">
        <v>28</v>
      </c>
      <c r="D1694">
        <v>69</v>
      </c>
      <c r="E1694">
        <v>501</v>
      </c>
      <c r="F1694">
        <v>4</v>
      </c>
      <c r="K1694" s="1">
        <f t="shared" si="167"/>
        <v>501</v>
      </c>
      <c r="L1694" s="1" t="str">
        <f t="shared" si="162"/>
        <v>Normal</v>
      </c>
      <c r="M1694" s="2">
        <f t="shared" si="163"/>
        <v>50.249999999999993</v>
      </c>
      <c r="N1694" s="1" t="str">
        <f t="shared" si="164"/>
        <v>Lembab</v>
      </c>
      <c r="O1694" t="str">
        <f t="shared" si="165"/>
        <v>Fuzzy</v>
      </c>
      <c r="P1694" t="str">
        <f t="shared" si="166"/>
        <v>Fuzzy</v>
      </c>
    </row>
    <row r="1695" spans="1:16" x14ac:dyDescent="0.35">
      <c r="A1695" t="s">
        <v>1698</v>
      </c>
      <c r="B1695">
        <v>5908</v>
      </c>
      <c r="C1695">
        <v>28</v>
      </c>
      <c r="D1695">
        <v>68</v>
      </c>
      <c r="E1695">
        <v>463</v>
      </c>
      <c r="F1695">
        <v>3</v>
      </c>
      <c r="K1695" s="1">
        <f t="shared" si="167"/>
        <v>463</v>
      </c>
      <c r="L1695" s="1" t="str">
        <f t="shared" si="162"/>
        <v>Normal</v>
      </c>
      <c r="M1695" s="2">
        <f t="shared" si="163"/>
        <v>40.75</v>
      </c>
      <c r="N1695" s="1" t="str">
        <f t="shared" si="164"/>
        <v>Lembab</v>
      </c>
      <c r="O1695" t="str">
        <f t="shared" si="165"/>
        <v>Fuzzy</v>
      </c>
      <c r="P1695" t="str">
        <f t="shared" si="166"/>
        <v>Fuzzy</v>
      </c>
    </row>
    <row r="1696" spans="1:16" x14ac:dyDescent="0.35">
      <c r="A1696" t="s">
        <v>1699</v>
      </c>
      <c r="B1696">
        <v>5909</v>
      </c>
      <c r="C1696">
        <v>28</v>
      </c>
      <c r="D1696">
        <v>68</v>
      </c>
      <c r="E1696">
        <v>471</v>
      </c>
      <c r="F1696">
        <v>4</v>
      </c>
      <c r="K1696" s="1">
        <f t="shared" si="167"/>
        <v>471</v>
      </c>
      <c r="L1696" s="1" t="str">
        <f t="shared" si="162"/>
        <v>Normal</v>
      </c>
      <c r="M1696" s="2">
        <f t="shared" si="163"/>
        <v>42.75</v>
      </c>
      <c r="N1696" s="1" t="str">
        <f t="shared" si="164"/>
        <v>Lembab</v>
      </c>
      <c r="O1696" t="str">
        <f t="shared" si="165"/>
        <v>Fuzzy</v>
      </c>
      <c r="P1696" t="str">
        <f t="shared" si="166"/>
        <v>Fuzzy</v>
      </c>
    </row>
    <row r="1697" spans="1:16" x14ac:dyDescent="0.35">
      <c r="A1697" t="s">
        <v>1700</v>
      </c>
      <c r="B1697">
        <v>5910</v>
      </c>
      <c r="C1697">
        <v>28</v>
      </c>
      <c r="D1697">
        <v>68</v>
      </c>
      <c r="E1697">
        <v>487</v>
      </c>
      <c r="F1697">
        <v>4</v>
      </c>
      <c r="K1697" s="1">
        <f t="shared" si="167"/>
        <v>487</v>
      </c>
      <c r="L1697" s="1" t="str">
        <f t="shared" si="162"/>
        <v>Normal</v>
      </c>
      <c r="M1697" s="2">
        <f t="shared" si="163"/>
        <v>46.75</v>
      </c>
      <c r="N1697" s="1" t="str">
        <f t="shared" si="164"/>
        <v>Lembab</v>
      </c>
      <c r="O1697" t="str">
        <f t="shared" si="165"/>
        <v>Fuzzy</v>
      </c>
      <c r="P1697" t="str">
        <f t="shared" si="166"/>
        <v>Fuzzy</v>
      </c>
    </row>
    <row r="1698" spans="1:16" x14ac:dyDescent="0.35">
      <c r="A1698" t="s">
        <v>1701</v>
      </c>
      <c r="B1698">
        <v>5911</v>
      </c>
      <c r="C1698">
        <v>28</v>
      </c>
      <c r="D1698">
        <v>68</v>
      </c>
      <c r="E1698">
        <v>485</v>
      </c>
      <c r="F1698">
        <v>4</v>
      </c>
      <c r="K1698" s="1">
        <f t="shared" si="167"/>
        <v>485</v>
      </c>
      <c r="L1698" s="1" t="str">
        <f t="shared" si="162"/>
        <v>Normal</v>
      </c>
      <c r="M1698" s="2">
        <f t="shared" si="163"/>
        <v>46.25</v>
      </c>
      <c r="N1698" s="1" t="str">
        <f t="shared" si="164"/>
        <v>Lembab</v>
      </c>
      <c r="O1698" t="str">
        <f t="shared" si="165"/>
        <v>Fuzzy</v>
      </c>
      <c r="P1698" t="str">
        <f t="shared" si="166"/>
        <v>Fuzzy</v>
      </c>
    </row>
    <row r="1699" spans="1:16" x14ac:dyDescent="0.35">
      <c r="A1699" t="s">
        <v>1702</v>
      </c>
      <c r="B1699">
        <v>5912</v>
      </c>
      <c r="C1699">
        <v>28</v>
      </c>
      <c r="D1699">
        <v>68</v>
      </c>
      <c r="E1699">
        <v>514</v>
      </c>
      <c r="F1699">
        <v>4</v>
      </c>
      <c r="K1699" s="1">
        <f t="shared" si="167"/>
        <v>514</v>
      </c>
      <c r="L1699" s="1" t="str">
        <f t="shared" si="162"/>
        <v>Normal</v>
      </c>
      <c r="M1699" s="2">
        <f t="shared" si="163"/>
        <v>53.5</v>
      </c>
      <c r="N1699" s="1" t="str">
        <f t="shared" si="164"/>
        <v>Lembab</v>
      </c>
      <c r="O1699" t="str">
        <f t="shared" si="165"/>
        <v>Fuzzy</v>
      </c>
      <c r="P1699" t="str">
        <f t="shared" si="166"/>
        <v>Fuzzy</v>
      </c>
    </row>
    <row r="1700" spans="1:16" x14ac:dyDescent="0.35">
      <c r="A1700" t="s">
        <v>1703</v>
      </c>
      <c r="B1700">
        <v>5913</v>
      </c>
      <c r="C1700">
        <v>28</v>
      </c>
      <c r="D1700">
        <v>68</v>
      </c>
      <c r="E1700">
        <v>423</v>
      </c>
      <c r="F1700">
        <v>4</v>
      </c>
      <c r="K1700" s="1">
        <f t="shared" si="167"/>
        <v>423</v>
      </c>
      <c r="L1700" s="1" t="str">
        <f t="shared" si="162"/>
        <v>Normal</v>
      </c>
      <c r="M1700" s="2">
        <f t="shared" si="163"/>
        <v>30.75</v>
      </c>
      <c r="N1700" s="1" t="str">
        <f t="shared" si="164"/>
        <v>Lembab</v>
      </c>
      <c r="O1700" t="str">
        <f t="shared" si="165"/>
        <v>Fuzzy</v>
      </c>
      <c r="P1700" t="str">
        <f t="shared" si="166"/>
        <v>Fuzzy</v>
      </c>
    </row>
    <row r="1701" spans="1:16" x14ac:dyDescent="0.35">
      <c r="A1701" t="s">
        <v>1704</v>
      </c>
      <c r="B1701">
        <v>5914</v>
      </c>
      <c r="C1701">
        <v>28</v>
      </c>
      <c r="D1701">
        <v>67</v>
      </c>
      <c r="E1701">
        <v>787</v>
      </c>
      <c r="F1701">
        <v>4</v>
      </c>
      <c r="K1701" s="1">
        <f t="shared" si="167"/>
        <v>787</v>
      </c>
      <c r="L1701" s="1" t="str">
        <f t="shared" si="162"/>
        <v>Normal</v>
      </c>
      <c r="M1701" s="2">
        <f t="shared" si="163"/>
        <v>26.934984520123841</v>
      </c>
      <c r="N1701" s="1" t="str">
        <f t="shared" si="164"/>
        <v>Kering</v>
      </c>
      <c r="O1701" t="str">
        <f t="shared" si="165"/>
        <v>Fuzzy</v>
      </c>
      <c r="P1701" t="str">
        <f t="shared" si="166"/>
        <v>Fuzzy</v>
      </c>
    </row>
    <row r="1702" spans="1:16" x14ac:dyDescent="0.35">
      <c r="A1702" t="s">
        <v>1705</v>
      </c>
      <c r="B1702">
        <v>5915</v>
      </c>
      <c r="C1702">
        <v>28</v>
      </c>
      <c r="D1702">
        <v>66</v>
      </c>
      <c r="E1702">
        <v>554</v>
      </c>
      <c r="F1702">
        <v>3</v>
      </c>
      <c r="K1702" s="1">
        <f t="shared" si="167"/>
        <v>554</v>
      </c>
      <c r="L1702" s="1" t="str">
        <f t="shared" si="162"/>
        <v>Normal</v>
      </c>
      <c r="M1702" s="2">
        <f t="shared" si="163"/>
        <v>63.5</v>
      </c>
      <c r="N1702" s="1" t="str">
        <f t="shared" si="164"/>
        <v>Lembab</v>
      </c>
      <c r="O1702" t="str">
        <f t="shared" si="165"/>
        <v>Fuzzy</v>
      </c>
      <c r="P1702" t="str">
        <f t="shared" si="166"/>
        <v>Fuzzy</v>
      </c>
    </row>
    <row r="1703" spans="1:16" x14ac:dyDescent="0.35">
      <c r="A1703" t="s">
        <v>1706</v>
      </c>
      <c r="B1703">
        <v>5916</v>
      </c>
      <c r="C1703">
        <v>28</v>
      </c>
      <c r="D1703">
        <v>66</v>
      </c>
      <c r="E1703">
        <v>644</v>
      </c>
      <c r="F1703">
        <v>3</v>
      </c>
      <c r="K1703" s="1">
        <f t="shared" si="167"/>
        <v>644</v>
      </c>
      <c r="L1703" s="1" t="str">
        <f t="shared" si="162"/>
        <v>Normal</v>
      </c>
      <c r="M1703" s="2">
        <f t="shared" si="163"/>
        <v>86</v>
      </c>
      <c r="N1703" s="1" t="str">
        <f t="shared" si="164"/>
        <v>Basah</v>
      </c>
      <c r="O1703" t="str">
        <f t="shared" si="165"/>
        <v>Fuzzy</v>
      </c>
      <c r="P1703" t="str">
        <f t="shared" si="166"/>
        <v>Fuzzy</v>
      </c>
    </row>
    <row r="1704" spans="1:16" x14ac:dyDescent="0.35">
      <c r="A1704" t="s">
        <v>1707</v>
      </c>
      <c r="B1704">
        <v>5917</v>
      </c>
      <c r="C1704">
        <v>28</v>
      </c>
      <c r="D1704">
        <v>66</v>
      </c>
      <c r="E1704">
        <v>592</v>
      </c>
      <c r="F1704">
        <v>4</v>
      </c>
      <c r="K1704" s="1">
        <f t="shared" si="167"/>
        <v>592</v>
      </c>
      <c r="L1704" s="1" t="str">
        <f t="shared" si="162"/>
        <v>Normal</v>
      </c>
      <c r="M1704" s="2">
        <f t="shared" si="163"/>
        <v>73</v>
      </c>
      <c r="N1704" s="1" t="str">
        <f t="shared" si="164"/>
        <v>Basah</v>
      </c>
      <c r="O1704" t="str">
        <f t="shared" si="165"/>
        <v>Fuzzy</v>
      </c>
      <c r="P1704" t="str">
        <f t="shared" si="166"/>
        <v>Fuzzy</v>
      </c>
    </row>
    <row r="1705" spans="1:16" x14ac:dyDescent="0.35">
      <c r="A1705" t="s">
        <v>1708</v>
      </c>
      <c r="B1705">
        <v>5918</v>
      </c>
      <c r="C1705">
        <v>28</v>
      </c>
      <c r="D1705">
        <v>67</v>
      </c>
      <c r="E1705">
        <v>543</v>
      </c>
      <c r="F1705">
        <v>4</v>
      </c>
      <c r="K1705" s="1">
        <f t="shared" si="167"/>
        <v>543</v>
      </c>
      <c r="L1705" s="1" t="str">
        <f t="shared" si="162"/>
        <v>Normal</v>
      </c>
      <c r="M1705" s="2">
        <f t="shared" si="163"/>
        <v>60.750000000000007</v>
      </c>
      <c r="N1705" s="1" t="str">
        <f t="shared" si="164"/>
        <v>Lembab</v>
      </c>
      <c r="O1705" t="str">
        <f t="shared" si="165"/>
        <v>Fuzzy</v>
      </c>
      <c r="P1705" t="str">
        <f t="shared" si="166"/>
        <v>Fuzzy</v>
      </c>
    </row>
    <row r="1706" spans="1:16" x14ac:dyDescent="0.35">
      <c r="A1706" t="s">
        <v>1709</v>
      </c>
      <c r="B1706">
        <v>5919</v>
      </c>
      <c r="C1706">
        <v>28</v>
      </c>
      <c r="D1706">
        <v>67</v>
      </c>
      <c r="E1706">
        <v>495</v>
      </c>
      <c r="F1706">
        <v>4</v>
      </c>
      <c r="K1706" s="1">
        <f t="shared" si="167"/>
        <v>495</v>
      </c>
      <c r="L1706" s="1" t="str">
        <f t="shared" si="162"/>
        <v>Normal</v>
      </c>
      <c r="M1706" s="2">
        <f t="shared" si="163"/>
        <v>48.75</v>
      </c>
      <c r="N1706" s="1" t="str">
        <f t="shared" si="164"/>
        <v>Lembab</v>
      </c>
      <c r="O1706" t="str">
        <f t="shared" si="165"/>
        <v>Fuzzy</v>
      </c>
      <c r="P1706" t="str">
        <f t="shared" si="166"/>
        <v>Fuzzy</v>
      </c>
    </row>
    <row r="1707" spans="1:16" x14ac:dyDescent="0.35">
      <c r="A1707" t="s">
        <v>1710</v>
      </c>
      <c r="B1707">
        <v>5920</v>
      </c>
      <c r="C1707">
        <v>28</v>
      </c>
      <c r="D1707">
        <v>67</v>
      </c>
      <c r="E1707">
        <v>611</v>
      </c>
      <c r="F1707">
        <v>3</v>
      </c>
      <c r="K1707" s="1">
        <f t="shared" si="167"/>
        <v>611</v>
      </c>
      <c r="L1707" s="1" t="str">
        <f t="shared" si="162"/>
        <v>Normal</v>
      </c>
      <c r="M1707" s="2">
        <f t="shared" si="163"/>
        <v>77.75</v>
      </c>
      <c r="N1707" s="1" t="str">
        <f t="shared" si="164"/>
        <v>Basah</v>
      </c>
      <c r="O1707" t="str">
        <f t="shared" si="165"/>
        <v>Fuzzy</v>
      </c>
      <c r="P1707" t="str">
        <f t="shared" si="166"/>
        <v>Fuzzy</v>
      </c>
    </row>
    <row r="1708" spans="1:16" x14ac:dyDescent="0.35">
      <c r="A1708" t="s">
        <v>1711</v>
      </c>
      <c r="B1708">
        <v>5921</v>
      </c>
      <c r="C1708">
        <v>28</v>
      </c>
      <c r="D1708">
        <v>67</v>
      </c>
      <c r="E1708">
        <v>524</v>
      </c>
      <c r="F1708">
        <v>4</v>
      </c>
      <c r="K1708" s="1">
        <f t="shared" si="167"/>
        <v>524</v>
      </c>
      <c r="L1708" s="1" t="str">
        <f t="shared" si="162"/>
        <v>Normal</v>
      </c>
      <c r="M1708" s="2">
        <f t="shared" si="163"/>
        <v>56.000000000000007</v>
      </c>
      <c r="N1708" s="1" t="str">
        <f t="shared" si="164"/>
        <v>Lembab</v>
      </c>
      <c r="O1708" t="str">
        <f t="shared" si="165"/>
        <v>Fuzzy</v>
      </c>
      <c r="P1708" t="str">
        <f t="shared" si="166"/>
        <v>Fuzzy</v>
      </c>
    </row>
    <row r="1709" spans="1:16" x14ac:dyDescent="0.35">
      <c r="A1709" t="s">
        <v>1712</v>
      </c>
      <c r="B1709">
        <v>5922</v>
      </c>
      <c r="C1709">
        <v>28</v>
      </c>
      <c r="D1709">
        <v>68</v>
      </c>
      <c r="E1709">
        <v>475</v>
      </c>
      <c r="F1709">
        <v>3</v>
      </c>
      <c r="K1709" s="1">
        <f t="shared" si="167"/>
        <v>475</v>
      </c>
      <c r="L1709" s="1" t="str">
        <f t="shared" si="162"/>
        <v>Normal</v>
      </c>
      <c r="M1709" s="2">
        <f t="shared" si="163"/>
        <v>43.75</v>
      </c>
      <c r="N1709" s="1" t="str">
        <f t="shared" si="164"/>
        <v>Lembab</v>
      </c>
      <c r="O1709" t="str">
        <f t="shared" si="165"/>
        <v>Fuzzy</v>
      </c>
      <c r="P1709" t="str">
        <f t="shared" si="166"/>
        <v>Fuzzy</v>
      </c>
    </row>
    <row r="1710" spans="1:16" x14ac:dyDescent="0.35">
      <c r="A1710" t="s">
        <v>1713</v>
      </c>
      <c r="B1710">
        <v>5923</v>
      </c>
      <c r="C1710">
        <v>28</v>
      </c>
      <c r="D1710">
        <v>68</v>
      </c>
      <c r="E1710">
        <v>520</v>
      </c>
      <c r="F1710">
        <v>4</v>
      </c>
      <c r="K1710" s="1">
        <f t="shared" si="167"/>
        <v>520</v>
      </c>
      <c r="L1710" s="1" t="str">
        <f t="shared" si="162"/>
        <v>Normal</v>
      </c>
      <c r="M1710" s="2">
        <f t="shared" si="163"/>
        <v>55.000000000000007</v>
      </c>
      <c r="N1710" s="1" t="str">
        <f t="shared" si="164"/>
        <v>Lembab</v>
      </c>
      <c r="O1710" t="str">
        <f t="shared" si="165"/>
        <v>Fuzzy</v>
      </c>
      <c r="P1710" t="str">
        <f t="shared" si="166"/>
        <v>Fuzzy</v>
      </c>
    </row>
    <row r="1711" spans="1:16" x14ac:dyDescent="0.35">
      <c r="A1711" t="s">
        <v>1714</v>
      </c>
      <c r="B1711">
        <v>5924</v>
      </c>
      <c r="C1711">
        <v>28</v>
      </c>
      <c r="D1711">
        <v>68</v>
      </c>
      <c r="E1711">
        <v>555</v>
      </c>
      <c r="F1711">
        <v>4</v>
      </c>
      <c r="K1711" s="1">
        <f t="shared" si="167"/>
        <v>555</v>
      </c>
      <c r="L1711" s="1" t="str">
        <f t="shared" si="162"/>
        <v>Normal</v>
      </c>
      <c r="M1711" s="2">
        <f t="shared" si="163"/>
        <v>63.749999999999993</v>
      </c>
      <c r="N1711" s="1" t="str">
        <f t="shared" si="164"/>
        <v>Lembab</v>
      </c>
      <c r="O1711" t="str">
        <f t="shared" si="165"/>
        <v>Fuzzy</v>
      </c>
      <c r="P1711" t="str">
        <f t="shared" si="166"/>
        <v>Fuzzy</v>
      </c>
    </row>
    <row r="1712" spans="1:16" x14ac:dyDescent="0.35">
      <c r="A1712" t="s">
        <v>1715</v>
      </c>
      <c r="B1712">
        <v>5925</v>
      </c>
      <c r="C1712">
        <v>28</v>
      </c>
      <c r="D1712">
        <v>68</v>
      </c>
      <c r="E1712">
        <v>520</v>
      </c>
      <c r="F1712">
        <v>4</v>
      </c>
      <c r="K1712" s="1">
        <f t="shared" si="167"/>
        <v>520</v>
      </c>
      <c r="L1712" s="1" t="str">
        <f t="shared" si="162"/>
        <v>Normal</v>
      </c>
      <c r="M1712" s="2">
        <f t="shared" si="163"/>
        <v>55.000000000000007</v>
      </c>
      <c r="N1712" s="1" t="str">
        <f t="shared" si="164"/>
        <v>Lembab</v>
      </c>
      <c r="O1712" t="str">
        <f t="shared" si="165"/>
        <v>Fuzzy</v>
      </c>
      <c r="P1712" t="str">
        <f t="shared" si="166"/>
        <v>Fuzzy</v>
      </c>
    </row>
    <row r="1713" spans="1:16" x14ac:dyDescent="0.35">
      <c r="A1713" t="s">
        <v>1716</v>
      </c>
      <c r="B1713">
        <v>5926</v>
      </c>
      <c r="C1713">
        <v>28</v>
      </c>
      <c r="D1713">
        <v>69</v>
      </c>
      <c r="E1713">
        <v>522</v>
      </c>
      <c r="F1713">
        <v>4</v>
      </c>
      <c r="K1713" s="1">
        <f t="shared" si="167"/>
        <v>522</v>
      </c>
      <c r="L1713" s="1" t="str">
        <f t="shared" si="162"/>
        <v>Normal</v>
      </c>
      <c r="M1713" s="2">
        <f t="shared" si="163"/>
        <v>55.500000000000007</v>
      </c>
      <c r="N1713" s="1" t="str">
        <f t="shared" si="164"/>
        <v>Lembab</v>
      </c>
      <c r="O1713" t="str">
        <f t="shared" si="165"/>
        <v>Fuzzy</v>
      </c>
      <c r="P1713" t="str">
        <f t="shared" si="166"/>
        <v>Fuzzy</v>
      </c>
    </row>
    <row r="1714" spans="1:16" x14ac:dyDescent="0.35">
      <c r="A1714" t="s">
        <v>1717</v>
      </c>
      <c r="B1714">
        <v>5927</v>
      </c>
      <c r="C1714">
        <v>28</v>
      </c>
      <c r="D1714">
        <v>68</v>
      </c>
      <c r="E1714">
        <v>513</v>
      </c>
      <c r="F1714">
        <v>4</v>
      </c>
      <c r="K1714" s="1">
        <f t="shared" si="167"/>
        <v>513</v>
      </c>
      <c r="L1714" s="1" t="str">
        <f t="shared" si="162"/>
        <v>Normal</v>
      </c>
      <c r="M1714" s="2">
        <f t="shared" si="163"/>
        <v>53.25</v>
      </c>
      <c r="N1714" s="1" t="str">
        <f t="shared" si="164"/>
        <v>Lembab</v>
      </c>
      <c r="O1714" t="str">
        <f t="shared" si="165"/>
        <v>Fuzzy</v>
      </c>
      <c r="P1714" t="str">
        <f t="shared" si="166"/>
        <v>Fuzzy</v>
      </c>
    </row>
    <row r="1715" spans="1:16" x14ac:dyDescent="0.35">
      <c r="A1715" t="s">
        <v>1718</v>
      </c>
      <c r="B1715">
        <v>5928</v>
      </c>
      <c r="C1715">
        <v>28</v>
      </c>
      <c r="D1715">
        <v>68</v>
      </c>
      <c r="E1715">
        <v>492</v>
      </c>
      <c r="F1715">
        <v>4</v>
      </c>
      <c r="K1715" s="1">
        <f t="shared" si="167"/>
        <v>492</v>
      </c>
      <c r="L1715" s="1" t="str">
        <f t="shared" si="162"/>
        <v>Normal</v>
      </c>
      <c r="M1715" s="2">
        <f t="shared" si="163"/>
        <v>48</v>
      </c>
      <c r="N1715" s="1" t="str">
        <f t="shared" si="164"/>
        <v>Lembab</v>
      </c>
      <c r="O1715" t="str">
        <f t="shared" si="165"/>
        <v>Fuzzy</v>
      </c>
      <c r="P1715" t="str">
        <f t="shared" si="166"/>
        <v>Fuzzy</v>
      </c>
    </row>
    <row r="1716" spans="1:16" x14ac:dyDescent="0.35">
      <c r="A1716" t="s">
        <v>1719</v>
      </c>
      <c r="B1716">
        <v>5929</v>
      </c>
      <c r="C1716">
        <v>28</v>
      </c>
      <c r="D1716">
        <v>69</v>
      </c>
      <c r="E1716">
        <v>523</v>
      </c>
      <c r="F1716">
        <v>3</v>
      </c>
      <c r="K1716" s="1">
        <f t="shared" si="167"/>
        <v>523</v>
      </c>
      <c r="L1716" s="1" t="str">
        <f t="shared" si="162"/>
        <v>Normal</v>
      </c>
      <c r="M1716" s="2">
        <f t="shared" si="163"/>
        <v>55.75</v>
      </c>
      <c r="N1716" s="1" t="str">
        <f t="shared" si="164"/>
        <v>Lembab</v>
      </c>
      <c r="O1716" t="str">
        <f t="shared" si="165"/>
        <v>Fuzzy</v>
      </c>
      <c r="P1716" t="str">
        <f t="shared" si="166"/>
        <v>Fuzzy</v>
      </c>
    </row>
    <row r="1717" spans="1:16" x14ac:dyDescent="0.35">
      <c r="A1717" t="s">
        <v>1720</v>
      </c>
      <c r="B1717">
        <v>5930</v>
      </c>
      <c r="C1717">
        <v>28</v>
      </c>
      <c r="D1717">
        <v>69</v>
      </c>
      <c r="E1717">
        <v>561</v>
      </c>
      <c r="F1717">
        <v>4</v>
      </c>
      <c r="K1717" s="1">
        <f t="shared" si="167"/>
        <v>561</v>
      </c>
      <c r="L1717" s="1" t="str">
        <f t="shared" si="162"/>
        <v>Normal</v>
      </c>
      <c r="M1717" s="2">
        <f t="shared" si="163"/>
        <v>65.25</v>
      </c>
      <c r="N1717" s="1" t="str">
        <f t="shared" si="164"/>
        <v>Lembab</v>
      </c>
      <c r="O1717" t="str">
        <f t="shared" si="165"/>
        <v>Fuzzy</v>
      </c>
      <c r="P1717" t="str">
        <f t="shared" si="166"/>
        <v>Fuzzy</v>
      </c>
    </row>
    <row r="1718" spans="1:16" x14ac:dyDescent="0.35">
      <c r="A1718" t="s">
        <v>1721</v>
      </c>
      <c r="B1718">
        <v>5931</v>
      </c>
      <c r="C1718">
        <v>28</v>
      </c>
      <c r="D1718">
        <v>69</v>
      </c>
      <c r="E1718">
        <v>479</v>
      </c>
      <c r="F1718">
        <v>4</v>
      </c>
      <c r="K1718" s="1">
        <f t="shared" si="167"/>
        <v>479</v>
      </c>
      <c r="L1718" s="1" t="str">
        <f t="shared" si="162"/>
        <v>Normal</v>
      </c>
      <c r="M1718" s="2">
        <f t="shared" si="163"/>
        <v>44.75</v>
      </c>
      <c r="N1718" s="1" t="str">
        <f t="shared" si="164"/>
        <v>Lembab</v>
      </c>
      <c r="O1718" t="str">
        <f t="shared" si="165"/>
        <v>Fuzzy</v>
      </c>
      <c r="P1718" t="str">
        <f t="shared" si="166"/>
        <v>Fuzzy</v>
      </c>
    </row>
    <row r="1719" spans="1:16" x14ac:dyDescent="0.35">
      <c r="A1719" t="s">
        <v>1722</v>
      </c>
      <c r="B1719">
        <v>5932</v>
      </c>
      <c r="C1719">
        <v>28</v>
      </c>
      <c r="D1719">
        <v>69</v>
      </c>
      <c r="E1719">
        <v>497</v>
      </c>
      <c r="F1719">
        <v>4</v>
      </c>
      <c r="K1719" s="1">
        <f t="shared" si="167"/>
        <v>497</v>
      </c>
      <c r="L1719" s="1" t="str">
        <f t="shared" si="162"/>
        <v>Normal</v>
      </c>
      <c r="M1719" s="2">
        <f t="shared" si="163"/>
        <v>49.25</v>
      </c>
      <c r="N1719" s="1" t="str">
        <f t="shared" si="164"/>
        <v>Lembab</v>
      </c>
      <c r="O1719" t="str">
        <f t="shared" si="165"/>
        <v>Fuzzy</v>
      </c>
      <c r="P1719" t="str">
        <f t="shared" si="166"/>
        <v>Fuzzy</v>
      </c>
    </row>
    <row r="1720" spans="1:16" x14ac:dyDescent="0.35">
      <c r="A1720" t="s">
        <v>1723</v>
      </c>
      <c r="B1720">
        <v>5933</v>
      </c>
      <c r="C1720">
        <v>28</v>
      </c>
      <c r="D1720">
        <v>68</v>
      </c>
      <c r="E1720">
        <v>825</v>
      </c>
      <c r="F1720">
        <v>4</v>
      </c>
      <c r="K1720" s="1">
        <f t="shared" si="167"/>
        <v>825</v>
      </c>
      <c r="L1720" s="1" t="str">
        <f t="shared" si="162"/>
        <v>Normal</v>
      </c>
      <c r="M1720" s="2">
        <f t="shared" si="163"/>
        <v>38.699690402476783</v>
      </c>
      <c r="N1720" s="1" t="str">
        <f t="shared" si="164"/>
        <v>Lembab</v>
      </c>
      <c r="O1720" t="str">
        <f t="shared" si="165"/>
        <v>Fuzzy</v>
      </c>
      <c r="P1720" t="str">
        <f t="shared" si="166"/>
        <v>Fuzzy</v>
      </c>
    </row>
    <row r="1721" spans="1:16" x14ac:dyDescent="0.35">
      <c r="A1721" t="s">
        <v>1724</v>
      </c>
      <c r="B1721">
        <v>5934</v>
      </c>
      <c r="C1721">
        <v>28</v>
      </c>
      <c r="D1721">
        <v>68</v>
      </c>
      <c r="E1721">
        <v>512</v>
      </c>
      <c r="F1721">
        <v>4</v>
      </c>
      <c r="K1721" s="1">
        <f t="shared" si="167"/>
        <v>512</v>
      </c>
      <c r="L1721" s="1" t="str">
        <f t="shared" si="162"/>
        <v>Normal</v>
      </c>
      <c r="M1721" s="2">
        <f t="shared" si="163"/>
        <v>53</v>
      </c>
      <c r="N1721" s="1" t="str">
        <f t="shared" si="164"/>
        <v>Lembab</v>
      </c>
      <c r="O1721" t="str">
        <f t="shared" si="165"/>
        <v>Fuzzy</v>
      </c>
      <c r="P1721" t="str">
        <f t="shared" si="166"/>
        <v>Fuzzy</v>
      </c>
    </row>
    <row r="1722" spans="1:16" x14ac:dyDescent="0.35">
      <c r="A1722" t="s">
        <v>1725</v>
      </c>
      <c r="B1722">
        <v>5935</v>
      </c>
      <c r="C1722">
        <v>28</v>
      </c>
      <c r="D1722">
        <v>69</v>
      </c>
      <c r="E1722">
        <v>348</v>
      </c>
      <c r="F1722">
        <v>5</v>
      </c>
      <c r="K1722" s="1">
        <f t="shared" si="167"/>
        <v>348</v>
      </c>
      <c r="L1722" s="1" t="str">
        <f t="shared" si="162"/>
        <v>Normal</v>
      </c>
      <c r="M1722" s="2">
        <f t="shared" si="163"/>
        <v>12</v>
      </c>
      <c r="N1722" s="1" t="str">
        <f t="shared" si="164"/>
        <v>Kering</v>
      </c>
      <c r="O1722" t="str">
        <f t="shared" si="165"/>
        <v>Fuzzy</v>
      </c>
      <c r="P1722" t="str">
        <f t="shared" si="166"/>
        <v>Fuzzy</v>
      </c>
    </row>
    <row r="1723" spans="1:16" x14ac:dyDescent="0.35">
      <c r="A1723" t="s">
        <v>1726</v>
      </c>
      <c r="B1723">
        <v>5936</v>
      </c>
      <c r="C1723">
        <v>28</v>
      </c>
      <c r="D1723">
        <v>69</v>
      </c>
      <c r="E1723">
        <v>526</v>
      </c>
      <c r="F1723">
        <v>4</v>
      </c>
      <c r="K1723" s="1">
        <f t="shared" si="167"/>
        <v>526</v>
      </c>
      <c r="L1723" s="1" t="str">
        <f t="shared" si="162"/>
        <v>Normal</v>
      </c>
      <c r="M1723" s="2">
        <f t="shared" si="163"/>
        <v>56.499999999999993</v>
      </c>
      <c r="N1723" s="1" t="str">
        <f t="shared" si="164"/>
        <v>Lembab</v>
      </c>
      <c r="O1723" t="str">
        <f t="shared" si="165"/>
        <v>Fuzzy</v>
      </c>
      <c r="P1723" t="str">
        <f t="shared" si="166"/>
        <v>Fuzzy</v>
      </c>
    </row>
    <row r="1724" spans="1:16" x14ac:dyDescent="0.35">
      <c r="A1724" t="s">
        <v>1727</v>
      </c>
      <c r="B1724">
        <v>5937</v>
      </c>
      <c r="C1724">
        <v>28</v>
      </c>
      <c r="D1724">
        <v>69</v>
      </c>
      <c r="E1724">
        <v>489</v>
      </c>
      <c r="F1724">
        <v>3</v>
      </c>
      <c r="K1724" s="1">
        <f t="shared" si="167"/>
        <v>489</v>
      </c>
      <c r="L1724" s="1" t="str">
        <f t="shared" si="162"/>
        <v>Normal</v>
      </c>
      <c r="M1724" s="2">
        <f t="shared" si="163"/>
        <v>47.25</v>
      </c>
      <c r="N1724" s="1" t="str">
        <f t="shared" si="164"/>
        <v>Lembab</v>
      </c>
      <c r="O1724" t="str">
        <f t="shared" si="165"/>
        <v>Fuzzy</v>
      </c>
      <c r="P1724" t="str">
        <f t="shared" si="166"/>
        <v>Fuzzy</v>
      </c>
    </row>
    <row r="1725" spans="1:16" x14ac:dyDescent="0.35">
      <c r="A1725" t="s">
        <v>1728</v>
      </c>
      <c r="B1725">
        <v>5938</v>
      </c>
      <c r="C1725">
        <v>28</v>
      </c>
      <c r="D1725">
        <v>68</v>
      </c>
      <c r="E1725">
        <v>541</v>
      </c>
      <c r="F1725">
        <v>3</v>
      </c>
      <c r="K1725" s="1">
        <f t="shared" si="167"/>
        <v>541</v>
      </c>
      <c r="L1725" s="1" t="str">
        <f t="shared" si="162"/>
        <v>Normal</v>
      </c>
      <c r="M1725" s="2">
        <f t="shared" si="163"/>
        <v>60.25</v>
      </c>
      <c r="N1725" s="1" t="str">
        <f t="shared" si="164"/>
        <v>Lembab</v>
      </c>
      <c r="O1725" t="str">
        <f t="shared" si="165"/>
        <v>Fuzzy</v>
      </c>
      <c r="P1725" t="str">
        <f t="shared" si="166"/>
        <v>Fuzzy</v>
      </c>
    </row>
    <row r="1726" spans="1:16" x14ac:dyDescent="0.35">
      <c r="A1726" t="s">
        <v>1729</v>
      </c>
      <c r="B1726">
        <v>5939</v>
      </c>
      <c r="C1726">
        <v>28</v>
      </c>
      <c r="D1726">
        <v>67</v>
      </c>
      <c r="E1726">
        <v>451</v>
      </c>
      <c r="F1726">
        <v>4</v>
      </c>
      <c r="K1726" s="1">
        <f t="shared" si="167"/>
        <v>451</v>
      </c>
      <c r="L1726" s="1" t="str">
        <f t="shared" si="162"/>
        <v>Normal</v>
      </c>
      <c r="M1726" s="2">
        <f t="shared" si="163"/>
        <v>37.75</v>
      </c>
      <c r="N1726" s="1" t="str">
        <f t="shared" si="164"/>
        <v>Lembab</v>
      </c>
      <c r="O1726" t="str">
        <f t="shared" si="165"/>
        <v>Fuzzy</v>
      </c>
      <c r="P1726" t="str">
        <f t="shared" si="166"/>
        <v>Fuzzy</v>
      </c>
    </row>
    <row r="1727" spans="1:16" x14ac:dyDescent="0.35">
      <c r="A1727" t="s">
        <v>1730</v>
      </c>
      <c r="B1727">
        <v>5940</v>
      </c>
      <c r="C1727">
        <v>28</v>
      </c>
      <c r="D1727">
        <v>66</v>
      </c>
      <c r="E1727">
        <v>537</v>
      </c>
      <c r="F1727">
        <v>4</v>
      </c>
      <c r="K1727" s="1">
        <f t="shared" si="167"/>
        <v>537</v>
      </c>
      <c r="L1727" s="1" t="str">
        <f t="shared" si="162"/>
        <v>Normal</v>
      </c>
      <c r="M1727" s="2">
        <f t="shared" si="163"/>
        <v>59.25</v>
      </c>
      <c r="N1727" s="1" t="str">
        <f t="shared" si="164"/>
        <v>Lembab</v>
      </c>
      <c r="O1727" t="str">
        <f t="shared" si="165"/>
        <v>Fuzzy</v>
      </c>
      <c r="P1727" t="str">
        <f t="shared" si="166"/>
        <v>Fuzzy</v>
      </c>
    </row>
    <row r="1728" spans="1:16" x14ac:dyDescent="0.35">
      <c r="A1728" t="s">
        <v>1731</v>
      </c>
      <c r="B1728">
        <v>5941</v>
      </c>
      <c r="C1728">
        <v>28</v>
      </c>
      <c r="D1728">
        <v>66</v>
      </c>
      <c r="E1728">
        <v>534</v>
      </c>
      <c r="F1728">
        <v>4</v>
      </c>
      <c r="K1728" s="1">
        <f t="shared" si="167"/>
        <v>534</v>
      </c>
      <c r="L1728" s="1" t="str">
        <f t="shared" si="162"/>
        <v>Normal</v>
      </c>
      <c r="M1728" s="2">
        <f t="shared" si="163"/>
        <v>58.5</v>
      </c>
      <c r="N1728" s="1" t="str">
        <f t="shared" si="164"/>
        <v>Lembab</v>
      </c>
      <c r="O1728" t="str">
        <f t="shared" si="165"/>
        <v>Fuzzy</v>
      </c>
      <c r="P1728" t="str">
        <f t="shared" si="166"/>
        <v>Fuzzy</v>
      </c>
    </row>
    <row r="1729" spans="1:16" x14ac:dyDescent="0.35">
      <c r="A1729" t="s">
        <v>1732</v>
      </c>
      <c r="B1729">
        <v>5942</v>
      </c>
      <c r="C1729">
        <v>28</v>
      </c>
      <c r="D1729">
        <v>66</v>
      </c>
      <c r="E1729">
        <v>464</v>
      </c>
      <c r="F1729">
        <v>4</v>
      </c>
      <c r="K1729" s="1">
        <f t="shared" si="167"/>
        <v>464</v>
      </c>
      <c r="L1729" s="1" t="str">
        <f t="shared" si="162"/>
        <v>Normal</v>
      </c>
      <c r="M1729" s="2">
        <f t="shared" si="163"/>
        <v>41</v>
      </c>
      <c r="N1729" s="1" t="str">
        <f t="shared" si="164"/>
        <v>Lembab</v>
      </c>
      <c r="O1729" t="str">
        <f t="shared" si="165"/>
        <v>Fuzzy</v>
      </c>
      <c r="P1729" t="str">
        <f t="shared" si="166"/>
        <v>Fuzzy</v>
      </c>
    </row>
    <row r="1730" spans="1:16" x14ac:dyDescent="0.35">
      <c r="A1730" t="s">
        <v>1733</v>
      </c>
      <c r="B1730">
        <v>5943</v>
      </c>
      <c r="C1730">
        <v>28</v>
      </c>
      <c r="D1730">
        <v>67</v>
      </c>
      <c r="E1730">
        <v>480</v>
      </c>
      <c r="F1730">
        <v>3</v>
      </c>
      <c r="K1730" s="1">
        <f t="shared" si="167"/>
        <v>480</v>
      </c>
      <c r="L1730" s="1" t="str">
        <f t="shared" si="162"/>
        <v>Normal</v>
      </c>
      <c r="M1730" s="2">
        <f t="shared" si="163"/>
        <v>45</v>
      </c>
      <c r="N1730" s="1" t="str">
        <f t="shared" si="164"/>
        <v>Lembab</v>
      </c>
      <c r="O1730" t="str">
        <f t="shared" si="165"/>
        <v>Fuzzy</v>
      </c>
      <c r="P1730" t="str">
        <f t="shared" si="166"/>
        <v>Fuzzy</v>
      </c>
    </row>
    <row r="1731" spans="1:16" x14ac:dyDescent="0.35">
      <c r="A1731" t="s">
        <v>1734</v>
      </c>
      <c r="B1731">
        <v>5944</v>
      </c>
      <c r="C1731">
        <v>28</v>
      </c>
      <c r="D1731">
        <v>67</v>
      </c>
      <c r="E1731">
        <v>555</v>
      </c>
      <c r="F1731">
        <v>4</v>
      </c>
      <c r="K1731" s="1">
        <f t="shared" si="167"/>
        <v>555</v>
      </c>
      <c r="L1731" s="1" t="str">
        <f t="shared" ref="L1731:L1794" si="168">IF(A1730 &lt;= 10, "Dingin", IF(OR(A1730 &gt;= 10, A1730 &lt; 35), "Normal", "Panas"))</f>
        <v>Normal</v>
      </c>
      <c r="M1731" s="2">
        <f t="shared" ref="M1731:M1794" si="169">IF(K1731&lt;=300, K1731/1023*100, IF(K1731&lt;=700, (K1731-300)/(700-301+1)*100, (K1731-700)/(1023-701+1)*100))</f>
        <v>63.749999999999993</v>
      </c>
      <c r="N1731" s="1" t="str">
        <f t="shared" ref="N1731:N1794" si="170">IF(M1731&lt;=29.32, "Kering", IF(M1731&lt;=68.53, "Lembab", "Basah"))</f>
        <v>Lembab</v>
      </c>
      <c r="O1731" t="str">
        <f t="shared" ref="O1731:O1794" si="171">IF(OR(AND(C1731 &gt; 10, C1731 &lt; 22.5), AND(C1731 &gt;= 22.5, C1731 &lt; 35)), "Fuzzy", "")</f>
        <v>Fuzzy</v>
      </c>
      <c r="P1731" t="str">
        <f t="shared" ref="P1731:P1794" si="172">IF(OR(AND(M1731 &gt;= 0, M1731 &lt; 50), AND(M1731 &gt;= 50, M1731 &lt; 100)), "Fuzzy", "")</f>
        <v>Fuzzy</v>
      </c>
    </row>
    <row r="1732" spans="1:16" x14ac:dyDescent="0.35">
      <c r="A1732" t="s">
        <v>1735</v>
      </c>
      <c r="B1732">
        <v>5945</v>
      </c>
      <c r="C1732">
        <v>28</v>
      </c>
      <c r="D1732">
        <v>68</v>
      </c>
      <c r="E1732">
        <v>518</v>
      </c>
      <c r="F1732">
        <v>4</v>
      </c>
      <c r="K1732" s="1">
        <f t="shared" si="167"/>
        <v>518</v>
      </c>
      <c r="L1732" s="1" t="str">
        <f t="shared" si="168"/>
        <v>Normal</v>
      </c>
      <c r="M1732" s="2">
        <f t="shared" si="169"/>
        <v>54.500000000000007</v>
      </c>
      <c r="N1732" s="1" t="str">
        <f t="shared" si="170"/>
        <v>Lembab</v>
      </c>
      <c r="O1732" t="str">
        <f t="shared" si="171"/>
        <v>Fuzzy</v>
      </c>
      <c r="P1732" t="str">
        <f t="shared" si="172"/>
        <v>Fuzzy</v>
      </c>
    </row>
    <row r="1733" spans="1:16" x14ac:dyDescent="0.35">
      <c r="A1733" t="s">
        <v>1736</v>
      </c>
      <c r="B1733">
        <v>5946</v>
      </c>
      <c r="C1733">
        <v>28</v>
      </c>
      <c r="D1733">
        <v>68</v>
      </c>
      <c r="E1733">
        <v>459</v>
      </c>
      <c r="F1733">
        <v>4</v>
      </c>
      <c r="K1733" s="1">
        <f t="shared" si="167"/>
        <v>459</v>
      </c>
      <c r="L1733" s="1" t="str">
        <f t="shared" si="168"/>
        <v>Normal</v>
      </c>
      <c r="M1733" s="2">
        <f t="shared" si="169"/>
        <v>39.75</v>
      </c>
      <c r="N1733" s="1" t="str">
        <f t="shared" si="170"/>
        <v>Lembab</v>
      </c>
      <c r="O1733" t="str">
        <f t="shared" si="171"/>
        <v>Fuzzy</v>
      </c>
      <c r="P1733" t="str">
        <f t="shared" si="172"/>
        <v>Fuzzy</v>
      </c>
    </row>
    <row r="1734" spans="1:16" x14ac:dyDescent="0.35">
      <c r="A1734" t="s">
        <v>1737</v>
      </c>
      <c r="B1734">
        <v>5947</v>
      </c>
      <c r="C1734">
        <v>28</v>
      </c>
      <c r="D1734">
        <v>68</v>
      </c>
      <c r="E1734">
        <v>522</v>
      </c>
      <c r="F1734">
        <v>4</v>
      </c>
      <c r="K1734" s="1">
        <f t="shared" si="167"/>
        <v>522</v>
      </c>
      <c r="L1734" s="1" t="str">
        <f t="shared" si="168"/>
        <v>Normal</v>
      </c>
      <c r="M1734" s="2">
        <f t="shared" si="169"/>
        <v>55.500000000000007</v>
      </c>
      <c r="N1734" s="1" t="str">
        <f t="shared" si="170"/>
        <v>Lembab</v>
      </c>
      <c r="O1734" t="str">
        <f t="shared" si="171"/>
        <v>Fuzzy</v>
      </c>
      <c r="P1734" t="str">
        <f t="shared" si="172"/>
        <v>Fuzzy</v>
      </c>
    </row>
    <row r="1735" spans="1:16" x14ac:dyDescent="0.35">
      <c r="A1735" t="s">
        <v>1738</v>
      </c>
      <c r="B1735">
        <v>5948</v>
      </c>
      <c r="C1735">
        <v>28</v>
      </c>
      <c r="D1735">
        <v>69</v>
      </c>
      <c r="E1735">
        <v>539</v>
      </c>
      <c r="F1735">
        <v>4</v>
      </c>
      <c r="K1735" s="1">
        <f t="shared" si="167"/>
        <v>539</v>
      </c>
      <c r="L1735" s="1" t="str">
        <f t="shared" si="168"/>
        <v>Normal</v>
      </c>
      <c r="M1735" s="2">
        <f t="shared" si="169"/>
        <v>59.75</v>
      </c>
      <c r="N1735" s="1" t="str">
        <f t="shared" si="170"/>
        <v>Lembab</v>
      </c>
      <c r="O1735" t="str">
        <f t="shared" si="171"/>
        <v>Fuzzy</v>
      </c>
      <c r="P1735" t="str">
        <f t="shared" si="172"/>
        <v>Fuzzy</v>
      </c>
    </row>
    <row r="1736" spans="1:16" x14ac:dyDescent="0.35">
      <c r="A1736" t="s">
        <v>1739</v>
      </c>
      <c r="B1736">
        <v>5949</v>
      </c>
      <c r="C1736">
        <v>28</v>
      </c>
      <c r="D1736">
        <v>69</v>
      </c>
      <c r="E1736">
        <v>515</v>
      </c>
      <c r="F1736">
        <v>4</v>
      </c>
      <c r="K1736" s="1">
        <f t="shared" si="167"/>
        <v>515</v>
      </c>
      <c r="L1736" s="1" t="str">
        <f t="shared" si="168"/>
        <v>Normal</v>
      </c>
      <c r="M1736" s="2">
        <f t="shared" si="169"/>
        <v>53.75</v>
      </c>
      <c r="N1736" s="1" t="str">
        <f t="shared" si="170"/>
        <v>Lembab</v>
      </c>
      <c r="O1736" t="str">
        <f t="shared" si="171"/>
        <v>Fuzzy</v>
      </c>
      <c r="P1736" t="str">
        <f t="shared" si="172"/>
        <v>Fuzzy</v>
      </c>
    </row>
    <row r="1737" spans="1:16" x14ac:dyDescent="0.35">
      <c r="A1737" t="s">
        <v>1740</v>
      </c>
      <c r="B1737">
        <v>5950</v>
      </c>
      <c r="C1737">
        <v>28</v>
      </c>
      <c r="D1737">
        <v>69</v>
      </c>
      <c r="E1737">
        <v>493</v>
      </c>
      <c r="F1737">
        <v>3</v>
      </c>
      <c r="K1737" s="1">
        <f t="shared" si="167"/>
        <v>493</v>
      </c>
      <c r="L1737" s="1" t="str">
        <f t="shared" si="168"/>
        <v>Normal</v>
      </c>
      <c r="M1737" s="2">
        <f t="shared" si="169"/>
        <v>48.25</v>
      </c>
      <c r="N1737" s="1" t="str">
        <f t="shared" si="170"/>
        <v>Lembab</v>
      </c>
      <c r="O1737" t="str">
        <f t="shared" si="171"/>
        <v>Fuzzy</v>
      </c>
      <c r="P1737" t="str">
        <f t="shared" si="172"/>
        <v>Fuzzy</v>
      </c>
    </row>
    <row r="1738" spans="1:16" x14ac:dyDescent="0.35">
      <c r="A1738" t="s">
        <v>1741</v>
      </c>
      <c r="B1738">
        <v>5951</v>
      </c>
      <c r="C1738">
        <v>28</v>
      </c>
      <c r="D1738">
        <v>69</v>
      </c>
      <c r="E1738">
        <v>477</v>
      </c>
      <c r="F1738">
        <v>5</v>
      </c>
      <c r="K1738" s="1">
        <f t="shared" si="167"/>
        <v>477</v>
      </c>
      <c r="L1738" s="1" t="str">
        <f t="shared" si="168"/>
        <v>Normal</v>
      </c>
      <c r="M1738" s="2">
        <f t="shared" si="169"/>
        <v>44.25</v>
      </c>
      <c r="N1738" s="1" t="str">
        <f t="shared" si="170"/>
        <v>Lembab</v>
      </c>
      <c r="O1738" t="str">
        <f t="shared" si="171"/>
        <v>Fuzzy</v>
      </c>
      <c r="P1738" t="str">
        <f t="shared" si="172"/>
        <v>Fuzzy</v>
      </c>
    </row>
    <row r="1739" spans="1:16" x14ac:dyDescent="0.35">
      <c r="A1739" t="s">
        <v>1742</v>
      </c>
      <c r="B1739">
        <v>5952</v>
      </c>
      <c r="C1739">
        <v>28</v>
      </c>
      <c r="D1739">
        <v>69</v>
      </c>
      <c r="E1739">
        <v>556</v>
      </c>
      <c r="F1739">
        <v>4</v>
      </c>
      <c r="K1739" s="1">
        <f t="shared" si="167"/>
        <v>556</v>
      </c>
      <c r="L1739" s="1" t="str">
        <f t="shared" si="168"/>
        <v>Normal</v>
      </c>
      <c r="M1739" s="2">
        <f t="shared" si="169"/>
        <v>64</v>
      </c>
      <c r="N1739" s="1" t="str">
        <f t="shared" si="170"/>
        <v>Lembab</v>
      </c>
      <c r="O1739" t="str">
        <f t="shared" si="171"/>
        <v>Fuzzy</v>
      </c>
      <c r="P1739" t="str">
        <f t="shared" si="172"/>
        <v>Fuzzy</v>
      </c>
    </row>
    <row r="1740" spans="1:16" x14ac:dyDescent="0.35">
      <c r="A1740" t="s">
        <v>1743</v>
      </c>
      <c r="B1740">
        <v>5953</v>
      </c>
      <c r="C1740">
        <v>28</v>
      </c>
      <c r="D1740">
        <v>69</v>
      </c>
      <c r="E1740">
        <v>487</v>
      </c>
      <c r="F1740">
        <v>4</v>
      </c>
      <c r="K1740" s="1">
        <f t="shared" si="167"/>
        <v>487</v>
      </c>
      <c r="L1740" s="1" t="str">
        <f t="shared" si="168"/>
        <v>Normal</v>
      </c>
      <c r="M1740" s="2">
        <f t="shared" si="169"/>
        <v>46.75</v>
      </c>
      <c r="N1740" s="1" t="str">
        <f t="shared" si="170"/>
        <v>Lembab</v>
      </c>
      <c r="O1740" t="str">
        <f t="shared" si="171"/>
        <v>Fuzzy</v>
      </c>
      <c r="P1740" t="str">
        <f t="shared" si="172"/>
        <v>Fuzzy</v>
      </c>
    </row>
    <row r="1741" spans="1:16" x14ac:dyDescent="0.35">
      <c r="A1741" t="s">
        <v>1744</v>
      </c>
      <c r="B1741">
        <v>5954</v>
      </c>
      <c r="C1741">
        <v>28</v>
      </c>
      <c r="D1741">
        <v>69</v>
      </c>
      <c r="E1741">
        <v>505</v>
      </c>
      <c r="F1741">
        <v>3</v>
      </c>
      <c r="K1741" s="1">
        <f t="shared" ref="K1741:K1804" si="173">IF(E1741&lt;=1023, E1741, "")</f>
        <v>505</v>
      </c>
      <c r="L1741" s="1" t="str">
        <f t="shared" si="168"/>
        <v>Normal</v>
      </c>
      <c r="M1741" s="2">
        <f t="shared" si="169"/>
        <v>51.249999999999993</v>
      </c>
      <c r="N1741" s="1" t="str">
        <f t="shared" si="170"/>
        <v>Lembab</v>
      </c>
      <c r="O1741" t="str">
        <f t="shared" si="171"/>
        <v>Fuzzy</v>
      </c>
      <c r="P1741" t="str">
        <f t="shared" si="172"/>
        <v>Fuzzy</v>
      </c>
    </row>
    <row r="1742" spans="1:16" x14ac:dyDescent="0.35">
      <c r="A1742" t="s">
        <v>1745</v>
      </c>
      <c r="B1742">
        <v>5955</v>
      </c>
      <c r="C1742">
        <v>28</v>
      </c>
      <c r="D1742">
        <v>69</v>
      </c>
      <c r="E1742">
        <v>476</v>
      </c>
      <c r="F1742">
        <v>3</v>
      </c>
      <c r="K1742" s="1">
        <f t="shared" si="173"/>
        <v>476</v>
      </c>
      <c r="L1742" s="1" t="str">
        <f t="shared" si="168"/>
        <v>Normal</v>
      </c>
      <c r="M1742" s="2">
        <f t="shared" si="169"/>
        <v>44</v>
      </c>
      <c r="N1742" s="1" t="str">
        <f t="shared" si="170"/>
        <v>Lembab</v>
      </c>
      <c r="O1742" t="str">
        <f t="shared" si="171"/>
        <v>Fuzzy</v>
      </c>
      <c r="P1742" t="str">
        <f t="shared" si="172"/>
        <v>Fuzzy</v>
      </c>
    </row>
    <row r="1743" spans="1:16" x14ac:dyDescent="0.35">
      <c r="A1743" t="s">
        <v>1746</v>
      </c>
      <c r="B1743">
        <v>5956</v>
      </c>
      <c r="C1743">
        <v>28</v>
      </c>
      <c r="D1743">
        <v>69</v>
      </c>
      <c r="E1743">
        <v>485</v>
      </c>
      <c r="F1743">
        <v>4</v>
      </c>
      <c r="K1743" s="1">
        <f t="shared" si="173"/>
        <v>485</v>
      </c>
      <c r="L1743" s="1" t="str">
        <f t="shared" si="168"/>
        <v>Normal</v>
      </c>
      <c r="M1743" s="2">
        <f t="shared" si="169"/>
        <v>46.25</v>
      </c>
      <c r="N1743" s="1" t="str">
        <f t="shared" si="170"/>
        <v>Lembab</v>
      </c>
      <c r="O1743" t="str">
        <f t="shared" si="171"/>
        <v>Fuzzy</v>
      </c>
      <c r="P1743" t="str">
        <f t="shared" si="172"/>
        <v>Fuzzy</v>
      </c>
    </row>
    <row r="1744" spans="1:16" x14ac:dyDescent="0.35">
      <c r="A1744" t="s">
        <v>1747</v>
      </c>
      <c r="B1744">
        <v>5957</v>
      </c>
      <c r="C1744">
        <v>28</v>
      </c>
      <c r="D1744">
        <v>69</v>
      </c>
      <c r="E1744">
        <v>520</v>
      </c>
      <c r="F1744">
        <v>4</v>
      </c>
      <c r="K1744" s="1">
        <f t="shared" si="173"/>
        <v>520</v>
      </c>
      <c r="L1744" s="1" t="str">
        <f t="shared" si="168"/>
        <v>Normal</v>
      </c>
      <c r="M1744" s="2">
        <f t="shared" si="169"/>
        <v>55.000000000000007</v>
      </c>
      <c r="N1744" s="1" t="str">
        <f t="shared" si="170"/>
        <v>Lembab</v>
      </c>
      <c r="O1744" t="str">
        <f t="shared" si="171"/>
        <v>Fuzzy</v>
      </c>
      <c r="P1744" t="str">
        <f t="shared" si="172"/>
        <v>Fuzzy</v>
      </c>
    </row>
    <row r="1745" spans="1:16" x14ac:dyDescent="0.35">
      <c r="A1745" t="s">
        <v>1748</v>
      </c>
      <c r="B1745">
        <v>5958</v>
      </c>
      <c r="C1745">
        <v>28</v>
      </c>
      <c r="D1745">
        <v>69</v>
      </c>
      <c r="E1745">
        <v>463</v>
      </c>
      <c r="F1745">
        <v>4</v>
      </c>
      <c r="K1745" s="1">
        <f t="shared" si="173"/>
        <v>463</v>
      </c>
      <c r="L1745" s="1" t="str">
        <f t="shared" si="168"/>
        <v>Normal</v>
      </c>
      <c r="M1745" s="2">
        <f t="shared" si="169"/>
        <v>40.75</v>
      </c>
      <c r="N1745" s="1" t="str">
        <f t="shared" si="170"/>
        <v>Lembab</v>
      </c>
      <c r="O1745" t="str">
        <f t="shared" si="171"/>
        <v>Fuzzy</v>
      </c>
      <c r="P1745" t="str">
        <f t="shared" si="172"/>
        <v>Fuzzy</v>
      </c>
    </row>
    <row r="1746" spans="1:16" x14ac:dyDescent="0.35">
      <c r="A1746" t="s">
        <v>1749</v>
      </c>
      <c r="B1746">
        <v>5959</v>
      </c>
      <c r="C1746">
        <v>28</v>
      </c>
      <c r="D1746">
        <v>68</v>
      </c>
      <c r="E1746">
        <v>498</v>
      </c>
      <c r="F1746">
        <v>4</v>
      </c>
      <c r="K1746" s="1">
        <f t="shared" si="173"/>
        <v>498</v>
      </c>
      <c r="L1746" s="1" t="str">
        <f t="shared" si="168"/>
        <v>Normal</v>
      </c>
      <c r="M1746" s="2">
        <f t="shared" si="169"/>
        <v>49.5</v>
      </c>
      <c r="N1746" s="1" t="str">
        <f t="shared" si="170"/>
        <v>Lembab</v>
      </c>
      <c r="O1746" t="str">
        <f t="shared" si="171"/>
        <v>Fuzzy</v>
      </c>
      <c r="P1746" t="str">
        <f t="shared" si="172"/>
        <v>Fuzzy</v>
      </c>
    </row>
    <row r="1747" spans="1:16" x14ac:dyDescent="0.35">
      <c r="A1747" t="s">
        <v>1750</v>
      </c>
      <c r="B1747">
        <v>5960</v>
      </c>
      <c r="C1747">
        <v>28</v>
      </c>
      <c r="D1747">
        <v>69</v>
      </c>
      <c r="E1747">
        <v>455</v>
      </c>
      <c r="F1747">
        <v>4</v>
      </c>
      <c r="K1747" s="1">
        <f t="shared" si="173"/>
        <v>455</v>
      </c>
      <c r="L1747" s="1" t="str">
        <f t="shared" si="168"/>
        <v>Normal</v>
      </c>
      <c r="M1747" s="2">
        <f t="shared" si="169"/>
        <v>38.75</v>
      </c>
      <c r="N1747" s="1" t="str">
        <f t="shared" si="170"/>
        <v>Lembab</v>
      </c>
      <c r="O1747" t="str">
        <f t="shared" si="171"/>
        <v>Fuzzy</v>
      </c>
      <c r="P1747" t="str">
        <f t="shared" si="172"/>
        <v>Fuzzy</v>
      </c>
    </row>
    <row r="1748" spans="1:16" x14ac:dyDescent="0.35">
      <c r="A1748" t="s">
        <v>1751</v>
      </c>
      <c r="B1748">
        <v>5961</v>
      </c>
      <c r="C1748">
        <v>28</v>
      </c>
      <c r="D1748">
        <v>69</v>
      </c>
      <c r="E1748">
        <v>475</v>
      </c>
      <c r="F1748">
        <v>4</v>
      </c>
      <c r="K1748" s="1">
        <f t="shared" si="173"/>
        <v>475</v>
      </c>
      <c r="L1748" s="1" t="str">
        <f t="shared" si="168"/>
        <v>Normal</v>
      </c>
      <c r="M1748" s="2">
        <f t="shared" si="169"/>
        <v>43.75</v>
      </c>
      <c r="N1748" s="1" t="str">
        <f t="shared" si="170"/>
        <v>Lembab</v>
      </c>
      <c r="O1748" t="str">
        <f t="shared" si="171"/>
        <v>Fuzzy</v>
      </c>
      <c r="P1748" t="str">
        <f t="shared" si="172"/>
        <v>Fuzzy</v>
      </c>
    </row>
    <row r="1749" spans="1:16" x14ac:dyDescent="0.35">
      <c r="A1749" t="s">
        <v>1752</v>
      </c>
      <c r="B1749">
        <v>5962</v>
      </c>
      <c r="C1749">
        <v>28</v>
      </c>
      <c r="D1749">
        <v>69</v>
      </c>
      <c r="E1749">
        <v>521</v>
      </c>
      <c r="F1749">
        <v>4</v>
      </c>
      <c r="K1749" s="1">
        <f t="shared" si="173"/>
        <v>521</v>
      </c>
      <c r="L1749" s="1" t="str">
        <f t="shared" si="168"/>
        <v>Normal</v>
      </c>
      <c r="M1749" s="2">
        <f t="shared" si="169"/>
        <v>55.25</v>
      </c>
      <c r="N1749" s="1" t="str">
        <f t="shared" si="170"/>
        <v>Lembab</v>
      </c>
      <c r="O1749" t="str">
        <f t="shared" si="171"/>
        <v>Fuzzy</v>
      </c>
      <c r="P1749" t="str">
        <f t="shared" si="172"/>
        <v>Fuzzy</v>
      </c>
    </row>
    <row r="1750" spans="1:16" x14ac:dyDescent="0.35">
      <c r="A1750" t="s">
        <v>1753</v>
      </c>
      <c r="B1750">
        <v>5963</v>
      </c>
      <c r="C1750">
        <v>28</v>
      </c>
      <c r="D1750">
        <v>68</v>
      </c>
      <c r="E1750">
        <v>545</v>
      </c>
      <c r="F1750">
        <v>4</v>
      </c>
      <c r="K1750" s="1">
        <f t="shared" si="173"/>
        <v>545</v>
      </c>
      <c r="L1750" s="1" t="str">
        <f t="shared" si="168"/>
        <v>Normal</v>
      </c>
      <c r="M1750" s="2">
        <f t="shared" si="169"/>
        <v>61.250000000000007</v>
      </c>
      <c r="N1750" s="1" t="str">
        <f t="shared" si="170"/>
        <v>Lembab</v>
      </c>
      <c r="O1750" t="str">
        <f t="shared" si="171"/>
        <v>Fuzzy</v>
      </c>
      <c r="P1750" t="str">
        <f t="shared" si="172"/>
        <v>Fuzzy</v>
      </c>
    </row>
    <row r="1751" spans="1:16" x14ac:dyDescent="0.35">
      <c r="A1751" t="s">
        <v>1754</v>
      </c>
      <c r="B1751">
        <v>5964</v>
      </c>
      <c r="C1751">
        <v>28</v>
      </c>
      <c r="D1751">
        <v>66</v>
      </c>
      <c r="E1751">
        <v>406</v>
      </c>
      <c r="F1751">
        <v>4</v>
      </c>
      <c r="K1751" s="1">
        <f t="shared" si="173"/>
        <v>406</v>
      </c>
      <c r="L1751" s="1" t="str">
        <f t="shared" si="168"/>
        <v>Normal</v>
      </c>
      <c r="M1751" s="2">
        <f t="shared" si="169"/>
        <v>26.5</v>
      </c>
      <c r="N1751" s="1" t="str">
        <f t="shared" si="170"/>
        <v>Kering</v>
      </c>
      <c r="O1751" t="str">
        <f t="shared" si="171"/>
        <v>Fuzzy</v>
      </c>
      <c r="P1751" t="str">
        <f t="shared" si="172"/>
        <v>Fuzzy</v>
      </c>
    </row>
    <row r="1752" spans="1:16" x14ac:dyDescent="0.35">
      <c r="A1752" t="s">
        <v>1755</v>
      </c>
      <c r="B1752">
        <v>5965</v>
      </c>
      <c r="C1752">
        <v>28</v>
      </c>
      <c r="D1752">
        <v>66</v>
      </c>
      <c r="E1752">
        <v>520</v>
      </c>
      <c r="F1752">
        <v>3</v>
      </c>
      <c r="K1752" s="1">
        <f t="shared" si="173"/>
        <v>520</v>
      </c>
      <c r="L1752" s="1" t="str">
        <f t="shared" si="168"/>
        <v>Normal</v>
      </c>
      <c r="M1752" s="2">
        <f t="shared" si="169"/>
        <v>55.000000000000007</v>
      </c>
      <c r="N1752" s="1" t="str">
        <f t="shared" si="170"/>
        <v>Lembab</v>
      </c>
      <c r="O1752" t="str">
        <f t="shared" si="171"/>
        <v>Fuzzy</v>
      </c>
      <c r="P1752" t="str">
        <f t="shared" si="172"/>
        <v>Fuzzy</v>
      </c>
    </row>
    <row r="1753" spans="1:16" x14ac:dyDescent="0.35">
      <c r="A1753" t="s">
        <v>1756</v>
      </c>
      <c r="B1753">
        <v>5966</v>
      </c>
      <c r="C1753">
        <v>28</v>
      </c>
      <c r="D1753">
        <v>66</v>
      </c>
      <c r="E1753">
        <v>775</v>
      </c>
      <c r="F1753">
        <v>4</v>
      </c>
      <c r="K1753" s="1">
        <f t="shared" si="173"/>
        <v>775</v>
      </c>
      <c r="L1753" s="1" t="str">
        <f t="shared" si="168"/>
        <v>Normal</v>
      </c>
      <c r="M1753" s="2">
        <f t="shared" si="169"/>
        <v>23.219814241486066</v>
      </c>
      <c r="N1753" s="1" t="str">
        <f t="shared" si="170"/>
        <v>Kering</v>
      </c>
      <c r="O1753" t="str">
        <f t="shared" si="171"/>
        <v>Fuzzy</v>
      </c>
      <c r="P1753" t="str">
        <f t="shared" si="172"/>
        <v>Fuzzy</v>
      </c>
    </row>
    <row r="1754" spans="1:16" x14ac:dyDescent="0.35">
      <c r="A1754" t="s">
        <v>1757</v>
      </c>
      <c r="B1754">
        <v>5967</v>
      </c>
      <c r="C1754">
        <v>28</v>
      </c>
      <c r="D1754">
        <v>67</v>
      </c>
      <c r="E1754">
        <v>468</v>
      </c>
      <c r="F1754">
        <v>4</v>
      </c>
      <c r="K1754" s="1">
        <f t="shared" si="173"/>
        <v>468</v>
      </c>
      <c r="L1754" s="1" t="str">
        <f t="shared" si="168"/>
        <v>Normal</v>
      </c>
      <c r="M1754" s="2">
        <f t="shared" si="169"/>
        <v>42</v>
      </c>
      <c r="N1754" s="1" t="str">
        <f t="shared" si="170"/>
        <v>Lembab</v>
      </c>
      <c r="O1754" t="str">
        <f t="shared" si="171"/>
        <v>Fuzzy</v>
      </c>
      <c r="P1754" t="str">
        <f t="shared" si="172"/>
        <v>Fuzzy</v>
      </c>
    </row>
    <row r="1755" spans="1:16" x14ac:dyDescent="0.35">
      <c r="A1755" t="s">
        <v>1758</v>
      </c>
      <c r="B1755">
        <v>5968</v>
      </c>
      <c r="C1755">
        <v>28</v>
      </c>
      <c r="D1755">
        <v>68</v>
      </c>
      <c r="E1755">
        <v>485</v>
      </c>
      <c r="F1755">
        <v>4</v>
      </c>
      <c r="K1755" s="1">
        <f t="shared" si="173"/>
        <v>485</v>
      </c>
      <c r="L1755" s="1" t="str">
        <f t="shared" si="168"/>
        <v>Normal</v>
      </c>
      <c r="M1755" s="2">
        <f t="shared" si="169"/>
        <v>46.25</v>
      </c>
      <c r="N1755" s="1" t="str">
        <f t="shared" si="170"/>
        <v>Lembab</v>
      </c>
      <c r="O1755" t="str">
        <f t="shared" si="171"/>
        <v>Fuzzy</v>
      </c>
      <c r="P1755" t="str">
        <f t="shared" si="172"/>
        <v>Fuzzy</v>
      </c>
    </row>
    <row r="1756" spans="1:16" x14ac:dyDescent="0.35">
      <c r="A1756" t="s">
        <v>1759</v>
      </c>
      <c r="B1756">
        <v>5969</v>
      </c>
      <c r="C1756">
        <v>28</v>
      </c>
      <c r="D1756">
        <v>68</v>
      </c>
      <c r="E1756">
        <v>506</v>
      </c>
      <c r="F1756">
        <v>4</v>
      </c>
      <c r="K1756" s="1">
        <f t="shared" si="173"/>
        <v>506</v>
      </c>
      <c r="L1756" s="1" t="str">
        <f t="shared" si="168"/>
        <v>Normal</v>
      </c>
      <c r="M1756" s="2">
        <f t="shared" si="169"/>
        <v>51.5</v>
      </c>
      <c r="N1756" s="1" t="str">
        <f t="shared" si="170"/>
        <v>Lembab</v>
      </c>
      <c r="O1756" t="str">
        <f t="shared" si="171"/>
        <v>Fuzzy</v>
      </c>
      <c r="P1756" t="str">
        <f t="shared" si="172"/>
        <v>Fuzzy</v>
      </c>
    </row>
    <row r="1757" spans="1:16" x14ac:dyDescent="0.35">
      <c r="A1757" t="s">
        <v>1760</v>
      </c>
      <c r="B1757">
        <v>5970</v>
      </c>
      <c r="C1757">
        <v>28</v>
      </c>
      <c r="D1757">
        <v>68</v>
      </c>
      <c r="E1757">
        <v>480</v>
      </c>
      <c r="F1757">
        <v>3</v>
      </c>
      <c r="K1757" s="1">
        <f t="shared" si="173"/>
        <v>480</v>
      </c>
      <c r="L1757" s="1" t="str">
        <f t="shared" si="168"/>
        <v>Normal</v>
      </c>
      <c r="M1757" s="2">
        <f t="shared" si="169"/>
        <v>45</v>
      </c>
      <c r="N1757" s="1" t="str">
        <f t="shared" si="170"/>
        <v>Lembab</v>
      </c>
      <c r="O1757" t="str">
        <f t="shared" si="171"/>
        <v>Fuzzy</v>
      </c>
      <c r="P1757" t="str">
        <f t="shared" si="172"/>
        <v>Fuzzy</v>
      </c>
    </row>
    <row r="1758" spans="1:16" x14ac:dyDescent="0.35">
      <c r="A1758" t="s">
        <v>1761</v>
      </c>
      <c r="B1758">
        <v>5971</v>
      </c>
      <c r="C1758">
        <v>28</v>
      </c>
      <c r="D1758">
        <v>69</v>
      </c>
      <c r="E1758">
        <v>306</v>
      </c>
      <c r="F1758">
        <v>4</v>
      </c>
      <c r="K1758" s="1">
        <f t="shared" si="173"/>
        <v>306</v>
      </c>
      <c r="L1758" s="1" t="str">
        <f t="shared" si="168"/>
        <v>Normal</v>
      </c>
      <c r="M1758" s="2">
        <f t="shared" si="169"/>
        <v>1.5</v>
      </c>
      <c r="N1758" s="1" t="str">
        <f t="shared" si="170"/>
        <v>Kering</v>
      </c>
      <c r="O1758" t="str">
        <f t="shared" si="171"/>
        <v>Fuzzy</v>
      </c>
      <c r="P1758" t="str">
        <f t="shared" si="172"/>
        <v>Fuzzy</v>
      </c>
    </row>
    <row r="1759" spans="1:16" x14ac:dyDescent="0.35">
      <c r="A1759" t="s">
        <v>1762</v>
      </c>
      <c r="B1759">
        <v>5972</v>
      </c>
      <c r="C1759">
        <v>28</v>
      </c>
      <c r="D1759">
        <v>68</v>
      </c>
      <c r="E1759">
        <v>516</v>
      </c>
      <c r="F1759">
        <v>4</v>
      </c>
      <c r="K1759" s="1">
        <f t="shared" si="173"/>
        <v>516</v>
      </c>
      <c r="L1759" s="1" t="str">
        <f t="shared" si="168"/>
        <v>Normal</v>
      </c>
      <c r="M1759" s="2">
        <f t="shared" si="169"/>
        <v>54</v>
      </c>
      <c r="N1759" s="1" t="str">
        <f t="shared" si="170"/>
        <v>Lembab</v>
      </c>
      <c r="O1759" t="str">
        <f t="shared" si="171"/>
        <v>Fuzzy</v>
      </c>
      <c r="P1759" t="str">
        <f t="shared" si="172"/>
        <v>Fuzzy</v>
      </c>
    </row>
    <row r="1760" spans="1:16" x14ac:dyDescent="0.35">
      <c r="A1760" t="s">
        <v>1763</v>
      </c>
      <c r="B1760">
        <v>5973</v>
      </c>
      <c r="C1760">
        <v>28</v>
      </c>
      <c r="D1760">
        <v>69</v>
      </c>
      <c r="E1760">
        <v>362</v>
      </c>
      <c r="F1760">
        <v>3</v>
      </c>
      <c r="K1760" s="1">
        <f t="shared" si="173"/>
        <v>362</v>
      </c>
      <c r="L1760" s="1" t="str">
        <f t="shared" si="168"/>
        <v>Normal</v>
      </c>
      <c r="M1760" s="2">
        <f t="shared" si="169"/>
        <v>15.5</v>
      </c>
      <c r="N1760" s="1" t="str">
        <f t="shared" si="170"/>
        <v>Kering</v>
      </c>
      <c r="O1760" t="str">
        <f t="shared" si="171"/>
        <v>Fuzzy</v>
      </c>
      <c r="P1760" t="str">
        <f t="shared" si="172"/>
        <v>Fuzzy</v>
      </c>
    </row>
    <row r="1761" spans="1:16" x14ac:dyDescent="0.35">
      <c r="A1761" t="s">
        <v>1764</v>
      </c>
      <c r="B1761">
        <v>5974</v>
      </c>
      <c r="C1761">
        <v>28</v>
      </c>
      <c r="D1761">
        <v>69</v>
      </c>
      <c r="E1761">
        <v>538</v>
      </c>
      <c r="F1761">
        <v>4</v>
      </c>
      <c r="K1761" s="1">
        <f t="shared" si="173"/>
        <v>538</v>
      </c>
      <c r="L1761" s="1" t="str">
        <f t="shared" si="168"/>
        <v>Normal</v>
      </c>
      <c r="M1761" s="2">
        <f t="shared" si="169"/>
        <v>59.5</v>
      </c>
      <c r="N1761" s="1" t="str">
        <f t="shared" si="170"/>
        <v>Lembab</v>
      </c>
      <c r="O1761" t="str">
        <f t="shared" si="171"/>
        <v>Fuzzy</v>
      </c>
      <c r="P1761" t="str">
        <f t="shared" si="172"/>
        <v>Fuzzy</v>
      </c>
    </row>
    <row r="1762" spans="1:16" x14ac:dyDescent="0.35">
      <c r="A1762" t="s">
        <v>1765</v>
      </c>
      <c r="B1762">
        <v>5975</v>
      </c>
      <c r="C1762">
        <v>28</v>
      </c>
      <c r="D1762">
        <v>69</v>
      </c>
      <c r="E1762">
        <v>497</v>
      </c>
      <c r="F1762">
        <v>4</v>
      </c>
      <c r="K1762" s="1">
        <f t="shared" si="173"/>
        <v>497</v>
      </c>
      <c r="L1762" s="1" t="str">
        <f t="shared" si="168"/>
        <v>Normal</v>
      </c>
      <c r="M1762" s="2">
        <f t="shared" si="169"/>
        <v>49.25</v>
      </c>
      <c r="N1762" s="1" t="str">
        <f t="shared" si="170"/>
        <v>Lembab</v>
      </c>
      <c r="O1762" t="str">
        <f t="shared" si="171"/>
        <v>Fuzzy</v>
      </c>
      <c r="P1762" t="str">
        <f t="shared" si="172"/>
        <v>Fuzzy</v>
      </c>
    </row>
    <row r="1763" spans="1:16" x14ac:dyDescent="0.35">
      <c r="A1763" t="s">
        <v>1766</v>
      </c>
      <c r="B1763">
        <v>5976</v>
      </c>
      <c r="C1763">
        <v>28</v>
      </c>
      <c r="D1763">
        <v>69</v>
      </c>
      <c r="E1763">
        <v>499</v>
      </c>
      <c r="F1763">
        <v>4</v>
      </c>
      <c r="K1763" s="1">
        <f t="shared" si="173"/>
        <v>499</v>
      </c>
      <c r="L1763" s="1" t="str">
        <f t="shared" si="168"/>
        <v>Normal</v>
      </c>
      <c r="M1763" s="2">
        <f t="shared" si="169"/>
        <v>49.75</v>
      </c>
      <c r="N1763" s="1" t="str">
        <f t="shared" si="170"/>
        <v>Lembab</v>
      </c>
      <c r="O1763" t="str">
        <f t="shared" si="171"/>
        <v>Fuzzy</v>
      </c>
      <c r="P1763" t="str">
        <f t="shared" si="172"/>
        <v>Fuzzy</v>
      </c>
    </row>
    <row r="1764" spans="1:16" x14ac:dyDescent="0.35">
      <c r="A1764" t="s">
        <v>1767</v>
      </c>
      <c r="B1764">
        <v>5977</v>
      </c>
      <c r="C1764">
        <v>28</v>
      </c>
      <c r="D1764">
        <v>69</v>
      </c>
      <c r="E1764">
        <v>528</v>
      </c>
      <c r="F1764">
        <v>4</v>
      </c>
      <c r="K1764" s="1">
        <f t="shared" si="173"/>
        <v>528</v>
      </c>
      <c r="L1764" s="1" t="str">
        <f t="shared" si="168"/>
        <v>Normal</v>
      </c>
      <c r="M1764" s="2">
        <f t="shared" si="169"/>
        <v>56.999999999999993</v>
      </c>
      <c r="N1764" s="1" t="str">
        <f t="shared" si="170"/>
        <v>Lembab</v>
      </c>
      <c r="O1764" t="str">
        <f t="shared" si="171"/>
        <v>Fuzzy</v>
      </c>
      <c r="P1764" t="str">
        <f t="shared" si="172"/>
        <v>Fuzzy</v>
      </c>
    </row>
    <row r="1765" spans="1:16" x14ac:dyDescent="0.35">
      <c r="A1765" t="s">
        <v>1768</v>
      </c>
      <c r="B1765">
        <v>5978</v>
      </c>
      <c r="C1765">
        <v>28</v>
      </c>
      <c r="D1765">
        <v>69</v>
      </c>
      <c r="E1765">
        <v>520</v>
      </c>
      <c r="F1765">
        <v>4</v>
      </c>
      <c r="K1765" s="1">
        <f t="shared" si="173"/>
        <v>520</v>
      </c>
      <c r="L1765" s="1" t="str">
        <f t="shared" si="168"/>
        <v>Normal</v>
      </c>
      <c r="M1765" s="2">
        <f t="shared" si="169"/>
        <v>55.000000000000007</v>
      </c>
      <c r="N1765" s="1" t="str">
        <f t="shared" si="170"/>
        <v>Lembab</v>
      </c>
      <c r="O1765" t="str">
        <f t="shared" si="171"/>
        <v>Fuzzy</v>
      </c>
      <c r="P1765" t="str">
        <f t="shared" si="172"/>
        <v>Fuzzy</v>
      </c>
    </row>
    <row r="1766" spans="1:16" x14ac:dyDescent="0.35">
      <c r="A1766" t="s">
        <v>1769</v>
      </c>
      <c r="B1766">
        <v>5979</v>
      </c>
      <c r="C1766">
        <v>28</v>
      </c>
      <c r="D1766">
        <v>69</v>
      </c>
      <c r="E1766">
        <v>512</v>
      </c>
      <c r="F1766">
        <v>4</v>
      </c>
      <c r="K1766" s="1">
        <f t="shared" si="173"/>
        <v>512</v>
      </c>
      <c r="L1766" s="1" t="str">
        <f t="shared" si="168"/>
        <v>Normal</v>
      </c>
      <c r="M1766" s="2">
        <f t="shared" si="169"/>
        <v>53</v>
      </c>
      <c r="N1766" s="1" t="str">
        <f t="shared" si="170"/>
        <v>Lembab</v>
      </c>
      <c r="O1766" t="str">
        <f t="shared" si="171"/>
        <v>Fuzzy</v>
      </c>
      <c r="P1766" t="str">
        <f t="shared" si="172"/>
        <v>Fuzzy</v>
      </c>
    </row>
    <row r="1767" spans="1:16" x14ac:dyDescent="0.35">
      <c r="A1767" t="s">
        <v>1770</v>
      </c>
      <c r="B1767">
        <v>5980</v>
      </c>
      <c r="C1767">
        <v>28</v>
      </c>
      <c r="D1767">
        <v>69</v>
      </c>
      <c r="E1767">
        <v>529</v>
      </c>
      <c r="F1767">
        <v>4</v>
      </c>
      <c r="K1767" s="1">
        <f t="shared" si="173"/>
        <v>529</v>
      </c>
      <c r="L1767" s="1" t="str">
        <f t="shared" si="168"/>
        <v>Normal</v>
      </c>
      <c r="M1767" s="2">
        <f t="shared" si="169"/>
        <v>57.25</v>
      </c>
      <c r="N1767" s="1" t="str">
        <f t="shared" si="170"/>
        <v>Lembab</v>
      </c>
      <c r="O1767" t="str">
        <f t="shared" si="171"/>
        <v>Fuzzy</v>
      </c>
      <c r="P1767" t="str">
        <f t="shared" si="172"/>
        <v>Fuzzy</v>
      </c>
    </row>
    <row r="1768" spans="1:16" x14ac:dyDescent="0.35">
      <c r="A1768" t="s">
        <v>1771</v>
      </c>
      <c r="B1768">
        <v>5981</v>
      </c>
      <c r="C1768">
        <v>28</v>
      </c>
      <c r="D1768">
        <v>69</v>
      </c>
      <c r="E1768">
        <v>427</v>
      </c>
      <c r="F1768">
        <v>4</v>
      </c>
      <c r="K1768" s="1">
        <f t="shared" si="173"/>
        <v>427</v>
      </c>
      <c r="L1768" s="1" t="str">
        <f t="shared" si="168"/>
        <v>Normal</v>
      </c>
      <c r="M1768" s="2">
        <f t="shared" si="169"/>
        <v>31.75</v>
      </c>
      <c r="N1768" s="1" t="str">
        <f t="shared" si="170"/>
        <v>Lembab</v>
      </c>
      <c r="O1768" t="str">
        <f t="shared" si="171"/>
        <v>Fuzzy</v>
      </c>
      <c r="P1768" t="str">
        <f t="shared" si="172"/>
        <v>Fuzzy</v>
      </c>
    </row>
    <row r="1769" spans="1:16" x14ac:dyDescent="0.35">
      <c r="A1769" t="s">
        <v>1772</v>
      </c>
      <c r="B1769">
        <v>5982</v>
      </c>
      <c r="C1769">
        <v>28</v>
      </c>
      <c r="D1769">
        <v>69</v>
      </c>
      <c r="E1769">
        <v>559</v>
      </c>
      <c r="F1769">
        <v>4</v>
      </c>
      <c r="K1769" s="1">
        <f t="shared" si="173"/>
        <v>559</v>
      </c>
      <c r="L1769" s="1" t="str">
        <f t="shared" si="168"/>
        <v>Normal</v>
      </c>
      <c r="M1769" s="2">
        <f t="shared" si="169"/>
        <v>64.75</v>
      </c>
      <c r="N1769" s="1" t="str">
        <f t="shared" si="170"/>
        <v>Lembab</v>
      </c>
      <c r="O1769" t="str">
        <f t="shared" si="171"/>
        <v>Fuzzy</v>
      </c>
      <c r="P1769" t="str">
        <f t="shared" si="172"/>
        <v>Fuzzy</v>
      </c>
    </row>
    <row r="1770" spans="1:16" x14ac:dyDescent="0.35">
      <c r="A1770" t="s">
        <v>1773</v>
      </c>
      <c r="B1770">
        <v>5983</v>
      </c>
      <c r="C1770">
        <v>28</v>
      </c>
      <c r="D1770">
        <v>69</v>
      </c>
      <c r="E1770">
        <v>527</v>
      </c>
      <c r="F1770">
        <v>4</v>
      </c>
      <c r="K1770" s="1">
        <f t="shared" si="173"/>
        <v>527</v>
      </c>
      <c r="L1770" s="1" t="str">
        <f t="shared" si="168"/>
        <v>Normal</v>
      </c>
      <c r="M1770" s="2">
        <f t="shared" si="169"/>
        <v>56.75</v>
      </c>
      <c r="N1770" s="1" t="str">
        <f t="shared" si="170"/>
        <v>Lembab</v>
      </c>
      <c r="O1770" t="str">
        <f t="shared" si="171"/>
        <v>Fuzzy</v>
      </c>
      <c r="P1770" t="str">
        <f t="shared" si="172"/>
        <v>Fuzzy</v>
      </c>
    </row>
    <row r="1771" spans="1:16" x14ac:dyDescent="0.35">
      <c r="A1771" t="s">
        <v>1774</v>
      </c>
      <c r="B1771">
        <v>5984</v>
      </c>
      <c r="C1771">
        <v>28</v>
      </c>
      <c r="D1771">
        <v>69</v>
      </c>
      <c r="E1771">
        <v>486</v>
      </c>
      <c r="F1771">
        <v>4</v>
      </c>
      <c r="K1771" s="1">
        <f t="shared" si="173"/>
        <v>486</v>
      </c>
      <c r="L1771" s="1" t="str">
        <f t="shared" si="168"/>
        <v>Normal</v>
      </c>
      <c r="M1771" s="2">
        <f t="shared" si="169"/>
        <v>46.5</v>
      </c>
      <c r="N1771" s="1" t="str">
        <f t="shared" si="170"/>
        <v>Lembab</v>
      </c>
      <c r="O1771" t="str">
        <f t="shared" si="171"/>
        <v>Fuzzy</v>
      </c>
      <c r="P1771" t="str">
        <f t="shared" si="172"/>
        <v>Fuzzy</v>
      </c>
    </row>
    <row r="1772" spans="1:16" x14ac:dyDescent="0.35">
      <c r="A1772" t="s">
        <v>1775</v>
      </c>
      <c r="B1772">
        <v>5985</v>
      </c>
      <c r="C1772">
        <v>28</v>
      </c>
      <c r="D1772">
        <v>69</v>
      </c>
      <c r="E1772">
        <v>544</v>
      </c>
      <c r="F1772">
        <v>3</v>
      </c>
      <c r="K1772" s="1">
        <f t="shared" si="173"/>
        <v>544</v>
      </c>
      <c r="L1772" s="1" t="str">
        <f t="shared" si="168"/>
        <v>Normal</v>
      </c>
      <c r="M1772" s="2">
        <f t="shared" si="169"/>
        <v>61</v>
      </c>
      <c r="N1772" s="1" t="str">
        <f t="shared" si="170"/>
        <v>Lembab</v>
      </c>
      <c r="O1772" t="str">
        <f t="shared" si="171"/>
        <v>Fuzzy</v>
      </c>
      <c r="P1772" t="str">
        <f t="shared" si="172"/>
        <v>Fuzzy</v>
      </c>
    </row>
    <row r="1773" spans="1:16" x14ac:dyDescent="0.35">
      <c r="A1773" t="s">
        <v>1776</v>
      </c>
      <c r="B1773">
        <v>5986</v>
      </c>
      <c r="C1773">
        <v>28</v>
      </c>
      <c r="D1773">
        <v>69</v>
      </c>
      <c r="E1773">
        <v>528</v>
      </c>
      <c r="F1773">
        <v>4</v>
      </c>
      <c r="K1773" s="1">
        <f t="shared" si="173"/>
        <v>528</v>
      </c>
      <c r="L1773" s="1" t="str">
        <f t="shared" si="168"/>
        <v>Normal</v>
      </c>
      <c r="M1773" s="2">
        <f t="shared" si="169"/>
        <v>56.999999999999993</v>
      </c>
      <c r="N1773" s="1" t="str">
        <f t="shared" si="170"/>
        <v>Lembab</v>
      </c>
      <c r="O1773" t="str">
        <f t="shared" si="171"/>
        <v>Fuzzy</v>
      </c>
      <c r="P1773" t="str">
        <f t="shared" si="172"/>
        <v>Fuzzy</v>
      </c>
    </row>
    <row r="1774" spans="1:16" x14ac:dyDescent="0.35">
      <c r="A1774" t="s">
        <v>1777</v>
      </c>
      <c r="B1774">
        <v>5987</v>
      </c>
      <c r="C1774">
        <v>28</v>
      </c>
      <c r="D1774">
        <v>69</v>
      </c>
      <c r="E1774">
        <v>505</v>
      </c>
      <c r="F1774">
        <v>4</v>
      </c>
      <c r="K1774" s="1">
        <f t="shared" si="173"/>
        <v>505</v>
      </c>
      <c r="L1774" s="1" t="str">
        <f t="shared" si="168"/>
        <v>Normal</v>
      </c>
      <c r="M1774" s="2">
        <f t="shared" si="169"/>
        <v>51.249999999999993</v>
      </c>
      <c r="N1774" s="1" t="str">
        <f t="shared" si="170"/>
        <v>Lembab</v>
      </c>
      <c r="O1774" t="str">
        <f t="shared" si="171"/>
        <v>Fuzzy</v>
      </c>
      <c r="P1774" t="str">
        <f t="shared" si="172"/>
        <v>Fuzzy</v>
      </c>
    </row>
    <row r="1775" spans="1:16" x14ac:dyDescent="0.35">
      <c r="A1775" t="s">
        <v>1778</v>
      </c>
      <c r="B1775">
        <v>5988</v>
      </c>
      <c r="C1775">
        <v>28</v>
      </c>
      <c r="D1775">
        <v>69</v>
      </c>
      <c r="E1775">
        <v>479</v>
      </c>
      <c r="F1775">
        <v>4</v>
      </c>
      <c r="K1775" s="1">
        <f t="shared" si="173"/>
        <v>479</v>
      </c>
      <c r="L1775" s="1" t="str">
        <f t="shared" si="168"/>
        <v>Normal</v>
      </c>
      <c r="M1775" s="2">
        <f t="shared" si="169"/>
        <v>44.75</v>
      </c>
      <c r="N1775" s="1" t="str">
        <f t="shared" si="170"/>
        <v>Lembab</v>
      </c>
      <c r="O1775" t="str">
        <f t="shared" si="171"/>
        <v>Fuzzy</v>
      </c>
      <c r="P1775" t="str">
        <f t="shared" si="172"/>
        <v>Fuzzy</v>
      </c>
    </row>
    <row r="1776" spans="1:16" x14ac:dyDescent="0.35">
      <c r="A1776" t="s">
        <v>1779</v>
      </c>
      <c r="B1776">
        <v>5989</v>
      </c>
      <c r="C1776">
        <v>28</v>
      </c>
      <c r="D1776">
        <v>68</v>
      </c>
      <c r="E1776">
        <v>495</v>
      </c>
      <c r="F1776">
        <v>4</v>
      </c>
      <c r="K1776" s="1">
        <f t="shared" si="173"/>
        <v>495</v>
      </c>
      <c r="L1776" s="1" t="str">
        <f t="shared" si="168"/>
        <v>Normal</v>
      </c>
      <c r="M1776" s="2">
        <f t="shared" si="169"/>
        <v>48.75</v>
      </c>
      <c r="N1776" s="1" t="str">
        <f t="shared" si="170"/>
        <v>Lembab</v>
      </c>
      <c r="O1776" t="str">
        <f t="shared" si="171"/>
        <v>Fuzzy</v>
      </c>
      <c r="P1776" t="str">
        <f t="shared" si="172"/>
        <v>Fuzzy</v>
      </c>
    </row>
    <row r="1777" spans="1:16" x14ac:dyDescent="0.35">
      <c r="A1777" t="s">
        <v>1780</v>
      </c>
      <c r="B1777">
        <v>5990</v>
      </c>
      <c r="C1777">
        <v>28</v>
      </c>
      <c r="D1777">
        <v>67</v>
      </c>
      <c r="E1777">
        <v>329</v>
      </c>
      <c r="F1777">
        <v>4</v>
      </c>
      <c r="K1777" s="1">
        <f t="shared" si="173"/>
        <v>329</v>
      </c>
      <c r="L1777" s="1" t="str">
        <f t="shared" si="168"/>
        <v>Normal</v>
      </c>
      <c r="M1777" s="2">
        <f t="shared" si="169"/>
        <v>7.2499999999999991</v>
      </c>
      <c r="N1777" s="1" t="str">
        <f t="shared" si="170"/>
        <v>Kering</v>
      </c>
      <c r="O1777" t="str">
        <f t="shared" si="171"/>
        <v>Fuzzy</v>
      </c>
      <c r="P1777" t="str">
        <f t="shared" si="172"/>
        <v>Fuzzy</v>
      </c>
    </row>
    <row r="1778" spans="1:16" x14ac:dyDescent="0.35">
      <c r="A1778" t="s">
        <v>1781</v>
      </c>
      <c r="B1778">
        <v>5991</v>
      </c>
      <c r="C1778">
        <v>28</v>
      </c>
      <c r="D1778">
        <v>67</v>
      </c>
      <c r="E1778">
        <v>569</v>
      </c>
      <c r="F1778">
        <v>4</v>
      </c>
      <c r="K1778" s="1">
        <f t="shared" si="173"/>
        <v>569</v>
      </c>
      <c r="L1778" s="1" t="str">
        <f t="shared" si="168"/>
        <v>Normal</v>
      </c>
      <c r="M1778" s="2">
        <f t="shared" si="169"/>
        <v>67.25</v>
      </c>
      <c r="N1778" s="1" t="str">
        <f t="shared" si="170"/>
        <v>Lembab</v>
      </c>
      <c r="O1778" t="str">
        <f t="shared" si="171"/>
        <v>Fuzzy</v>
      </c>
      <c r="P1778" t="str">
        <f t="shared" si="172"/>
        <v>Fuzzy</v>
      </c>
    </row>
    <row r="1779" spans="1:16" x14ac:dyDescent="0.35">
      <c r="A1779" t="s">
        <v>1782</v>
      </c>
      <c r="B1779">
        <v>5992</v>
      </c>
      <c r="C1779">
        <v>28</v>
      </c>
      <c r="D1779">
        <v>67</v>
      </c>
      <c r="E1779">
        <v>511</v>
      </c>
      <c r="F1779">
        <v>4</v>
      </c>
      <c r="K1779" s="1">
        <f t="shared" si="173"/>
        <v>511</v>
      </c>
      <c r="L1779" s="1" t="str">
        <f t="shared" si="168"/>
        <v>Normal</v>
      </c>
      <c r="M1779" s="2">
        <f t="shared" si="169"/>
        <v>52.75</v>
      </c>
      <c r="N1779" s="1" t="str">
        <f t="shared" si="170"/>
        <v>Lembab</v>
      </c>
      <c r="O1779" t="str">
        <f t="shared" si="171"/>
        <v>Fuzzy</v>
      </c>
      <c r="P1779" t="str">
        <f t="shared" si="172"/>
        <v>Fuzzy</v>
      </c>
    </row>
    <row r="1780" spans="1:16" x14ac:dyDescent="0.35">
      <c r="A1780" t="s">
        <v>1783</v>
      </c>
      <c r="B1780">
        <v>5993</v>
      </c>
      <c r="C1780">
        <v>28</v>
      </c>
      <c r="D1780">
        <v>68</v>
      </c>
      <c r="E1780">
        <v>462</v>
      </c>
      <c r="F1780">
        <v>4</v>
      </c>
      <c r="K1780" s="1">
        <f t="shared" si="173"/>
        <v>462</v>
      </c>
      <c r="L1780" s="1" t="str">
        <f t="shared" si="168"/>
        <v>Normal</v>
      </c>
      <c r="M1780" s="2">
        <f t="shared" si="169"/>
        <v>40.5</v>
      </c>
      <c r="N1780" s="1" t="str">
        <f t="shared" si="170"/>
        <v>Lembab</v>
      </c>
      <c r="O1780" t="str">
        <f t="shared" si="171"/>
        <v>Fuzzy</v>
      </c>
      <c r="P1780" t="str">
        <f t="shared" si="172"/>
        <v>Fuzzy</v>
      </c>
    </row>
    <row r="1781" spans="1:16" x14ac:dyDescent="0.35">
      <c r="A1781" t="s">
        <v>1784</v>
      </c>
      <c r="B1781">
        <v>5994</v>
      </c>
      <c r="C1781">
        <v>28</v>
      </c>
      <c r="D1781">
        <v>69</v>
      </c>
      <c r="E1781">
        <v>514</v>
      </c>
      <c r="F1781">
        <v>4</v>
      </c>
      <c r="K1781" s="1">
        <f t="shared" si="173"/>
        <v>514</v>
      </c>
      <c r="L1781" s="1" t="str">
        <f t="shared" si="168"/>
        <v>Normal</v>
      </c>
      <c r="M1781" s="2">
        <f t="shared" si="169"/>
        <v>53.5</v>
      </c>
      <c r="N1781" s="1" t="str">
        <f t="shared" si="170"/>
        <v>Lembab</v>
      </c>
      <c r="O1781" t="str">
        <f t="shared" si="171"/>
        <v>Fuzzy</v>
      </c>
      <c r="P1781" t="str">
        <f t="shared" si="172"/>
        <v>Fuzzy</v>
      </c>
    </row>
    <row r="1782" spans="1:16" x14ac:dyDescent="0.35">
      <c r="A1782" t="s">
        <v>1785</v>
      </c>
      <c r="B1782">
        <v>5995</v>
      </c>
      <c r="C1782">
        <v>28</v>
      </c>
      <c r="D1782">
        <v>69</v>
      </c>
      <c r="E1782">
        <v>471</v>
      </c>
      <c r="F1782">
        <v>4</v>
      </c>
      <c r="K1782" s="1">
        <f t="shared" si="173"/>
        <v>471</v>
      </c>
      <c r="L1782" s="1" t="str">
        <f t="shared" si="168"/>
        <v>Normal</v>
      </c>
      <c r="M1782" s="2">
        <f t="shared" si="169"/>
        <v>42.75</v>
      </c>
      <c r="N1782" s="1" t="str">
        <f t="shared" si="170"/>
        <v>Lembab</v>
      </c>
      <c r="O1782" t="str">
        <f t="shared" si="171"/>
        <v>Fuzzy</v>
      </c>
      <c r="P1782" t="str">
        <f t="shared" si="172"/>
        <v>Fuzzy</v>
      </c>
    </row>
    <row r="1783" spans="1:16" x14ac:dyDescent="0.35">
      <c r="A1783" t="s">
        <v>1786</v>
      </c>
      <c r="B1783">
        <v>5996</v>
      </c>
      <c r="C1783">
        <v>28</v>
      </c>
      <c r="D1783">
        <v>69</v>
      </c>
      <c r="E1783">
        <v>497</v>
      </c>
      <c r="F1783">
        <v>4</v>
      </c>
      <c r="K1783" s="1">
        <f t="shared" si="173"/>
        <v>497</v>
      </c>
      <c r="L1783" s="1" t="str">
        <f t="shared" si="168"/>
        <v>Normal</v>
      </c>
      <c r="M1783" s="2">
        <f t="shared" si="169"/>
        <v>49.25</v>
      </c>
      <c r="N1783" s="1" t="str">
        <f t="shared" si="170"/>
        <v>Lembab</v>
      </c>
      <c r="O1783" t="str">
        <f t="shared" si="171"/>
        <v>Fuzzy</v>
      </c>
      <c r="P1783" t="str">
        <f t="shared" si="172"/>
        <v>Fuzzy</v>
      </c>
    </row>
    <row r="1784" spans="1:16" x14ac:dyDescent="0.35">
      <c r="A1784" t="s">
        <v>1787</v>
      </c>
      <c r="B1784">
        <v>5997</v>
      </c>
      <c r="C1784">
        <v>28</v>
      </c>
      <c r="D1784">
        <v>69</v>
      </c>
      <c r="E1784">
        <v>496</v>
      </c>
      <c r="F1784">
        <v>3</v>
      </c>
      <c r="K1784" s="1">
        <f t="shared" si="173"/>
        <v>496</v>
      </c>
      <c r="L1784" s="1" t="str">
        <f t="shared" si="168"/>
        <v>Normal</v>
      </c>
      <c r="M1784" s="2">
        <f t="shared" si="169"/>
        <v>49</v>
      </c>
      <c r="N1784" s="1" t="str">
        <f t="shared" si="170"/>
        <v>Lembab</v>
      </c>
      <c r="O1784" t="str">
        <f t="shared" si="171"/>
        <v>Fuzzy</v>
      </c>
      <c r="P1784" t="str">
        <f t="shared" si="172"/>
        <v>Fuzzy</v>
      </c>
    </row>
    <row r="1785" spans="1:16" x14ac:dyDescent="0.35">
      <c r="A1785" t="s">
        <v>1788</v>
      </c>
      <c r="B1785">
        <v>5998</v>
      </c>
      <c r="C1785">
        <v>28</v>
      </c>
      <c r="D1785">
        <v>69</v>
      </c>
      <c r="E1785">
        <v>498</v>
      </c>
      <c r="F1785">
        <v>4</v>
      </c>
      <c r="K1785" s="1">
        <f t="shared" si="173"/>
        <v>498</v>
      </c>
      <c r="L1785" s="1" t="str">
        <f t="shared" si="168"/>
        <v>Normal</v>
      </c>
      <c r="M1785" s="2">
        <f t="shared" si="169"/>
        <v>49.5</v>
      </c>
      <c r="N1785" s="1" t="str">
        <f t="shared" si="170"/>
        <v>Lembab</v>
      </c>
      <c r="O1785" t="str">
        <f t="shared" si="171"/>
        <v>Fuzzy</v>
      </c>
      <c r="P1785" t="str">
        <f t="shared" si="172"/>
        <v>Fuzzy</v>
      </c>
    </row>
    <row r="1786" spans="1:16" x14ac:dyDescent="0.35">
      <c r="A1786" t="s">
        <v>1789</v>
      </c>
      <c r="B1786">
        <v>5999</v>
      </c>
      <c r="C1786">
        <v>28</v>
      </c>
      <c r="D1786">
        <v>69</v>
      </c>
      <c r="E1786">
        <v>509</v>
      </c>
      <c r="F1786">
        <v>4</v>
      </c>
      <c r="K1786" s="1">
        <f t="shared" si="173"/>
        <v>509</v>
      </c>
      <c r="L1786" s="1" t="str">
        <f t="shared" si="168"/>
        <v>Normal</v>
      </c>
      <c r="M1786" s="2">
        <f t="shared" si="169"/>
        <v>52.25</v>
      </c>
      <c r="N1786" s="1" t="str">
        <f t="shared" si="170"/>
        <v>Lembab</v>
      </c>
      <c r="O1786" t="str">
        <f t="shared" si="171"/>
        <v>Fuzzy</v>
      </c>
      <c r="P1786" t="str">
        <f t="shared" si="172"/>
        <v>Fuzzy</v>
      </c>
    </row>
    <row r="1787" spans="1:16" x14ac:dyDescent="0.35">
      <c r="A1787" t="s">
        <v>1790</v>
      </c>
      <c r="B1787">
        <v>6000</v>
      </c>
      <c r="C1787">
        <v>28</v>
      </c>
      <c r="D1787">
        <v>69</v>
      </c>
      <c r="E1787">
        <v>530</v>
      </c>
      <c r="F1787">
        <v>5</v>
      </c>
      <c r="K1787" s="1">
        <f t="shared" si="173"/>
        <v>530</v>
      </c>
      <c r="L1787" s="1" t="str">
        <f t="shared" si="168"/>
        <v>Normal</v>
      </c>
      <c r="M1787" s="2">
        <f t="shared" si="169"/>
        <v>57.499999999999993</v>
      </c>
      <c r="N1787" s="1" t="str">
        <f t="shared" si="170"/>
        <v>Lembab</v>
      </c>
      <c r="O1787" t="str">
        <f t="shared" si="171"/>
        <v>Fuzzy</v>
      </c>
      <c r="P1787" t="str">
        <f t="shared" si="172"/>
        <v>Fuzzy</v>
      </c>
    </row>
    <row r="1788" spans="1:16" x14ac:dyDescent="0.35">
      <c r="A1788" t="s">
        <v>1791</v>
      </c>
      <c r="B1788">
        <v>6001</v>
      </c>
      <c r="C1788">
        <v>28</v>
      </c>
      <c r="D1788">
        <v>69</v>
      </c>
      <c r="E1788">
        <v>567</v>
      </c>
      <c r="F1788">
        <v>4</v>
      </c>
      <c r="K1788" s="1">
        <f t="shared" si="173"/>
        <v>567</v>
      </c>
      <c r="L1788" s="1" t="str">
        <f t="shared" si="168"/>
        <v>Normal</v>
      </c>
      <c r="M1788" s="2">
        <f t="shared" si="169"/>
        <v>66.75</v>
      </c>
      <c r="N1788" s="1" t="str">
        <f t="shared" si="170"/>
        <v>Lembab</v>
      </c>
      <c r="O1788" t="str">
        <f t="shared" si="171"/>
        <v>Fuzzy</v>
      </c>
      <c r="P1788" t="str">
        <f t="shared" si="172"/>
        <v>Fuzzy</v>
      </c>
    </row>
    <row r="1789" spans="1:16" x14ac:dyDescent="0.35">
      <c r="A1789" t="s">
        <v>1792</v>
      </c>
      <c r="B1789">
        <v>6002</v>
      </c>
      <c r="C1789">
        <v>28</v>
      </c>
      <c r="D1789">
        <v>69</v>
      </c>
      <c r="E1789">
        <v>459</v>
      </c>
      <c r="F1789">
        <v>4</v>
      </c>
      <c r="K1789" s="1">
        <f t="shared" si="173"/>
        <v>459</v>
      </c>
      <c r="L1789" s="1" t="str">
        <f t="shared" si="168"/>
        <v>Normal</v>
      </c>
      <c r="M1789" s="2">
        <f t="shared" si="169"/>
        <v>39.75</v>
      </c>
      <c r="N1789" s="1" t="str">
        <f t="shared" si="170"/>
        <v>Lembab</v>
      </c>
      <c r="O1789" t="str">
        <f t="shared" si="171"/>
        <v>Fuzzy</v>
      </c>
      <c r="P1789" t="str">
        <f t="shared" si="172"/>
        <v>Fuzzy</v>
      </c>
    </row>
    <row r="1790" spans="1:16" x14ac:dyDescent="0.35">
      <c r="A1790" t="s">
        <v>1793</v>
      </c>
      <c r="B1790">
        <v>6003</v>
      </c>
      <c r="C1790">
        <v>28</v>
      </c>
      <c r="D1790">
        <v>69</v>
      </c>
      <c r="E1790">
        <v>470</v>
      </c>
      <c r="F1790">
        <v>4</v>
      </c>
      <c r="K1790" s="1">
        <f t="shared" si="173"/>
        <v>470</v>
      </c>
      <c r="L1790" s="1" t="str">
        <f t="shared" si="168"/>
        <v>Normal</v>
      </c>
      <c r="M1790" s="2">
        <f t="shared" si="169"/>
        <v>42.5</v>
      </c>
      <c r="N1790" s="1" t="str">
        <f t="shared" si="170"/>
        <v>Lembab</v>
      </c>
      <c r="O1790" t="str">
        <f t="shared" si="171"/>
        <v>Fuzzy</v>
      </c>
      <c r="P1790" t="str">
        <f t="shared" si="172"/>
        <v>Fuzzy</v>
      </c>
    </row>
    <row r="1791" spans="1:16" x14ac:dyDescent="0.35">
      <c r="A1791" t="s">
        <v>1794</v>
      </c>
      <c r="B1791">
        <v>6004</v>
      </c>
      <c r="C1791">
        <v>28</v>
      </c>
      <c r="D1791">
        <v>69</v>
      </c>
      <c r="E1791">
        <v>534</v>
      </c>
      <c r="F1791">
        <v>4</v>
      </c>
      <c r="K1791" s="1">
        <f t="shared" si="173"/>
        <v>534</v>
      </c>
      <c r="L1791" s="1" t="str">
        <f t="shared" si="168"/>
        <v>Normal</v>
      </c>
      <c r="M1791" s="2">
        <f t="shared" si="169"/>
        <v>58.5</v>
      </c>
      <c r="N1791" s="1" t="str">
        <f t="shared" si="170"/>
        <v>Lembab</v>
      </c>
      <c r="O1791" t="str">
        <f t="shared" si="171"/>
        <v>Fuzzy</v>
      </c>
      <c r="P1791" t="str">
        <f t="shared" si="172"/>
        <v>Fuzzy</v>
      </c>
    </row>
    <row r="1792" spans="1:16" x14ac:dyDescent="0.35">
      <c r="A1792" t="s">
        <v>1795</v>
      </c>
      <c r="B1792">
        <v>6005</v>
      </c>
      <c r="C1792">
        <v>28</v>
      </c>
      <c r="D1792">
        <v>69</v>
      </c>
      <c r="E1792">
        <v>486</v>
      </c>
      <c r="F1792">
        <v>4</v>
      </c>
      <c r="K1792" s="1">
        <f t="shared" si="173"/>
        <v>486</v>
      </c>
      <c r="L1792" s="1" t="str">
        <f t="shared" si="168"/>
        <v>Normal</v>
      </c>
      <c r="M1792" s="2">
        <f t="shared" si="169"/>
        <v>46.5</v>
      </c>
      <c r="N1792" s="1" t="str">
        <f t="shared" si="170"/>
        <v>Lembab</v>
      </c>
      <c r="O1792" t="str">
        <f t="shared" si="171"/>
        <v>Fuzzy</v>
      </c>
      <c r="P1792" t="str">
        <f t="shared" si="172"/>
        <v>Fuzzy</v>
      </c>
    </row>
    <row r="1793" spans="1:16" x14ac:dyDescent="0.35">
      <c r="A1793" t="s">
        <v>1796</v>
      </c>
      <c r="B1793">
        <v>6006</v>
      </c>
      <c r="C1793">
        <v>28</v>
      </c>
      <c r="D1793">
        <v>69</v>
      </c>
      <c r="E1793">
        <v>526</v>
      </c>
      <c r="F1793">
        <v>4</v>
      </c>
      <c r="K1793" s="1">
        <f t="shared" si="173"/>
        <v>526</v>
      </c>
      <c r="L1793" s="1" t="str">
        <f t="shared" si="168"/>
        <v>Normal</v>
      </c>
      <c r="M1793" s="2">
        <f t="shared" si="169"/>
        <v>56.499999999999993</v>
      </c>
      <c r="N1793" s="1" t="str">
        <f t="shared" si="170"/>
        <v>Lembab</v>
      </c>
      <c r="O1793" t="str">
        <f t="shared" si="171"/>
        <v>Fuzzy</v>
      </c>
      <c r="P1793" t="str">
        <f t="shared" si="172"/>
        <v>Fuzzy</v>
      </c>
    </row>
    <row r="1794" spans="1:16" x14ac:dyDescent="0.35">
      <c r="A1794" t="s">
        <v>1797</v>
      </c>
      <c r="B1794">
        <v>6007</v>
      </c>
      <c r="C1794">
        <v>28</v>
      </c>
      <c r="D1794">
        <v>69</v>
      </c>
      <c r="E1794">
        <v>515</v>
      </c>
      <c r="F1794">
        <v>4</v>
      </c>
      <c r="K1794" s="1">
        <f t="shared" si="173"/>
        <v>515</v>
      </c>
      <c r="L1794" s="1" t="str">
        <f t="shared" si="168"/>
        <v>Normal</v>
      </c>
      <c r="M1794" s="2">
        <f t="shared" si="169"/>
        <v>53.75</v>
      </c>
      <c r="N1794" s="1" t="str">
        <f t="shared" si="170"/>
        <v>Lembab</v>
      </c>
      <c r="O1794" t="str">
        <f t="shared" si="171"/>
        <v>Fuzzy</v>
      </c>
      <c r="P1794" t="str">
        <f t="shared" si="172"/>
        <v>Fuzzy</v>
      </c>
    </row>
    <row r="1795" spans="1:16" x14ac:dyDescent="0.35">
      <c r="A1795" t="s">
        <v>1798</v>
      </c>
      <c r="B1795">
        <v>6008</v>
      </c>
      <c r="C1795">
        <v>28</v>
      </c>
      <c r="D1795">
        <v>69</v>
      </c>
      <c r="E1795">
        <v>488</v>
      </c>
      <c r="F1795">
        <v>3</v>
      </c>
      <c r="K1795" s="1">
        <f t="shared" si="173"/>
        <v>488</v>
      </c>
      <c r="L1795" s="1" t="str">
        <f t="shared" ref="L1795:L1858" si="174">IF(A1794 &lt;= 10, "Dingin", IF(OR(A1794 &gt;= 10, A1794 &lt; 35), "Normal", "Panas"))</f>
        <v>Normal</v>
      </c>
      <c r="M1795" s="2">
        <f t="shared" ref="M1795:M1858" si="175">IF(K1795&lt;=300, K1795/1023*100, IF(K1795&lt;=700, (K1795-300)/(700-301+1)*100, (K1795-700)/(1023-701+1)*100))</f>
        <v>47</v>
      </c>
      <c r="N1795" s="1" t="str">
        <f t="shared" ref="N1795:N1858" si="176">IF(M1795&lt;=29.32, "Kering", IF(M1795&lt;=68.53, "Lembab", "Basah"))</f>
        <v>Lembab</v>
      </c>
      <c r="O1795" t="str">
        <f t="shared" ref="O1795:O1858" si="177">IF(OR(AND(C1795 &gt; 10, C1795 &lt; 22.5), AND(C1795 &gt;= 22.5, C1795 &lt; 35)), "Fuzzy", "")</f>
        <v>Fuzzy</v>
      </c>
      <c r="P1795" t="str">
        <f t="shared" ref="P1795:P1858" si="178">IF(OR(AND(M1795 &gt;= 0, M1795 &lt; 50), AND(M1795 &gt;= 50, M1795 &lt; 100)), "Fuzzy", "")</f>
        <v>Fuzzy</v>
      </c>
    </row>
    <row r="1796" spans="1:16" x14ac:dyDescent="0.35">
      <c r="A1796" t="s">
        <v>1799</v>
      </c>
      <c r="B1796">
        <v>6009</v>
      </c>
      <c r="C1796">
        <v>28</v>
      </c>
      <c r="D1796">
        <v>69</v>
      </c>
      <c r="E1796">
        <v>489</v>
      </c>
      <c r="F1796">
        <v>4</v>
      </c>
      <c r="K1796" s="1">
        <f t="shared" si="173"/>
        <v>489</v>
      </c>
      <c r="L1796" s="1" t="str">
        <f t="shared" si="174"/>
        <v>Normal</v>
      </c>
      <c r="M1796" s="2">
        <f t="shared" si="175"/>
        <v>47.25</v>
      </c>
      <c r="N1796" s="1" t="str">
        <f t="shared" si="176"/>
        <v>Lembab</v>
      </c>
      <c r="O1796" t="str">
        <f t="shared" si="177"/>
        <v>Fuzzy</v>
      </c>
      <c r="P1796" t="str">
        <f t="shared" si="178"/>
        <v>Fuzzy</v>
      </c>
    </row>
    <row r="1797" spans="1:16" x14ac:dyDescent="0.35">
      <c r="A1797" t="s">
        <v>1800</v>
      </c>
      <c r="B1797">
        <v>6010</v>
      </c>
      <c r="C1797">
        <v>28</v>
      </c>
      <c r="D1797">
        <v>69</v>
      </c>
      <c r="E1797">
        <v>477</v>
      </c>
      <c r="F1797">
        <v>4</v>
      </c>
      <c r="K1797" s="1">
        <f t="shared" si="173"/>
        <v>477</v>
      </c>
      <c r="L1797" s="1" t="str">
        <f t="shared" si="174"/>
        <v>Normal</v>
      </c>
      <c r="M1797" s="2">
        <f t="shared" si="175"/>
        <v>44.25</v>
      </c>
      <c r="N1797" s="1" t="str">
        <f t="shared" si="176"/>
        <v>Lembab</v>
      </c>
      <c r="O1797" t="str">
        <f t="shared" si="177"/>
        <v>Fuzzy</v>
      </c>
      <c r="P1797" t="str">
        <f t="shared" si="178"/>
        <v>Fuzzy</v>
      </c>
    </row>
    <row r="1798" spans="1:16" x14ac:dyDescent="0.35">
      <c r="A1798" t="s">
        <v>1801</v>
      </c>
      <c r="B1798">
        <v>6011</v>
      </c>
      <c r="C1798">
        <v>28</v>
      </c>
      <c r="D1798">
        <v>69</v>
      </c>
      <c r="E1798">
        <v>439</v>
      </c>
      <c r="F1798">
        <v>4</v>
      </c>
      <c r="K1798" s="1">
        <f t="shared" si="173"/>
        <v>439</v>
      </c>
      <c r="L1798" s="1" t="str">
        <f t="shared" si="174"/>
        <v>Normal</v>
      </c>
      <c r="M1798" s="2">
        <f t="shared" si="175"/>
        <v>34.75</v>
      </c>
      <c r="N1798" s="1" t="str">
        <f t="shared" si="176"/>
        <v>Lembab</v>
      </c>
      <c r="O1798" t="str">
        <f t="shared" si="177"/>
        <v>Fuzzy</v>
      </c>
      <c r="P1798" t="str">
        <f t="shared" si="178"/>
        <v>Fuzzy</v>
      </c>
    </row>
    <row r="1799" spans="1:16" x14ac:dyDescent="0.35">
      <c r="A1799" t="s">
        <v>1802</v>
      </c>
      <c r="B1799">
        <v>6012</v>
      </c>
      <c r="C1799">
        <v>28</v>
      </c>
      <c r="D1799">
        <v>70</v>
      </c>
      <c r="E1799">
        <v>514</v>
      </c>
      <c r="F1799">
        <v>4</v>
      </c>
      <c r="K1799" s="1">
        <f t="shared" si="173"/>
        <v>514</v>
      </c>
      <c r="L1799" s="1" t="str">
        <f t="shared" si="174"/>
        <v>Normal</v>
      </c>
      <c r="M1799" s="2">
        <f t="shared" si="175"/>
        <v>53.5</v>
      </c>
      <c r="N1799" s="1" t="str">
        <f t="shared" si="176"/>
        <v>Lembab</v>
      </c>
      <c r="O1799" t="str">
        <f t="shared" si="177"/>
        <v>Fuzzy</v>
      </c>
      <c r="P1799" t="str">
        <f t="shared" si="178"/>
        <v>Fuzzy</v>
      </c>
    </row>
    <row r="1800" spans="1:16" x14ac:dyDescent="0.35">
      <c r="A1800" t="s">
        <v>1803</v>
      </c>
      <c r="B1800">
        <v>6013</v>
      </c>
      <c r="C1800">
        <v>28</v>
      </c>
      <c r="D1800">
        <v>69</v>
      </c>
      <c r="E1800">
        <v>489</v>
      </c>
      <c r="F1800">
        <v>4</v>
      </c>
      <c r="K1800" s="1">
        <f t="shared" si="173"/>
        <v>489</v>
      </c>
      <c r="L1800" s="1" t="str">
        <f t="shared" si="174"/>
        <v>Normal</v>
      </c>
      <c r="M1800" s="2">
        <f t="shared" si="175"/>
        <v>47.25</v>
      </c>
      <c r="N1800" s="1" t="str">
        <f t="shared" si="176"/>
        <v>Lembab</v>
      </c>
      <c r="O1800" t="str">
        <f t="shared" si="177"/>
        <v>Fuzzy</v>
      </c>
      <c r="P1800" t="str">
        <f t="shared" si="178"/>
        <v>Fuzzy</v>
      </c>
    </row>
    <row r="1801" spans="1:16" x14ac:dyDescent="0.35">
      <c r="A1801" t="s">
        <v>1804</v>
      </c>
      <c r="B1801">
        <v>6014</v>
      </c>
      <c r="C1801">
        <v>28</v>
      </c>
      <c r="D1801">
        <v>69</v>
      </c>
      <c r="E1801">
        <v>511</v>
      </c>
      <c r="F1801">
        <v>4</v>
      </c>
      <c r="K1801" s="1">
        <f t="shared" si="173"/>
        <v>511</v>
      </c>
      <c r="L1801" s="1" t="str">
        <f t="shared" si="174"/>
        <v>Normal</v>
      </c>
      <c r="M1801" s="2">
        <f t="shared" si="175"/>
        <v>52.75</v>
      </c>
      <c r="N1801" s="1" t="str">
        <f t="shared" si="176"/>
        <v>Lembab</v>
      </c>
      <c r="O1801" t="str">
        <f t="shared" si="177"/>
        <v>Fuzzy</v>
      </c>
      <c r="P1801" t="str">
        <f t="shared" si="178"/>
        <v>Fuzzy</v>
      </c>
    </row>
    <row r="1802" spans="1:16" x14ac:dyDescent="0.35">
      <c r="A1802" t="s">
        <v>1805</v>
      </c>
      <c r="B1802">
        <v>6015</v>
      </c>
      <c r="C1802">
        <v>28</v>
      </c>
      <c r="D1802">
        <v>67</v>
      </c>
      <c r="E1802">
        <v>471</v>
      </c>
      <c r="F1802">
        <v>3</v>
      </c>
      <c r="K1802" s="1">
        <f t="shared" si="173"/>
        <v>471</v>
      </c>
      <c r="L1802" s="1" t="str">
        <f t="shared" si="174"/>
        <v>Normal</v>
      </c>
      <c r="M1802" s="2">
        <f t="shared" si="175"/>
        <v>42.75</v>
      </c>
      <c r="N1802" s="1" t="str">
        <f t="shared" si="176"/>
        <v>Lembab</v>
      </c>
      <c r="O1802" t="str">
        <f t="shared" si="177"/>
        <v>Fuzzy</v>
      </c>
      <c r="P1802" t="str">
        <f t="shared" si="178"/>
        <v>Fuzzy</v>
      </c>
    </row>
    <row r="1803" spans="1:16" x14ac:dyDescent="0.35">
      <c r="A1803" t="s">
        <v>1806</v>
      </c>
      <c r="B1803">
        <v>6016</v>
      </c>
      <c r="C1803">
        <v>28</v>
      </c>
      <c r="D1803">
        <v>67</v>
      </c>
      <c r="E1803">
        <v>447</v>
      </c>
      <c r="F1803">
        <v>4</v>
      </c>
      <c r="K1803" s="1">
        <f t="shared" si="173"/>
        <v>447</v>
      </c>
      <c r="L1803" s="1" t="str">
        <f t="shared" si="174"/>
        <v>Normal</v>
      </c>
      <c r="M1803" s="2">
        <f t="shared" si="175"/>
        <v>36.75</v>
      </c>
      <c r="N1803" s="1" t="str">
        <f t="shared" si="176"/>
        <v>Lembab</v>
      </c>
      <c r="O1803" t="str">
        <f t="shared" si="177"/>
        <v>Fuzzy</v>
      </c>
      <c r="P1803" t="str">
        <f t="shared" si="178"/>
        <v>Fuzzy</v>
      </c>
    </row>
    <row r="1804" spans="1:16" x14ac:dyDescent="0.35">
      <c r="A1804" t="s">
        <v>1807</v>
      </c>
      <c r="B1804">
        <v>6017</v>
      </c>
      <c r="C1804">
        <v>28</v>
      </c>
      <c r="D1804">
        <v>68</v>
      </c>
      <c r="E1804">
        <v>535</v>
      </c>
      <c r="F1804">
        <v>4</v>
      </c>
      <c r="K1804" s="1">
        <f t="shared" si="173"/>
        <v>535</v>
      </c>
      <c r="L1804" s="1" t="str">
        <f t="shared" si="174"/>
        <v>Normal</v>
      </c>
      <c r="M1804" s="2">
        <f t="shared" si="175"/>
        <v>58.75</v>
      </c>
      <c r="N1804" s="1" t="str">
        <f t="shared" si="176"/>
        <v>Lembab</v>
      </c>
      <c r="O1804" t="str">
        <f t="shared" si="177"/>
        <v>Fuzzy</v>
      </c>
      <c r="P1804" t="str">
        <f t="shared" si="178"/>
        <v>Fuzzy</v>
      </c>
    </row>
    <row r="1805" spans="1:16" x14ac:dyDescent="0.35">
      <c r="A1805" t="s">
        <v>1808</v>
      </c>
      <c r="B1805">
        <v>6018</v>
      </c>
      <c r="C1805">
        <v>28</v>
      </c>
      <c r="D1805">
        <v>68</v>
      </c>
      <c r="E1805">
        <v>348</v>
      </c>
      <c r="F1805">
        <v>3</v>
      </c>
      <c r="K1805" s="1">
        <f t="shared" ref="K1805:K1868" si="179">IF(E1805&lt;=1023, E1805, "")</f>
        <v>348</v>
      </c>
      <c r="L1805" s="1" t="str">
        <f t="shared" si="174"/>
        <v>Normal</v>
      </c>
      <c r="M1805" s="2">
        <f t="shared" si="175"/>
        <v>12</v>
      </c>
      <c r="N1805" s="1" t="str">
        <f t="shared" si="176"/>
        <v>Kering</v>
      </c>
      <c r="O1805" t="str">
        <f t="shared" si="177"/>
        <v>Fuzzy</v>
      </c>
      <c r="P1805" t="str">
        <f t="shared" si="178"/>
        <v>Fuzzy</v>
      </c>
    </row>
    <row r="1806" spans="1:16" x14ac:dyDescent="0.35">
      <c r="A1806" t="s">
        <v>1809</v>
      </c>
      <c r="B1806">
        <v>6019</v>
      </c>
      <c r="C1806">
        <v>28</v>
      </c>
      <c r="D1806">
        <v>69</v>
      </c>
      <c r="E1806">
        <v>539</v>
      </c>
      <c r="F1806">
        <v>4</v>
      </c>
      <c r="K1806" s="1">
        <f t="shared" si="179"/>
        <v>539</v>
      </c>
      <c r="L1806" s="1" t="str">
        <f t="shared" si="174"/>
        <v>Normal</v>
      </c>
      <c r="M1806" s="2">
        <f t="shared" si="175"/>
        <v>59.75</v>
      </c>
      <c r="N1806" s="1" t="str">
        <f t="shared" si="176"/>
        <v>Lembab</v>
      </c>
      <c r="O1806" t="str">
        <f t="shared" si="177"/>
        <v>Fuzzy</v>
      </c>
      <c r="P1806" t="str">
        <f t="shared" si="178"/>
        <v>Fuzzy</v>
      </c>
    </row>
    <row r="1807" spans="1:16" x14ac:dyDescent="0.35">
      <c r="A1807" t="s">
        <v>1810</v>
      </c>
      <c r="B1807">
        <v>6020</v>
      </c>
      <c r="C1807">
        <v>28</v>
      </c>
      <c r="D1807">
        <v>69</v>
      </c>
      <c r="E1807">
        <v>487</v>
      </c>
      <c r="F1807">
        <v>4</v>
      </c>
      <c r="K1807" s="1">
        <f t="shared" si="179"/>
        <v>487</v>
      </c>
      <c r="L1807" s="1" t="str">
        <f t="shared" si="174"/>
        <v>Normal</v>
      </c>
      <c r="M1807" s="2">
        <f t="shared" si="175"/>
        <v>46.75</v>
      </c>
      <c r="N1807" s="1" t="str">
        <f t="shared" si="176"/>
        <v>Lembab</v>
      </c>
      <c r="O1807" t="str">
        <f t="shared" si="177"/>
        <v>Fuzzy</v>
      </c>
      <c r="P1807" t="str">
        <f t="shared" si="178"/>
        <v>Fuzzy</v>
      </c>
    </row>
    <row r="1808" spans="1:16" x14ac:dyDescent="0.35">
      <c r="A1808" t="s">
        <v>1811</v>
      </c>
      <c r="B1808">
        <v>6021</v>
      </c>
      <c r="C1808">
        <v>28</v>
      </c>
      <c r="D1808">
        <v>69</v>
      </c>
      <c r="E1808">
        <v>492</v>
      </c>
      <c r="F1808">
        <v>4</v>
      </c>
      <c r="K1808" s="1">
        <f t="shared" si="179"/>
        <v>492</v>
      </c>
      <c r="L1808" s="1" t="str">
        <f t="shared" si="174"/>
        <v>Normal</v>
      </c>
      <c r="M1808" s="2">
        <f t="shared" si="175"/>
        <v>48</v>
      </c>
      <c r="N1808" s="1" t="str">
        <f t="shared" si="176"/>
        <v>Lembab</v>
      </c>
      <c r="O1808" t="str">
        <f t="shared" si="177"/>
        <v>Fuzzy</v>
      </c>
      <c r="P1808" t="str">
        <f t="shared" si="178"/>
        <v>Fuzzy</v>
      </c>
    </row>
    <row r="1809" spans="1:16" x14ac:dyDescent="0.35">
      <c r="A1809" t="s">
        <v>1812</v>
      </c>
      <c r="B1809">
        <v>6022</v>
      </c>
      <c r="C1809">
        <v>28</v>
      </c>
      <c r="D1809">
        <v>69</v>
      </c>
      <c r="E1809">
        <v>455</v>
      </c>
      <c r="F1809">
        <v>4</v>
      </c>
      <c r="K1809" s="1">
        <f t="shared" si="179"/>
        <v>455</v>
      </c>
      <c r="L1809" s="1" t="str">
        <f t="shared" si="174"/>
        <v>Normal</v>
      </c>
      <c r="M1809" s="2">
        <f t="shared" si="175"/>
        <v>38.75</v>
      </c>
      <c r="N1809" s="1" t="str">
        <f t="shared" si="176"/>
        <v>Lembab</v>
      </c>
      <c r="O1809" t="str">
        <f t="shared" si="177"/>
        <v>Fuzzy</v>
      </c>
      <c r="P1809" t="str">
        <f t="shared" si="178"/>
        <v>Fuzzy</v>
      </c>
    </row>
    <row r="1810" spans="1:16" x14ac:dyDescent="0.35">
      <c r="A1810" t="s">
        <v>1813</v>
      </c>
      <c r="B1810">
        <v>6023</v>
      </c>
      <c r="C1810">
        <v>28</v>
      </c>
      <c r="D1810">
        <v>69</v>
      </c>
      <c r="E1810">
        <v>505</v>
      </c>
      <c r="F1810">
        <v>4</v>
      </c>
      <c r="K1810" s="1">
        <f t="shared" si="179"/>
        <v>505</v>
      </c>
      <c r="L1810" s="1" t="str">
        <f t="shared" si="174"/>
        <v>Normal</v>
      </c>
      <c r="M1810" s="2">
        <f t="shared" si="175"/>
        <v>51.249999999999993</v>
      </c>
      <c r="N1810" s="1" t="str">
        <f t="shared" si="176"/>
        <v>Lembab</v>
      </c>
      <c r="O1810" t="str">
        <f t="shared" si="177"/>
        <v>Fuzzy</v>
      </c>
      <c r="P1810" t="str">
        <f t="shared" si="178"/>
        <v>Fuzzy</v>
      </c>
    </row>
    <row r="1811" spans="1:16" x14ac:dyDescent="0.35">
      <c r="A1811" t="s">
        <v>1814</v>
      </c>
      <c r="B1811">
        <v>6024</v>
      </c>
      <c r="C1811">
        <v>28</v>
      </c>
      <c r="D1811">
        <v>69</v>
      </c>
      <c r="E1811">
        <v>466</v>
      </c>
      <c r="F1811">
        <v>4</v>
      </c>
      <c r="K1811" s="1">
        <f t="shared" si="179"/>
        <v>466</v>
      </c>
      <c r="L1811" s="1" t="str">
        <f t="shared" si="174"/>
        <v>Normal</v>
      </c>
      <c r="M1811" s="2">
        <f t="shared" si="175"/>
        <v>41.5</v>
      </c>
      <c r="N1811" s="1" t="str">
        <f t="shared" si="176"/>
        <v>Lembab</v>
      </c>
      <c r="O1811" t="str">
        <f t="shared" si="177"/>
        <v>Fuzzy</v>
      </c>
      <c r="P1811" t="str">
        <f t="shared" si="178"/>
        <v>Fuzzy</v>
      </c>
    </row>
    <row r="1812" spans="1:16" x14ac:dyDescent="0.35">
      <c r="A1812" t="s">
        <v>1815</v>
      </c>
      <c r="B1812">
        <v>6025</v>
      </c>
      <c r="C1812">
        <v>28</v>
      </c>
      <c r="D1812">
        <v>70</v>
      </c>
      <c r="E1812">
        <v>480</v>
      </c>
      <c r="F1812">
        <v>4</v>
      </c>
      <c r="K1812" s="1">
        <f t="shared" si="179"/>
        <v>480</v>
      </c>
      <c r="L1812" s="1" t="str">
        <f t="shared" si="174"/>
        <v>Normal</v>
      </c>
      <c r="M1812" s="2">
        <f t="shared" si="175"/>
        <v>45</v>
      </c>
      <c r="N1812" s="1" t="str">
        <f t="shared" si="176"/>
        <v>Lembab</v>
      </c>
      <c r="O1812" t="str">
        <f t="shared" si="177"/>
        <v>Fuzzy</v>
      </c>
      <c r="P1812" t="str">
        <f t="shared" si="178"/>
        <v>Fuzzy</v>
      </c>
    </row>
    <row r="1813" spans="1:16" x14ac:dyDescent="0.35">
      <c r="A1813" t="s">
        <v>1816</v>
      </c>
      <c r="B1813">
        <v>6026</v>
      </c>
      <c r="C1813">
        <v>28</v>
      </c>
      <c r="D1813">
        <v>70</v>
      </c>
      <c r="E1813">
        <v>448</v>
      </c>
      <c r="F1813">
        <v>3</v>
      </c>
      <c r="K1813" s="1">
        <f t="shared" si="179"/>
        <v>448</v>
      </c>
      <c r="L1813" s="1" t="str">
        <f t="shared" si="174"/>
        <v>Normal</v>
      </c>
      <c r="M1813" s="2">
        <f t="shared" si="175"/>
        <v>37</v>
      </c>
      <c r="N1813" s="1" t="str">
        <f t="shared" si="176"/>
        <v>Lembab</v>
      </c>
      <c r="O1813" t="str">
        <f t="shared" si="177"/>
        <v>Fuzzy</v>
      </c>
      <c r="P1813" t="str">
        <f t="shared" si="178"/>
        <v>Fuzzy</v>
      </c>
    </row>
    <row r="1814" spans="1:16" x14ac:dyDescent="0.35">
      <c r="A1814" t="s">
        <v>1817</v>
      </c>
      <c r="B1814">
        <v>6027</v>
      </c>
      <c r="C1814">
        <v>28</v>
      </c>
      <c r="D1814">
        <v>70</v>
      </c>
      <c r="E1814">
        <v>460</v>
      </c>
      <c r="F1814">
        <v>4</v>
      </c>
      <c r="K1814" s="1">
        <f t="shared" si="179"/>
        <v>460</v>
      </c>
      <c r="L1814" s="1" t="str">
        <f t="shared" si="174"/>
        <v>Normal</v>
      </c>
      <c r="M1814" s="2">
        <f t="shared" si="175"/>
        <v>40</v>
      </c>
      <c r="N1814" s="1" t="str">
        <f t="shared" si="176"/>
        <v>Lembab</v>
      </c>
      <c r="O1814" t="str">
        <f t="shared" si="177"/>
        <v>Fuzzy</v>
      </c>
      <c r="P1814" t="str">
        <f t="shared" si="178"/>
        <v>Fuzzy</v>
      </c>
    </row>
    <row r="1815" spans="1:16" x14ac:dyDescent="0.35">
      <c r="A1815" t="s">
        <v>1818</v>
      </c>
      <c r="B1815">
        <v>6028</v>
      </c>
      <c r="C1815">
        <v>28</v>
      </c>
      <c r="D1815">
        <v>70</v>
      </c>
      <c r="E1815">
        <v>481</v>
      </c>
      <c r="F1815">
        <v>5</v>
      </c>
      <c r="K1815" s="1">
        <f t="shared" si="179"/>
        <v>481</v>
      </c>
      <c r="L1815" s="1" t="str">
        <f t="shared" si="174"/>
        <v>Normal</v>
      </c>
      <c r="M1815" s="2">
        <f t="shared" si="175"/>
        <v>45.25</v>
      </c>
      <c r="N1815" s="1" t="str">
        <f t="shared" si="176"/>
        <v>Lembab</v>
      </c>
      <c r="O1815" t="str">
        <f t="shared" si="177"/>
        <v>Fuzzy</v>
      </c>
      <c r="P1815" t="str">
        <f t="shared" si="178"/>
        <v>Fuzzy</v>
      </c>
    </row>
    <row r="1816" spans="1:16" x14ac:dyDescent="0.35">
      <c r="A1816" t="s">
        <v>1819</v>
      </c>
      <c r="B1816">
        <v>6029</v>
      </c>
      <c r="C1816">
        <v>28</v>
      </c>
      <c r="D1816">
        <v>70</v>
      </c>
      <c r="E1816">
        <v>435</v>
      </c>
      <c r="F1816">
        <v>3</v>
      </c>
      <c r="K1816" s="1">
        <f t="shared" si="179"/>
        <v>435</v>
      </c>
      <c r="L1816" s="1" t="str">
        <f t="shared" si="174"/>
        <v>Normal</v>
      </c>
      <c r="M1816" s="2">
        <f t="shared" si="175"/>
        <v>33.75</v>
      </c>
      <c r="N1816" s="1" t="str">
        <f t="shared" si="176"/>
        <v>Lembab</v>
      </c>
      <c r="O1816" t="str">
        <f t="shared" si="177"/>
        <v>Fuzzy</v>
      </c>
      <c r="P1816" t="str">
        <f t="shared" si="178"/>
        <v>Fuzzy</v>
      </c>
    </row>
    <row r="1817" spans="1:16" x14ac:dyDescent="0.35">
      <c r="A1817" t="s">
        <v>1820</v>
      </c>
      <c r="B1817">
        <v>6030</v>
      </c>
      <c r="C1817">
        <v>28</v>
      </c>
      <c r="D1817">
        <v>70</v>
      </c>
      <c r="E1817">
        <v>465</v>
      </c>
      <c r="F1817">
        <v>4</v>
      </c>
      <c r="K1817" s="1">
        <f t="shared" si="179"/>
        <v>465</v>
      </c>
      <c r="L1817" s="1" t="str">
        <f t="shared" si="174"/>
        <v>Normal</v>
      </c>
      <c r="M1817" s="2">
        <f t="shared" si="175"/>
        <v>41.25</v>
      </c>
      <c r="N1817" s="1" t="str">
        <f t="shared" si="176"/>
        <v>Lembab</v>
      </c>
      <c r="O1817" t="str">
        <f t="shared" si="177"/>
        <v>Fuzzy</v>
      </c>
      <c r="P1817" t="str">
        <f t="shared" si="178"/>
        <v>Fuzzy</v>
      </c>
    </row>
    <row r="1818" spans="1:16" x14ac:dyDescent="0.35">
      <c r="A1818" t="s">
        <v>1821</v>
      </c>
      <c r="B1818">
        <v>6031</v>
      </c>
      <c r="C1818">
        <v>28</v>
      </c>
      <c r="D1818">
        <v>69</v>
      </c>
      <c r="E1818">
        <v>534</v>
      </c>
      <c r="F1818">
        <v>4</v>
      </c>
      <c r="K1818" s="1">
        <f t="shared" si="179"/>
        <v>534</v>
      </c>
      <c r="L1818" s="1" t="str">
        <f t="shared" si="174"/>
        <v>Normal</v>
      </c>
      <c r="M1818" s="2">
        <f t="shared" si="175"/>
        <v>58.5</v>
      </c>
      <c r="N1818" s="1" t="str">
        <f t="shared" si="176"/>
        <v>Lembab</v>
      </c>
      <c r="O1818" t="str">
        <f t="shared" si="177"/>
        <v>Fuzzy</v>
      </c>
      <c r="P1818" t="str">
        <f t="shared" si="178"/>
        <v>Fuzzy</v>
      </c>
    </row>
    <row r="1819" spans="1:16" x14ac:dyDescent="0.35">
      <c r="A1819" t="s">
        <v>1822</v>
      </c>
      <c r="B1819">
        <v>6032</v>
      </c>
      <c r="C1819">
        <v>28</v>
      </c>
      <c r="D1819">
        <v>69</v>
      </c>
      <c r="E1819">
        <v>480</v>
      </c>
      <c r="F1819">
        <v>4</v>
      </c>
      <c r="K1819" s="1">
        <f t="shared" si="179"/>
        <v>480</v>
      </c>
      <c r="L1819" s="1" t="str">
        <f t="shared" si="174"/>
        <v>Normal</v>
      </c>
      <c r="M1819" s="2">
        <f t="shared" si="175"/>
        <v>45</v>
      </c>
      <c r="N1819" s="1" t="str">
        <f t="shared" si="176"/>
        <v>Lembab</v>
      </c>
      <c r="O1819" t="str">
        <f t="shared" si="177"/>
        <v>Fuzzy</v>
      </c>
      <c r="P1819" t="str">
        <f t="shared" si="178"/>
        <v>Fuzzy</v>
      </c>
    </row>
    <row r="1820" spans="1:16" x14ac:dyDescent="0.35">
      <c r="A1820" t="s">
        <v>1823</v>
      </c>
      <c r="B1820">
        <v>6033</v>
      </c>
      <c r="C1820">
        <v>28</v>
      </c>
      <c r="D1820">
        <v>69</v>
      </c>
      <c r="E1820">
        <v>406</v>
      </c>
      <c r="F1820">
        <v>4</v>
      </c>
      <c r="K1820" s="1">
        <f t="shared" si="179"/>
        <v>406</v>
      </c>
      <c r="L1820" s="1" t="str">
        <f t="shared" si="174"/>
        <v>Normal</v>
      </c>
      <c r="M1820" s="2">
        <f t="shared" si="175"/>
        <v>26.5</v>
      </c>
      <c r="N1820" s="1" t="str">
        <f t="shared" si="176"/>
        <v>Kering</v>
      </c>
      <c r="O1820" t="str">
        <f t="shared" si="177"/>
        <v>Fuzzy</v>
      </c>
      <c r="P1820" t="str">
        <f t="shared" si="178"/>
        <v>Fuzzy</v>
      </c>
    </row>
    <row r="1821" spans="1:16" x14ac:dyDescent="0.35">
      <c r="A1821" t="s">
        <v>1824</v>
      </c>
      <c r="B1821">
        <v>6034</v>
      </c>
      <c r="C1821">
        <v>28</v>
      </c>
      <c r="D1821">
        <v>69</v>
      </c>
      <c r="E1821">
        <v>496</v>
      </c>
      <c r="F1821">
        <v>4</v>
      </c>
      <c r="K1821" s="1">
        <f t="shared" si="179"/>
        <v>496</v>
      </c>
      <c r="L1821" s="1" t="str">
        <f t="shared" si="174"/>
        <v>Normal</v>
      </c>
      <c r="M1821" s="2">
        <f t="shared" si="175"/>
        <v>49</v>
      </c>
      <c r="N1821" s="1" t="str">
        <f t="shared" si="176"/>
        <v>Lembab</v>
      </c>
      <c r="O1821" t="str">
        <f t="shared" si="177"/>
        <v>Fuzzy</v>
      </c>
      <c r="P1821" t="str">
        <f t="shared" si="178"/>
        <v>Fuzzy</v>
      </c>
    </row>
    <row r="1822" spans="1:16" x14ac:dyDescent="0.35">
      <c r="A1822" t="s">
        <v>1825</v>
      </c>
      <c r="B1822">
        <v>6035</v>
      </c>
      <c r="C1822">
        <v>28</v>
      </c>
      <c r="D1822">
        <v>69</v>
      </c>
      <c r="E1822">
        <v>398</v>
      </c>
      <c r="F1822">
        <v>4</v>
      </c>
      <c r="K1822" s="1">
        <f t="shared" si="179"/>
        <v>398</v>
      </c>
      <c r="L1822" s="1" t="str">
        <f t="shared" si="174"/>
        <v>Normal</v>
      </c>
      <c r="M1822" s="2">
        <f t="shared" si="175"/>
        <v>24.5</v>
      </c>
      <c r="N1822" s="1" t="str">
        <f t="shared" si="176"/>
        <v>Kering</v>
      </c>
      <c r="O1822" t="str">
        <f t="shared" si="177"/>
        <v>Fuzzy</v>
      </c>
      <c r="P1822" t="str">
        <f t="shared" si="178"/>
        <v>Fuzzy</v>
      </c>
    </row>
    <row r="1823" spans="1:16" x14ac:dyDescent="0.35">
      <c r="A1823" t="s">
        <v>1826</v>
      </c>
      <c r="B1823">
        <v>6036</v>
      </c>
      <c r="C1823">
        <v>28</v>
      </c>
      <c r="D1823">
        <v>69</v>
      </c>
      <c r="E1823">
        <v>450</v>
      </c>
      <c r="F1823">
        <v>4</v>
      </c>
      <c r="K1823" s="1">
        <f t="shared" si="179"/>
        <v>450</v>
      </c>
      <c r="L1823" s="1" t="str">
        <f t="shared" si="174"/>
        <v>Normal</v>
      </c>
      <c r="M1823" s="2">
        <f t="shared" si="175"/>
        <v>37.5</v>
      </c>
      <c r="N1823" s="1" t="str">
        <f t="shared" si="176"/>
        <v>Lembab</v>
      </c>
      <c r="O1823" t="str">
        <f t="shared" si="177"/>
        <v>Fuzzy</v>
      </c>
      <c r="P1823" t="str">
        <f t="shared" si="178"/>
        <v>Fuzzy</v>
      </c>
    </row>
    <row r="1824" spans="1:16" x14ac:dyDescent="0.35">
      <c r="A1824" t="s">
        <v>1827</v>
      </c>
      <c r="B1824">
        <v>6037</v>
      </c>
      <c r="C1824">
        <v>28</v>
      </c>
      <c r="D1824">
        <v>69</v>
      </c>
      <c r="E1824">
        <v>476</v>
      </c>
      <c r="F1824">
        <v>4</v>
      </c>
      <c r="K1824" s="1">
        <f t="shared" si="179"/>
        <v>476</v>
      </c>
      <c r="L1824" s="1" t="str">
        <f t="shared" si="174"/>
        <v>Normal</v>
      </c>
      <c r="M1824" s="2">
        <f t="shared" si="175"/>
        <v>44</v>
      </c>
      <c r="N1824" s="1" t="str">
        <f t="shared" si="176"/>
        <v>Lembab</v>
      </c>
      <c r="O1824" t="str">
        <f t="shared" si="177"/>
        <v>Fuzzy</v>
      </c>
      <c r="P1824" t="str">
        <f t="shared" si="178"/>
        <v>Fuzzy</v>
      </c>
    </row>
    <row r="1825" spans="1:16" x14ac:dyDescent="0.35">
      <c r="A1825" t="s">
        <v>1828</v>
      </c>
      <c r="B1825">
        <v>6038</v>
      </c>
      <c r="C1825">
        <v>28</v>
      </c>
      <c r="D1825">
        <v>69</v>
      </c>
      <c r="E1825">
        <v>480</v>
      </c>
      <c r="F1825">
        <v>4</v>
      </c>
      <c r="K1825" s="1">
        <f t="shared" si="179"/>
        <v>480</v>
      </c>
      <c r="L1825" s="1" t="str">
        <f t="shared" si="174"/>
        <v>Normal</v>
      </c>
      <c r="M1825" s="2">
        <f t="shared" si="175"/>
        <v>45</v>
      </c>
      <c r="N1825" s="1" t="str">
        <f t="shared" si="176"/>
        <v>Lembab</v>
      </c>
      <c r="O1825" t="str">
        <f t="shared" si="177"/>
        <v>Fuzzy</v>
      </c>
      <c r="P1825" t="str">
        <f t="shared" si="178"/>
        <v>Fuzzy</v>
      </c>
    </row>
    <row r="1826" spans="1:16" x14ac:dyDescent="0.35">
      <c r="A1826" t="s">
        <v>1829</v>
      </c>
      <c r="B1826">
        <v>6039</v>
      </c>
      <c r="C1826">
        <v>28</v>
      </c>
      <c r="D1826">
        <v>69</v>
      </c>
      <c r="E1826">
        <v>482</v>
      </c>
      <c r="F1826">
        <v>4</v>
      </c>
      <c r="K1826" s="1">
        <f t="shared" si="179"/>
        <v>482</v>
      </c>
      <c r="L1826" s="1" t="str">
        <f t="shared" si="174"/>
        <v>Normal</v>
      </c>
      <c r="M1826" s="2">
        <f t="shared" si="175"/>
        <v>45.5</v>
      </c>
      <c r="N1826" s="1" t="str">
        <f t="shared" si="176"/>
        <v>Lembab</v>
      </c>
      <c r="O1826" t="str">
        <f t="shared" si="177"/>
        <v>Fuzzy</v>
      </c>
      <c r="P1826" t="str">
        <f t="shared" si="178"/>
        <v>Fuzzy</v>
      </c>
    </row>
    <row r="1827" spans="1:16" x14ac:dyDescent="0.35">
      <c r="A1827" t="s">
        <v>1830</v>
      </c>
      <c r="B1827">
        <v>6040</v>
      </c>
      <c r="C1827">
        <v>28</v>
      </c>
      <c r="D1827">
        <v>67</v>
      </c>
      <c r="E1827">
        <v>481</v>
      </c>
      <c r="F1827">
        <v>4</v>
      </c>
      <c r="K1827" s="1">
        <f t="shared" si="179"/>
        <v>481</v>
      </c>
      <c r="L1827" s="1" t="str">
        <f t="shared" si="174"/>
        <v>Normal</v>
      </c>
      <c r="M1827" s="2">
        <f t="shared" si="175"/>
        <v>45.25</v>
      </c>
      <c r="N1827" s="1" t="str">
        <f t="shared" si="176"/>
        <v>Lembab</v>
      </c>
      <c r="O1827" t="str">
        <f t="shared" si="177"/>
        <v>Fuzzy</v>
      </c>
      <c r="P1827" t="str">
        <f t="shared" si="178"/>
        <v>Fuzzy</v>
      </c>
    </row>
    <row r="1828" spans="1:16" x14ac:dyDescent="0.35">
      <c r="A1828" t="s">
        <v>1831</v>
      </c>
      <c r="B1828">
        <v>6041</v>
      </c>
      <c r="C1828">
        <v>28</v>
      </c>
      <c r="D1828">
        <v>67</v>
      </c>
      <c r="E1828">
        <v>491</v>
      </c>
      <c r="F1828">
        <v>3</v>
      </c>
      <c r="K1828" s="1">
        <f t="shared" si="179"/>
        <v>491</v>
      </c>
      <c r="L1828" s="1" t="str">
        <f t="shared" si="174"/>
        <v>Normal</v>
      </c>
      <c r="M1828" s="2">
        <f t="shared" si="175"/>
        <v>47.75</v>
      </c>
      <c r="N1828" s="1" t="str">
        <f t="shared" si="176"/>
        <v>Lembab</v>
      </c>
      <c r="O1828" t="str">
        <f t="shared" si="177"/>
        <v>Fuzzy</v>
      </c>
      <c r="P1828" t="str">
        <f t="shared" si="178"/>
        <v>Fuzzy</v>
      </c>
    </row>
    <row r="1829" spans="1:16" x14ac:dyDescent="0.35">
      <c r="A1829" t="s">
        <v>1832</v>
      </c>
      <c r="B1829">
        <v>6042</v>
      </c>
      <c r="C1829">
        <v>28</v>
      </c>
      <c r="D1829">
        <v>67</v>
      </c>
      <c r="E1829">
        <v>417</v>
      </c>
      <c r="F1829">
        <v>3</v>
      </c>
      <c r="K1829" s="1">
        <f t="shared" si="179"/>
        <v>417</v>
      </c>
      <c r="L1829" s="1" t="str">
        <f t="shared" si="174"/>
        <v>Normal</v>
      </c>
      <c r="M1829" s="2">
        <f t="shared" si="175"/>
        <v>29.25</v>
      </c>
      <c r="N1829" s="1" t="str">
        <f t="shared" si="176"/>
        <v>Kering</v>
      </c>
      <c r="O1829" t="str">
        <f t="shared" si="177"/>
        <v>Fuzzy</v>
      </c>
      <c r="P1829" t="str">
        <f t="shared" si="178"/>
        <v>Fuzzy</v>
      </c>
    </row>
    <row r="1830" spans="1:16" x14ac:dyDescent="0.35">
      <c r="A1830" t="s">
        <v>1833</v>
      </c>
      <c r="B1830">
        <v>6043</v>
      </c>
      <c r="C1830">
        <v>28</v>
      </c>
      <c r="D1830">
        <v>68</v>
      </c>
      <c r="E1830">
        <v>483</v>
      </c>
      <c r="F1830">
        <v>4</v>
      </c>
      <c r="K1830" s="1">
        <f t="shared" si="179"/>
        <v>483</v>
      </c>
      <c r="L1830" s="1" t="str">
        <f t="shared" si="174"/>
        <v>Normal</v>
      </c>
      <c r="M1830" s="2">
        <f t="shared" si="175"/>
        <v>45.75</v>
      </c>
      <c r="N1830" s="1" t="str">
        <f t="shared" si="176"/>
        <v>Lembab</v>
      </c>
      <c r="O1830" t="str">
        <f t="shared" si="177"/>
        <v>Fuzzy</v>
      </c>
      <c r="P1830" t="str">
        <f t="shared" si="178"/>
        <v>Fuzzy</v>
      </c>
    </row>
    <row r="1831" spans="1:16" x14ac:dyDescent="0.35">
      <c r="A1831" t="s">
        <v>1834</v>
      </c>
      <c r="B1831">
        <v>6044</v>
      </c>
      <c r="C1831">
        <v>28</v>
      </c>
      <c r="D1831">
        <v>68</v>
      </c>
      <c r="E1831">
        <v>528</v>
      </c>
      <c r="F1831">
        <v>4</v>
      </c>
      <c r="K1831" s="1">
        <f t="shared" si="179"/>
        <v>528</v>
      </c>
      <c r="L1831" s="1" t="str">
        <f t="shared" si="174"/>
        <v>Normal</v>
      </c>
      <c r="M1831" s="2">
        <f t="shared" si="175"/>
        <v>56.999999999999993</v>
      </c>
      <c r="N1831" s="1" t="str">
        <f t="shared" si="176"/>
        <v>Lembab</v>
      </c>
      <c r="O1831" t="str">
        <f t="shared" si="177"/>
        <v>Fuzzy</v>
      </c>
      <c r="P1831" t="str">
        <f t="shared" si="178"/>
        <v>Fuzzy</v>
      </c>
    </row>
    <row r="1832" spans="1:16" x14ac:dyDescent="0.35">
      <c r="A1832" t="s">
        <v>1835</v>
      </c>
      <c r="B1832">
        <v>6045</v>
      </c>
      <c r="C1832">
        <v>28</v>
      </c>
      <c r="D1832">
        <v>69</v>
      </c>
      <c r="E1832">
        <v>505</v>
      </c>
      <c r="F1832">
        <v>3</v>
      </c>
      <c r="K1832" s="1">
        <f t="shared" si="179"/>
        <v>505</v>
      </c>
      <c r="L1832" s="1" t="str">
        <f t="shared" si="174"/>
        <v>Normal</v>
      </c>
      <c r="M1832" s="2">
        <f t="shared" si="175"/>
        <v>51.249999999999993</v>
      </c>
      <c r="N1832" s="1" t="str">
        <f t="shared" si="176"/>
        <v>Lembab</v>
      </c>
      <c r="O1832" t="str">
        <f t="shared" si="177"/>
        <v>Fuzzy</v>
      </c>
      <c r="P1832" t="str">
        <f t="shared" si="178"/>
        <v>Fuzzy</v>
      </c>
    </row>
    <row r="1833" spans="1:16" x14ac:dyDescent="0.35">
      <c r="A1833" t="s">
        <v>1836</v>
      </c>
      <c r="B1833">
        <v>6046</v>
      </c>
      <c r="C1833">
        <v>28</v>
      </c>
      <c r="D1833">
        <v>69</v>
      </c>
      <c r="E1833">
        <v>478</v>
      </c>
      <c r="F1833">
        <v>4</v>
      </c>
      <c r="K1833" s="1">
        <f t="shared" si="179"/>
        <v>478</v>
      </c>
      <c r="L1833" s="1" t="str">
        <f t="shared" si="174"/>
        <v>Normal</v>
      </c>
      <c r="M1833" s="2">
        <f t="shared" si="175"/>
        <v>44.5</v>
      </c>
      <c r="N1833" s="1" t="str">
        <f t="shared" si="176"/>
        <v>Lembab</v>
      </c>
      <c r="O1833" t="str">
        <f t="shared" si="177"/>
        <v>Fuzzy</v>
      </c>
      <c r="P1833" t="str">
        <f t="shared" si="178"/>
        <v>Fuzzy</v>
      </c>
    </row>
    <row r="1834" spans="1:16" x14ac:dyDescent="0.35">
      <c r="A1834" t="s">
        <v>1837</v>
      </c>
      <c r="B1834">
        <v>6047</v>
      </c>
      <c r="C1834">
        <v>28</v>
      </c>
      <c r="D1834">
        <v>69</v>
      </c>
      <c r="E1834">
        <v>512</v>
      </c>
      <c r="F1834">
        <v>4</v>
      </c>
      <c r="K1834" s="1">
        <f t="shared" si="179"/>
        <v>512</v>
      </c>
      <c r="L1834" s="1" t="str">
        <f t="shared" si="174"/>
        <v>Normal</v>
      </c>
      <c r="M1834" s="2">
        <f t="shared" si="175"/>
        <v>53</v>
      </c>
      <c r="N1834" s="1" t="str">
        <f t="shared" si="176"/>
        <v>Lembab</v>
      </c>
      <c r="O1834" t="str">
        <f t="shared" si="177"/>
        <v>Fuzzy</v>
      </c>
      <c r="P1834" t="str">
        <f t="shared" si="178"/>
        <v>Fuzzy</v>
      </c>
    </row>
    <row r="1835" spans="1:16" x14ac:dyDescent="0.35">
      <c r="A1835" t="s">
        <v>1838</v>
      </c>
      <c r="B1835">
        <v>6048</v>
      </c>
      <c r="C1835">
        <v>28</v>
      </c>
      <c r="D1835">
        <v>69</v>
      </c>
      <c r="E1835">
        <v>545</v>
      </c>
      <c r="F1835">
        <v>4</v>
      </c>
      <c r="K1835" s="1">
        <f t="shared" si="179"/>
        <v>545</v>
      </c>
      <c r="L1835" s="1" t="str">
        <f t="shared" si="174"/>
        <v>Normal</v>
      </c>
      <c r="M1835" s="2">
        <f t="shared" si="175"/>
        <v>61.250000000000007</v>
      </c>
      <c r="N1835" s="1" t="str">
        <f t="shared" si="176"/>
        <v>Lembab</v>
      </c>
      <c r="O1835" t="str">
        <f t="shared" si="177"/>
        <v>Fuzzy</v>
      </c>
      <c r="P1835" t="str">
        <f t="shared" si="178"/>
        <v>Fuzzy</v>
      </c>
    </row>
    <row r="1836" spans="1:16" x14ac:dyDescent="0.35">
      <c r="A1836" t="s">
        <v>1839</v>
      </c>
      <c r="B1836">
        <v>6049</v>
      </c>
      <c r="C1836">
        <v>28</v>
      </c>
      <c r="D1836">
        <v>70</v>
      </c>
      <c r="E1836">
        <v>496</v>
      </c>
      <c r="F1836">
        <v>5</v>
      </c>
      <c r="K1836" s="1">
        <f t="shared" si="179"/>
        <v>496</v>
      </c>
      <c r="L1836" s="1" t="str">
        <f t="shared" si="174"/>
        <v>Normal</v>
      </c>
      <c r="M1836" s="2">
        <f t="shared" si="175"/>
        <v>49</v>
      </c>
      <c r="N1836" s="1" t="str">
        <f t="shared" si="176"/>
        <v>Lembab</v>
      </c>
      <c r="O1836" t="str">
        <f t="shared" si="177"/>
        <v>Fuzzy</v>
      </c>
      <c r="P1836" t="str">
        <f t="shared" si="178"/>
        <v>Fuzzy</v>
      </c>
    </row>
    <row r="1837" spans="1:16" x14ac:dyDescent="0.35">
      <c r="A1837" t="s">
        <v>1840</v>
      </c>
      <c r="B1837">
        <v>6050</v>
      </c>
      <c r="C1837">
        <v>28</v>
      </c>
      <c r="D1837">
        <v>70</v>
      </c>
      <c r="E1837">
        <v>488</v>
      </c>
      <c r="F1837">
        <v>4</v>
      </c>
      <c r="K1837" s="1">
        <f t="shared" si="179"/>
        <v>488</v>
      </c>
      <c r="L1837" s="1" t="str">
        <f t="shared" si="174"/>
        <v>Normal</v>
      </c>
      <c r="M1837" s="2">
        <f t="shared" si="175"/>
        <v>47</v>
      </c>
      <c r="N1837" s="1" t="str">
        <f t="shared" si="176"/>
        <v>Lembab</v>
      </c>
      <c r="O1837" t="str">
        <f t="shared" si="177"/>
        <v>Fuzzy</v>
      </c>
      <c r="P1837" t="str">
        <f t="shared" si="178"/>
        <v>Fuzzy</v>
      </c>
    </row>
    <row r="1838" spans="1:16" x14ac:dyDescent="0.35">
      <c r="A1838" t="s">
        <v>1841</v>
      </c>
      <c r="B1838">
        <v>6051</v>
      </c>
      <c r="C1838">
        <v>28</v>
      </c>
      <c r="D1838">
        <v>70</v>
      </c>
      <c r="E1838">
        <v>401</v>
      </c>
      <c r="F1838">
        <v>4</v>
      </c>
      <c r="K1838" s="1">
        <f t="shared" si="179"/>
        <v>401</v>
      </c>
      <c r="L1838" s="1" t="str">
        <f t="shared" si="174"/>
        <v>Normal</v>
      </c>
      <c r="M1838" s="2">
        <f t="shared" si="175"/>
        <v>25.25</v>
      </c>
      <c r="N1838" s="1" t="str">
        <f t="shared" si="176"/>
        <v>Kering</v>
      </c>
      <c r="O1838" t="str">
        <f t="shared" si="177"/>
        <v>Fuzzy</v>
      </c>
      <c r="P1838" t="str">
        <f t="shared" si="178"/>
        <v>Fuzzy</v>
      </c>
    </row>
    <row r="1839" spans="1:16" x14ac:dyDescent="0.35">
      <c r="A1839" t="s">
        <v>1842</v>
      </c>
      <c r="B1839">
        <v>6052</v>
      </c>
      <c r="C1839">
        <v>28</v>
      </c>
      <c r="D1839">
        <v>70</v>
      </c>
      <c r="E1839">
        <v>449</v>
      </c>
      <c r="F1839">
        <v>4</v>
      </c>
      <c r="K1839" s="1">
        <f t="shared" si="179"/>
        <v>449</v>
      </c>
      <c r="L1839" s="1" t="str">
        <f t="shared" si="174"/>
        <v>Normal</v>
      </c>
      <c r="M1839" s="2">
        <f t="shared" si="175"/>
        <v>37.25</v>
      </c>
      <c r="N1839" s="1" t="str">
        <f t="shared" si="176"/>
        <v>Lembab</v>
      </c>
      <c r="O1839" t="str">
        <f t="shared" si="177"/>
        <v>Fuzzy</v>
      </c>
      <c r="P1839" t="str">
        <f t="shared" si="178"/>
        <v>Fuzzy</v>
      </c>
    </row>
    <row r="1840" spans="1:16" x14ac:dyDescent="0.35">
      <c r="A1840" t="s">
        <v>1843</v>
      </c>
      <c r="B1840">
        <v>6053</v>
      </c>
      <c r="C1840">
        <v>28</v>
      </c>
      <c r="D1840">
        <v>70</v>
      </c>
      <c r="E1840">
        <v>504</v>
      </c>
      <c r="F1840">
        <v>4</v>
      </c>
      <c r="K1840" s="1">
        <f t="shared" si="179"/>
        <v>504</v>
      </c>
      <c r="L1840" s="1" t="str">
        <f t="shared" si="174"/>
        <v>Normal</v>
      </c>
      <c r="M1840" s="2">
        <f t="shared" si="175"/>
        <v>51</v>
      </c>
      <c r="N1840" s="1" t="str">
        <f t="shared" si="176"/>
        <v>Lembab</v>
      </c>
      <c r="O1840" t="str">
        <f t="shared" si="177"/>
        <v>Fuzzy</v>
      </c>
      <c r="P1840" t="str">
        <f t="shared" si="178"/>
        <v>Fuzzy</v>
      </c>
    </row>
    <row r="1841" spans="1:16" x14ac:dyDescent="0.35">
      <c r="A1841" t="s">
        <v>1844</v>
      </c>
      <c r="B1841">
        <v>6054</v>
      </c>
      <c r="C1841">
        <v>28</v>
      </c>
      <c r="D1841">
        <v>70</v>
      </c>
      <c r="E1841">
        <v>493</v>
      </c>
      <c r="F1841">
        <v>4</v>
      </c>
      <c r="K1841" s="1">
        <f t="shared" si="179"/>
        <v>493</v>
      </c>
      <c r="L1841" s="1" t="str">
        <f t="shared" si="174"/>
        <v>Normal</v>
      </c>
      <c r="M1841" s="2">
        <f t="shared" si="175"/>
        <v>48.25</v>
      </c>
      <c r="N1841" s="1" t="str">
        <f t="shared" si="176"/>
        <v>Lembab</v>
      </c>
      <c r="O1841" t="str">
        <f t="shared" si="177"/>
        <v>Fuzzy</v>
      </c>
      <c r="P1841" t="str">
        <f t="shared" si="178"/>
        <v>Fuzzy</v>
      </c>
    </row>
    <row r="1842" spans="1:16" x14ac:dyDescent="0.35">
      <c r="A1842" t="s">
        <v>1845</v>
      </c>
      <c r="B1842">
        <v>6055</v>
      </c>
      <c r="C1842">
        <v>28</v>
      </c>
      <c r="D1842">
        <v>69</v>
      </c>
      <c r="E1842">
        <v>555</v>
      </c>
      <c r="F1842">
        <v>3</v>
      </c>
      <c r="K1842" s="1">
        <f t="shared" si="179"/>
        <v>555</v>
      </c>
      <c r="L1842" s="1" t="str">
        <f t="shared" si="174"/>
        <v>Normal</v>
      </c>
      <c r="M1842" s="2">
        <f t="shared" si="175"/>
        <v>63.749999999999993</v>
      </c>
      <c r="N1842" s="1" t="str">
        <f t="shared" si="176"/>
        <v>Lembab</v>
      </c>
      <c r="O1842" t="str">
        <f t="shared" si="177"/>
        <v>Fuzzy</v>
      </c>
      <c r="P1842" t="str">
        <f t="shared" si="178"/>
        <v>Fuzzy</v>
      </c>
    </row>
    <row r="1843" spans="1:16" x14ac:dyDescent="0.35">
      <c r="A1843" t="s">
        <v>1846</v>
      </c>
      <c r="B1843">
        <v>6056</v>
      </c>
      <c r="C1843">
        <v>28</v>
      </c>
      <c r="D1843">
        <v>69</v>
      </c>
      <c r="E1843">
        <v>437</v>
      </c>
      <c r="F1843">
        <v>4</v>
      </c>
      <c r="K1843" s="1">
        <f t="shared" si="179"/>
        <v>437</v>
      </c>
      <c r="L1843" s="1" t="str">
        <f t="shared" si="174"/>
        <v>Normal</v>
      </c>
      <c r="M1843" s="2">
        <f t="shared" si="175"/>
        <v>34.25</v>
      </c>
      <c r="N1843" s="1" t="str">
        <f t="shared" si="176"/>
        <v>Lembab</v>
      </c>
      <c r="O1843" t="str">
        <f t="shared" si="177"/>
        <v>Fuzzy</v>
      </c>
      <c r="P1843" t="str">
        <f t="shared" si="178"/>
        <v>Fuzzy</v>
      </c>
    </row>
    <row r="1844" spans="1:16" x14ac:dyDescent="0.35">
      <c r="A1844" t="s">
        <v>1847</v>
      </c>
      <c r="B1844">
        <v>6057</v>
      </c>
      <c r="C1844">
        <v>28</v>
      </c>
      <c r="D1844">
        <v>69</v>
      </c>
      <c r="E1844">
        <v>551</v>
      </c>
      <c r="F1844">
        <v>4</v>
      </c>
      <c r="K1844" s="1">
        <f t="shared" si="179"/>
        <v>551</v>
      </c>
      <c r="L1844" s="1" t="str">
        <f t="shared" si="174"/>
        <v>Normal</v>
      </c>
      <c r="M1844" s="2">
        <f t="shared" si="175"/>
        <v>62.749999999999993</v>
      </c>
      <c r="N1844" s="1" t="str">
        <f t="shared" si="176"/>
        <v>Lembab</v>
      </c>
      <c r="O1844" t="str">
        <f t="shared" si="177"/>
        <v>Fuzzy</v>
      </c>
      <c r="P1844" t="str">
        <f t="shared" si="178"/>
        <v>Fuzzy</v>
      </c>
    </row>
    <row r="1845" spans="1:16" x14ac:dyDescent="0.35">
      <c r="A1845" t="s">
        <v>1848</v>
      </c>
      <c r="B1845">
        <v>6058</v>
      </c>
      <c r="C1845">
        <v>28</v>
      </c>
      <c r="D1845">
        <v>69</v>
      </c>
      <c r="E1845">
        <v>539</v>
      </c>
      <c r="F1845">
        <v>3</v>
      </c>
      <c r="K1845" s="1">
        <f t="shared" si="179"/>
        <v>539</v>
      </c>
      <c r="L1845" s="1" t="str">
        <f t="shared" si="174"/>
        <v>Normal</v>
      </c>
      <c r="M1845" s="2">
        <f t="shared" si="175"/>
        <v>59.75</v>
      </c>
      <c r="N1845" s="1" t="str">
        <f t="shared" si="176"/>
        <v>Lembab</v>
      </c>
      <c r="O1845" t="str">
        <f t="shared" si="177"/>
        <v>Fuzzy</v>
      </c>
      <c r="P1845" t="str">
        <f t="shared" si="178"/>
        <v>Fuzzy</v>
      </c>
    </row>
    <row r="1846" spans="1:16" x14ac:dyDescent="0.35">
      <c r="A1846" t="s">
        <v>1849</v>
      </c>
      <c r="B1846">
        <v>6059</v>
      </c>
      <c r="C1846">
        <v>28</v>
      </c>
      <c r="D1846">
        <v>69</v>
      </c>
      <c r="E1846">
        <v>487</v>
      </c>
      <c r="F1846">
        <v>4</v>
      </c>
      <c r="K1846" s="1">
        <f t="shared" si="179"/>
        <v>487</v>
      </c>
      <c r="L1846" s="1" t="str">
        <f t="shared" si="174"/>
        <v>Normal</v>
      </c>
      <c r="M1846" s="2">
        <f t="shared" si="175"/>
        <v>46.75</v>
      </c>
      <c r="N1846" s="1" t="str">
        <f t="shared" si="176"/>
        <v>Lembab</v>
      </c>
      <c r="O1846" t="str">
        <f t="shared" si="177"/>
        <v>Fuzzy</v>
      </c>
      <c r="P1846" t="str">
        <f t="shared" si="178"/>
        <v>Fuzzy</v>
      </c>
    </row>
    <row r="1847" spans="1:16" x14ac:dyDescent="0.35">
      <c r="A1847" t="s">
        <v>1850</v>
      </c>
      <c r="B1847">
        <v>6060</v>
      </c>
      <c r="C1847">
        <v>28</v>
      </c>
      <c r="D1847">
        <v>69</v>
      </c>
      <c r="E1847">
        <v>514</v>
      </c>
      <c r="F1847">
        <v>3</v>
      </c>
      <c r="K1847" s="1">
        <f t="shared" si="179"/>
        <v>514</v>
      </c>
      <c r="L1847" s="1" t="str">
        <f t="shared" si="174"/>
        <v>Normal</v>
      </c>
      <c r="M1847" s="2">
        <f t="shared" si="175"/>
        <v>53.5</v>
      </c>
      <c r="N1847" s="1" t="str">
        <f t="shared" si="176"/>
        <v>Lembab</v>
      </c>
      <c r="O1847" t="str">
        <f t="shared" si="177"/>
        <v>Fuzzy</v>
      </c>
      <c r="P1847" t="str">
        <f t="shared" si="178"/>
        <v>Fuzzy</v>
      </c>
    </row>
    <row r="1848" spans="1:16" x14ac:dyDescent="0.35">
      <c r="A1848" t="s">
        <v>1851</v>
      </c>
      <c r="B1848">
        <v>6061</v>
      </c>
      <c r="C1848">
        <v>28</v>
      </c>
      <c r="D1848">
        <v>69</v>
      </c>
      <c r="E1848">
        <v>480</v>
      </c>
      <c r="F1848">
        <v>4</v>
      </c>
      <c r="K1848" s="1">
        <f t="shared" si="179"/>
        <v>480</v>
      </c>
      <c r="L1848" s="1" t="str">
        <f t="shared" si="174"/>
        <v>Normal</v>
      </c>
      <c r="M1848" s="2">
        <f t="shared" si="175"/>
        <v>45</v>
      </c>
      <c r="N1848" s="1" t="str">
        <f t="shared" si="176"/>
        <v>Lembab</v>
      </c>
      <c r="O1848" t="str">
        <f t="shared" si="177"/>
        <v>Fuzzy</v>
      </c>
      <c r="P1848" t="str">
        <f t="shared" si="178"/>
        <v>Fuzzy</v>
      </c>
    </row>
    <row r="1849" spans="1:16" x14ac:dyDescent="0.35">
      <c r="A1849" t="s">
        <v>1852</v>
      </c>
      <c r="B1849">
        <v>6062</v>
      </c>
      <c r="C1849">
        <v>28</v>
      </c>
      <c r="D1849">
        <v>69</v>
      </c>
      <c r="E1849">
        <v>297</v>
      </c>
      <c r="F1849">
        <v>4</v>
      </c>
      <c r="K1849" s="1">
        <f t="shared" si="179"/>
        <v>297</v>
      </c>
      <c r="L1849" s="1" t="str">
        <f t="shared" si="174"/>
        <v>Normal</v>
      </c>
      <c r="M1849" s="2">
        <f t="shared" si="175"/>
        <v>29.032258064516132</v>
      </c>
      <c r="N1849" s="1" t="str">
        <f t="shared" si="176"/>
        <v>Kering</v>
      </c>
      <c r="O1849" t="str">
        <f t="shared" si="177"/>
        <v>Fuzzy</v>
      </c>
      <c r="P1849" t="str">
        <f t="shared" si="178"/>
        <v>Fuzzy</v>
      </c>
    </row>
    <row r="1850" spans="1:16" x14ac:dyDescent="0.35">
      <c r="A1850" t="s">
        <v>1853</v>
      </c>
      <c r="B1850">
        <v>6063</v>
      </c>
      <c r="C1850">
        <v>28</v>
      </c>
      <c r="D1850">
        <v>69</v>
      </c>
      <c r="E1850">
        <v>461</v>
      </c>
      <c r="F1850">
        <v>4</v>
      </c>
      <c r="K1850" s="1">
        <f t="shared" si="179"/>
        <v>461</v>
      </c>
      <c r="L1850" s="1" t="str">
        <f t="shared" si="174"/>
        <v>Normal</v>
      </c>
      <c r="M1850" s="2">
        <f t="shared" si="175"/>
        <v>40.25</v>
      </c>
      <c r="N1850" s="1" t="str">
        <f t="shared" si="176"/>
        <v>Lembab</v>
      </c>
      <c r="O1850" t="str">
        <f t="shared" si="177"/>
        <v>Fuzzy</v>
      </c>
      <c r="P1850" t="str">
        <f t="shared" si="178"/>
        <v>Fuzzy</v>
      </c>
    </row>
    <row r="1851" spans="1:16" x14ac:dyDescent="0.35">
      <c r="A1851" t="s">
        <v>1854</v>
      </c>
      <c r="B1851">
        <v>6064</v>
      </c>
      <c r="C1851">
        <v>28</v>
      </c>
      <c r="D1851">
        <v>69</v>
      </c>
      <c r="E1851">
        <v>463</v>
      </c>
      <c r="F1851">
        <v>4</v>
      </c>
      <c r="K1851" s="1">
        <f t="shared" si="179"/>
        <v>463</v>
      </c>
      <c r="L1851" s="1" t="str">
        <f t="shared" si="174"/>
        <v>Normal</v>
      </c>
      <c r="M1851" s="2">
        <f t="shared" si="175"/>
        <v>40.75</v>
      </c>
      <c r="N1851" s="1" t="str">
        <f t="shared" si="176"/>
        <v>Lembab</v>
      </c>
      <c r="O1851" t="str">
        <f t="shared" si="177"/>
        <v>Fuzzy</v>
      </c>
      <c r="P1851" t="str">
        <f t="shared" si="178"/>
        <v>Fuzzy</v>
      </c>
    </row>
    <row r="1852" spans="1:16" x14ac:dyDescent="0.35">
      <c r="A1852" t="s">
        <v>1855</v>
      </c>
      <c r="B1852">
        <v>6065</v>
      </c>
      <c r="C1852">
        <v>28</v>
      </c>
      <c r="D1852">
        <v>68</v>
      </c>
      <c r="E1852">
        <v>442</v>
      </c>
      <c r="F1852">
        <v>4</v>
      </c>
      <c r="K1852" s="1">
        <f t="shared" si="179"/>
        <v>442</v>
      </c>
      <c r="L1852" s="1" t="str">
        <f t="shared" si="174"/>
        <v>Normal</v>
      </c>
      <c r="M1852" s="2">
        <f t="shared" si="175"/>
        <v>35.5</v>
      </c>
      <c r="N1852" s="1" t="str">
        <f t="shared" si="176"/>
        <v>Lembab</v>
      </c>
      <c r="O1852" t="str">
        <f t="shared" si="177"/>
        <v>Fuzzy</v>
      </c>
      <c r="P1852" t="str">
        <f t="shared" si="178"/>
        <v>Fuzzy</v>
      </c>
    </row>
    <row r="1853" spans="1:16" x14ac:dyDescent="0.35">
      <c r="A1853" t="s">
        <v>1856</v>
      </c>
      <c r="B1853">
        <v>6066</v>
      </c>
      <c r="C1853">
        <v>28</v>
      </c>
      <c r="D1853">
        <v>68</v>
      </c>
      <c r="E1853">
        <v>517</v>
      </c>
      <c r="F1853">
        <v>3</v>
      </c>
      <c r="K1853" s="1">
        <f t="shared" si="179"/>
        <v>517</v>
      </c>
      <c r="L1853" s="1" t="str">
        <f t="shared" si="174"/>
        <v>Normal</v>
      </c>
      <c r="M1853" s="2">
        <f t="shared" si="175"/>
        <v>54.25</v>
      </c>
      <c r="N1853" s="1" t="str">
        <f t="shared" si="176"/>
        <v>Lembab</v>
      </c>
      <c r="O1853" t="str">
        <f t="shared" si="177"/>
        <v>Fuzzy</v>
      </c>
      <c r="P1853" t="str">
        <f t="shared" si="178"/>
        <v>Fuzzy</v>
      </c>
    </row>
    <row r="1854" spans="1:16" x14ac:dyDescent="0.35">
      <c r="A1854" t="s">
        <v>1857</v>
      </c>
      <c r="B1854">
        <v>6067</v>
      </c>
      <c r="C1854">
        <v>28</v>
      </c>
      <c r="D1854">
        <v>67</v>
      </c>
      <c r="E1854">
        <v>454</v>
      </c>
      <c r="F1854">
        <v>4</v>
      </c>
      <c r="K1854" s="1">
        <f t="shared" si="179"/>
        <v>454</v>
      </c>
      <c r="L1854" s="1" t="str">
        <f t="shared" si="174"/>
        <v>Normal</v>
      </c>
      <c r="M1854" s="2">
        <f t="shared" si="175"/>
        <v>38.5</v>
      </c>
      <c r="N1854" s="1" t="str">
        <f t="shared" si="176"/>
        <v>Lembab</v>
      </c>
      <c r="O1854" t="str">
        <f t="shared" si="177"/>
        <v>Fuzzy</v>
      </c>
      <c r="P1854" t="str">
        <f t="shared" si="178"/>
        <v>Fuzzy</v>
      </c>
    </row>
    <row r="1855" spans="1:16" x14ac:dyDescent="0.35">
      <c r="A1855" t="s">
        <v>1858</v>
      </c>
      <c r="B1855">
        <v>6068</v>
      </c>
      <c r="C1855">
        <v>28</v>
      </c>
      <c r="D1855">
        <v>68</v>
      </c>
      <c r="E1855">
        <v>497</v>
      </c>
      <c r="F1855">
        <v>4</v>
      </c>
      <c r="K1855" s="1">
        <f t="shared" si="179"/>
        <v>497</v>
      </c>
      <c r="L1855" s="1" t="str">
        <f t="shared" si="174"/>
        <v>Normal</v>
      </c>
      <c r="M1855" s="2">
        <f t="shared" si="175"/>
        <v>49.25</v>
      </c>
      <c r="N1855" s="1" t="str">
        <f t="shared" si="176"/>
        <v>Lembab</v>
      </c>
      <c r="O1855" t="str">
        <f t="shared" si="177"/>
        <v>Fuzzy</v>
      </c>
      <c r="P1855" t="str">
        <f t="shared" si="178"/>
        <v>Fuzzy</v>
      </c>
    </row>
    <row r="1856" spans="1:16" x14ac:dyDescent="0.35">
      <c r="A1856" t="s">
        <v>1859</v>
      </c>
      <c r="B1856">
        <v>6069</v>
      </c>
      <c r="C1856">
        <v>28</v>
      </c>
      <c r="D1856">
        <v>68</v>
      </c>
      <c r="E1856">
        <v>459</v>
      </c>
      <c r="F1856">
        <v>4</v>
      </c>
      <c r="K1856" s="1">
        <f t="shared" si="179"/>
        <v>459</v>
      </c>
      <c r="L1856" s="1" t="str">
        <f t="shared" si="174"/>
        <v>Normal</v>
      </c>
      <c r="M1856" s="2">
        <f t="shared" si="175"/>
        <v>39.75</v>
      </c>
      <c r="N1856" s="1" t="str">
        <f t="shared" si="176"/>
        <v>Lembab</v>
      </c>
      <c r="O1856" t="str">
        <f t="shared" si="177"/>
        <v>Fuzzy</v>
      </c>
      <c r="P1856" t="str">
        <f t="shared" si="178"/>
        <v>Fuzzy</v>
      </c>
    </row>
    <row r="1857" spans="1:16" x14ac:dyDescent="0.35">
      <c r="A1857" t="s">
        <v>1860</v>
      </c>
      <c r="B1857">
        <v>6070</v>
      </c>
      <c r="C1857">
        <v>28</v>
      </c>
      <c r="D1857">
        <v>68</v>
      </c>
      <c r="E1857">
        <v>463</v>
      </c>
      <c r="F1857">
        <v>3</v>
      </c>
      <c r="K1857" s="1">
        <f t="shared" si="179"/>
        <v>463</v>
      </c>
      <c r="L1857" s="1" t="str">
        <f t="shared" si="174"/>
        <v>Normal</v>
      </c>
      <c r="M1857" s="2">
        <f t="shared" si="175"/>
        <v>40.75</v>
      </c>
      <c r="N1857" s="1" t="str">
        <f t="shared" si="176"/>
        <v>Lembab</v>
      </c>
      <c r="O1857" t="str">
        <f t="shared" si="177"/>
        <v>Fuzzy</v>
      </c>
      <c r="P1857" t="str">
        <f t="shared" si="178"/>
        <v>Fuzzy</v>
      </c>
    </row>
    <row r="1858" spans="1:16" x14ac:dyDescent="0.35">
      <c r="A1858" t="s">
        <v>1861</v>
      </c>
      <c r="B1858">
        <v>6071</v>
      </c>
      <c r="C1858">
        <v>28</v>
      </c>
      <c r="D1858">
        <v>69</v>
      </c>
      <c r="E1858">
        <v>563</v>
      </c>
      <c r="F1858">
        <v>4</v>
      </c>
      <c r="K1858" s="1">
        <f t="shared" si="179"/>
        <v>563</v>
      </c>
      <c r="L1858" s="1" t="str">
        <f t="shared" si="174"/>
        <v>Normal</v>
      </c>
      <c r="M1858" s="2">
        <f t="shared" si="175"/>
        <v>65.75</v>
      </c>
      <c r="N1858" s="1" t="str">
        <f t="shared" si="176"/>
        <v>Lembab</v>
      </c>
      <c r="O1858" t="str">
        <f t="shared" si="177"/>
        <v>Fuzzy</v>
      </c>
      <c r="P1858" t="str">
        <f t="shared" si="178"/>
        <v>Fuzzy</v>
      </c>
    </row>
    <row r="1859" spans="1:16" x14ac:dyDescent="0.35">
      <c r="A1859" t="s">
        <v>1862</v>
      </c>
      <c r="B1859">
        <v>6072</v>
      </c>
      <c r="C1859">
        <v>28</v>
      </c>
      <c r="D1859">
        <v>69</v>
      </c>
      <c r="E1859">
        <v>430</v>
      </c>
      <c r="F1859">
        <v>4</v>
      </c>
      <c r="K1859" s="1">
        <f t="shared" si="179"/>
        <v>430</v>
      </c>
      <c r="L1859" s="1" t="str">
        <f t="shared" ref="L1859:L1922" si="180">IF(A1858 &lt;= 10, "Dingin", IF(OR(A1858 &gt;= 10, A1858 &lt; 35), "Normal", "Panas"))</f>
        <v>Normal</v>
      </c>
      <c r="M1859" s="2">
        <f t="shared" ref="M1859:M1922" si="181">IF(K1859&lt;=300, K1859/1023*100, IF(K1859&lt;=700, (K1859-300)/(700-301+1)*100, (K1859-700)/(1023-701+1)*100))</f>
        <v>32.5</v>
      </c>
      <c r="N1859" s="1" t="str">
        <f t="shared" ref="N1859:N1922" si="182">IF(M1859&lt;=29.32, "Kering", IF(M1859&lt;=68.53, "Lembab", "Basah"))</f>
        <v>Lembab</v>
      </c>
      <c r="O1859" t="str">
        <f t="shared" ref="O1859:O1922" si="183">IF(OR(AND(C1859 &gt; 10, C1859 &lt; 22.5), AND(C1859 &gt;= 22.5, C1859 &lt; 35)), "Fuzzy", "")</f>
        <v>Fuzzy</v>
      </c>
      <c r="P1859" t="str">
        <f t="shared" ref="P1859:P1922" si="184">IF(OR(AND(M1859 &gt;= 0, M1859 &lt; 50), AND(M1859 &gt;= 50, M1859 &lt; 100)), "Fuzzy", "")</f>
        <v>Fuzzy</v>
      </c>
    </row>
    <row r="1860" spans="1:16" x14ac:dyDescent="0.35">
      <c r="A1860" t="s">
        <v>1863</v>
      </c>
      <c r="B1860">
        <v>6073</v>
      </c>
      <c r="C1860">
        <v>28</v>
      </c>
      <c r="D1860">
        <v>69</v>
      </c>
      <c r="E1860">
        <v>489</v>
      </c>
      <c r="F1860">
        <v>4</v>
      </c>
      <c r="K1860" s="1">
        <f t="shared" si="179"/>
        <v>489</v>
      </c>
      <c r="L1860" s="1" t="str">
        <f t="shared" si="180"/>
        <v>Normal</v>
      </c>
      <c r="M1860" s="2">
        <f t="shared" si="181"/>
        <v>47.25</v>
      </c>
      <c r="N1860" s="1" t="str">
        <f t="shared" si="182"/>
        <v>Lembab</v>
      </c>
      <c r="O1860" t="str">
        <f t="shared" si="183"/>
        <v>Fuzzy</v>
      </c>
      <c r="P1860" t="str">
        <f t="shared" si="184"/>
        <v>Fuzzy</v>
      </c>
    </row>
    <row r="1861" spans="1:16" x14ac:dyDescent="0.35">
      <c r="A1861" t="s">
        <v>1864</v>
      </c>
      <c r="B1861">
        <v>6074</v>
      </c>
      <c r="C1861">
        <v>28</v>
      </c>
      <c r="D1861">
        <v>69</v>
      </c>
      <c r="E1861">
        <v>460</v>
      </c>
      <c r="F1861">
        <v>4</v>
      </c>
      <c r="K1861" s="1">
        <f t="shared" si="179"/>
        <v>460</v>
      </c>
      <c r="L1861" s="1" t="str">
        <f t="shared" si="180"/>
        <v>Normal</v>
      </c>
      <c r="M1861" s="2">
        <f t="shared" si="181"/>
        <v>40</v>
      </c>
      <c r="N1861" s="1" t="str">
        <f t="shared" si="182"/>
        <v>Lembab</v>
      </c>
      <c r="O1861" t="str">
        <f t="shared" si="183"/>
        <v>Fuzzy</v>
      </c>
      <c r="P1861" t="str">
        <f t="shared" si="184"/>
        <v>Fuzzy</v>
      </c>
    </row>
    <row r="1862" spans="1:16" x14ac:dyDescent="0.35">
      <c r="A1862" t="s">
        <v>1865</v>
      </c>
      <c r="B1862">
        <v>6075</v>
      </c>
      <c r="C1862">
        <v>28</v>
      </c>
      <c r="D1862">
        <v>69</v>
      </c>
      <c r="E1862">
        <v>435</v>
      </c>
      <c r="F1862">
        <v>4</v>
      </c>
      <c r="K1862" s="1">
        <f t="shared" si="179"/>
        <v>435</v>
      </c>
      <c r="L1862" s="1" t="str">
        <f t="shared" si="180"/>
        <v>Normal</v>
      </c>
      <c r="M1862" s="2">
        <f t="shared" si="181"/>
        <v>33.75</v>
      </c>
      <c r="N1862" s="1" t="str">
        <f t="shared" si="182"/>
        <v>Lembab</v>
      </c>
      <c r="O1862" t="str">
        <f t="shared" si="183"/>
        <v>Fuzzy</v>
      </c>
      <c r="P1862" t="str">
        <f t="shared" si="184"/>
        <v>Fuzzy</v>
      </c>
    </row>
    <row r="1863" spans="1:16" x14ac:dyDescent="0.35">
      <c r="A1863" t="s">
        <v>1866</v>
      </c>
      <c r="B1863">
        <v>6076</v>
      </c>
      <c r="C1863">
        <v>28</v>
      </c>
      <c r="D1863">
        <v>69</v>
      </c>
      <c r="E1863">
        <v>356</v>
      </c>
      <c r="F1863">
        <v>4</v>
      </c>
      <c r="K1863" s="1">
        <f t="shared" si="179"/>
        <v>356</v>
      </c>
      <c r="L1863" s="1" t="str">
        <f t="shared" si="180"/>
        <v>Normal</v>
      </c>
      <c r="M1863" s="2">
        <f t="shared" si="181"/>
        <v>14.000000000000002</v>
      </c>
      <c r="N1863" s="1" t="str">
        <f t="shared" si="182"/>
        <v>Kering</v>
      </c>
      <c r="O1863" t="str">
        <f t="shared" si="183"/>
        <v>Fuzzy</v>
      </c>
      <c r="P1863" t="str">
        <f t="shared" si="184"/>
        <v>Fuzzy</v>
      </c>
    </row>
    <row r="1864" spans="1:16" x14ac:dyDescent="0.35">
      <c r="A1864" t="s">
        <v>1867</v>
      </c>
      <c r="B1864">
        <v>6077</v>
      </c>
      <c r="C1864">
        <v>28</v>
      </c>
      <c r="D1864">
        <v>70</v>
      </c>
      <c r="E1864">
        <v>422</v>
      </c>
      <c r="F1864">
        <v>4</v>
      </c>
      <c r="K1864" s="1">
        <f t="shared" si="179"/>
        <v>422</v>
      </c>
      <c r="L1864" s="1" t="str">
        <f t="shared" si="180"/>
        <v>Normal</v>
      </c>
      <c r="M1864" s="2">
        <f t="shared" si="181"/>
        <v>30.5</v>
      </c>
      <c r="N1864" s="1" t="str">
        <f t="shared" si="182"/>
        <v>Lembab</v>
      </c>
      <c r="O1864" t="str">
        <f t="shared" si="183"/>
        <v>Fuzzy</v>
      </c>
      <c r="P1864" t="str">
        <f t="shared" si="184"/>
        <v>Fuzzy</v>
      </c>
    </row>
    <row r="1865" spans="1:16" x14ac:dyDescent="0.35">
      <c r="A1865" t="s">
        <v>1868</v>
      </c>
      <c r="B1865">
        <v>6078</v>
      </c>
      <c r="C1865">
        <v>28</v>
      </c>
      <c r="D1865">
        <v>69</v>
      </c>
      <c r="E1865">
        <v>452</v>
      </c>
      <c r="F1865">
        <v>4</v>
      </c>
      <c r="K1865" s="1">
        <f t="shared" si="179"/>
        <v>452</v>
      </c>
      <c r="L1865" s="1" t="str">
        <f t="shared" si="180"/>
        <v>Normal</v>
      </c>
      <c r="M1865" s="2">
        <f t="shared" si="181"/>
        <v>38</v>
      </c>
      <c r="N1865" s="1" t="str">
        <f t="shared" si="182"/>
        <v>Lembab</v>
      </c>
      <c r="O1865" t="str">
        <f t="shared" si="183"/>
        <v>Fuzzy</v>
      </c>
      <c r="P1865" t="str">
        <f t="shared" si="184"/>
        <v>Fuzzy</v>
      </c>
    </row>
    <row r="1866" spans="1:16" x14ac:dyDescent="0.35">
      <c r="A1866" t="s">
        <v>1869</v>
      </c>
      <c r="B1866">
        <v>6079</v>
      </c>
      <c r="C1866">
        <v>28</v>
      </c>
      <c r="D1866">
        <v>69</v>
      </c>
      <c r="E1866">
        <v>412</v>
      </c>
      <c r="F1866">
        <v>4</v>
      </c>
      <c r="K1866" s="1">
        <f t="shared" si="179"/>
        <v>412</v>
      </c>
      <c r="L1866" s="1" t="str">
        <f t="shared" si="180"/>
        <v>Normal</v>
      </c>
      <c r="M1866" s="2">
        <f t="shared" si="181"/>
        <v>28.000000000000004</v>
      </c>
      <c r="N1866" s="1" t="str">
        <f t="shared" si="182"/>
        <v>Kering</v>
      </c>
      <c r="O1866" t="str">
        <f t="shared" si="183"/>
        <v>Fuzzy</v>
      </c>
      <c r="P1866" t="str">
        <f t="shared" si="184"/>
        <v>Fuzzy</v>
      </c>
    </row>
    <row r="1867" spans="1:16" x14ac:dyDescent="0.35">
      <c r="A1867" t="s">
        <v>1870</v>
      </c>
      <c r="B1867">
        <v>6080</v>
      </c>
      <c r="C1867">
        <v>28</v>
      </c>
      <c r="D1867">
        <v>70</v>
      </c>
      <c r="E1867">
        <v>511</v>
      </c>
      <c r="F1867">
        <v>4</v>
      </c>
      <c r="K1867" s="1">
        <f t="shared" si="179"/>
        <v>511</v>
      </c>
      <c r="L1867" s="1" t="str">
        <f t="shared" si="180"/>
        <v>Normal</v>
      </c>
      <c r="M1867" s="2">
        <f t="shared" si="181"/>
        <v>52.75</v>
      </c>
      <c r="N1867" s="1" t="str">
        <f t="shared" si="182"/>
        <v>Lembab</v>
      </c>
      <c r="O1867" t="str">
        <f t="shared" si="183"/>
        <v>Fuzzy</v>
      </c>
      <c r="P1867" t="str">
        <f t="shared" si="184"/>
        <v>Fuzzy</v>
      </c>
    </row>
    <row r="1868" spans="1:16" x14ac:dyDescent="0.35">
      <c r="A1868" t="s">
        <v>1871</v>
      </c>
      <c r="B1868">
        <v>6081</v>
      </c>
      <c r="C1868">
        <v>28</v>
      </c>
      <c r="D1868">
        <v>70</v>
      </c>
      <c r="E1868">
        <v>472</v>
      </c>
      <c r="F1868">
        <v>4</v>
      </c>
      <c r="K1868" s="1">
        <f t="shared" si="179"/>
        <v>472</v>
      </c>
      <c r="L1868" s="1" t="str">
        <f t="shared" si="180"/>
        <v>Normal</v>
      </c>
      <c r="M1868" s="2">
        <f t="shared" si="181"/>
        <v>43</v>
      </c>
      <c r="N1868" s="1" t="str">
        <f t="shared" si="182"/>
        <v>Lembab</v>
      </c>
      <c r="O1868" t="str">
        <f t="shared" si="183"/>
        <v>Fuzzy</v>
      </c>
      <c r="P1868" t="str">
        <f t="shared" si="184"/>
        <v>Fuzzy</v>
      </c>
    </row>
    <row r="1869" spans="1:16" x14ac:dyDescent="0.35">
      <c r="A1869" t="s">
        <v>1872</v>
      </c>
      <c r="B1869">
        <v>6082</v>
      </c>
      <c r="C1869">
        <v>28</v>
      </c>
      <c r="D1869">
        <v>70</v>
      </c>
      <c r="E1869">
        <v>443</v>
      </c>
      <c r="F1869">
        <v>4</v>
      </c>
      <c r="K1869" s="1">
        <f t="shared" ref="K1869:K1932" si="185">IF(E1869&lt;=1023, E1869, "")</f>
        <v>443</v>
      </c>
      <c r="L1869" s="1" t="str">
        <f t="shared" si="180"/>
        <v>Normal</v>
      </c>
      <c r="M1869" s="2">
        <f t="shared" si="181"/>
        <v>35.75</v>
      </c>
      <c r="N1869" s="1" t="str">
        <f t="shared" si="182"/>
        <v>Lembab</v>
      </c>
      <c r="O1869" t="str">
        <f t="shared" si="183"/>
        <v>Fuzzy</v>
      </c>
      <c r="P1869" t="str">
        <f t="shared" si="184"/>
        <v>Fuzzy</v>
      </c>
    </row>
    <row r="1870" spans="1:16" x14ac:dyDescent="0.35">
      <c r="A1870" t="s">
        <v>1873</v>
      </c>
      <c r="B1870">
        <v>6083</v>
      </c>
      <c r="C1870">
        <v>28</v>
      </c>
      <c r="D1870">
        <v>70</v>
      </c>
      <c r="E1870">
        <v>463</v>
      </c>
      <c r="F1870">
        <v>3</v>
      </c>
      <c r="K1870" s="1">
        <f t="shared" si="185"/>
        <v>463</v>
      </c>
      <c r="L1870" s="1" t="str">
        <f t="shared" si="180"/>
        <v>Normal</v>
      </c>
      <c r="M1870" s="2">
        <f t="shared" si="181"/>
        <v>40.75</v>
      </c>
      <c r="N1870" s="1" t="str">
        <f t="shared" si="182"/>
        <v>Lembab</v>
      </c>
      <c r="O1870" t="str">
        <f t="shared" si="183"/>
        <v>Fuzzy</v>
      </c>
      <c r="P1870" t="str">
        <f t="shared" si="184"/>
        <v>Fuzzy</v>
      </c>
    </row>
    <row r="1871" spans="1:16" x14ac:dyDescent="0.35">
      <c r="A1871" t="s">
        <v>1874</v>
      </c>
      <c r="B1871">
        <v>6084</v>
      </c>
      <c r="C1871">
        <v>28</v>
      </c>
      <c r="D1871">
        <v>70</v>
      </c>
      <c r="E1871">
        <v>497</v>
      </c>
      <c r="F1871">
        <v>4</v>
      </c>
      <c r="K1871" s="1">
        <f t="shared" si="185"/>
        <v>497</v>
      </c>
      <c r="L1871" s="1" t="str">
        <f t="shared" si="180"/>
        <v>Normal</v>
      </c>
      <c r="M1871" s="2">
        <f t="shared" si="181"/>
        <v>49.25</v>
      </c>
      <c r="N1871" s="1" t="str">
        <f t="shared" si="182"/>
        <v>Lembab</v>
      </c>
      <c r="O1871" t="str">
        <f t="shared" si="183"/>
        <v>Fuzzy</v>
      </c>
      <c r="P1871" t="str">
        <f t="shared" si="184"/>
        <v>Fuzzy</v>
      </c>
    </row>
    <row r="1872" spans="1:16" x14ac:dyDescent="0.35">
      <c r="A1872" t="s">
        <v>1875</v>
      </c>
      <c r="B1872">
        <v>6085</v>
      </c>
      <c r="C1872">
        <v>28</v>
      </c>
      <c r="D1872">
        <v>69</v>
      </c>
      <c r="E1872">
        <v>480</v>
      </c>
      <c r="F1872">
        <v>4</v>
      </c>
      <c r="K1872" s="1">
        <f t="shared" si="185"/>
        <v>480</v>
      </c>
      <c r="L1872" s="1" t="str">
        <f t="shared" si="180"/>
        <v>Normal</v>
      </c>
      <c r="M1872" s="2">
        <f t="shared" si="181"/>
        <v>45</v>
      </c>
      <c r="N1872" s="1" t="str">
        <f t="shared" si="182"/>
        <v>Lembab</v>
      </c>
      <c r="O1872" t="str">
        <f t="shared" si="183"/>
        <v>Fuzzy</v>
      </c>
      <c r="P1872" t="str">
        <f t="shared" si="184"/>
        <v>Fuzzy</v>
      </c>
    </row>
    <row r="1873" spans="1:16" x14ac:dyDescent="0.35">
      <c r="A1873" t="s">
        <v>1876</v>
      </c>
      <c r="B1873">
        <v>6086</v>
      </c>
      <c r="C1873">
        <v>28</v>
      </c>
      <c r="D1873">
        <v>69</v>
      </c>
      <c r="E1873">
        <v>489</v>
      </c>
      <c r="F1873">
        <v>4</v>
      </c>
      <c r="K1873" s="1">
        <f t="shared" si="185"/>
        <v>489</v>
      </c>
      <c r="L1873" s="1" t="str">
        <f t="shared" si="180"/>
        <v>Normal</v>
      </c>
      <c r="M1873" s="2">
        <f t="shared" si="181"/>
        <v>47.25</v>
      </c>
      <c r="N1873" s="1" t="str">
        <f t="shared" si="182"/>
        <v>Lembab</v>
      </c>
      <c r="O1873" t="str">
        <f t="shared" si="183"/>
        <v>Fuzzy</v>
      </c>
      <c r="P1873" t="str">
        <f t="shared" si="184"/>
        <v>Fuzzy</v>
      </c>
    </row>
    <row r="1874" spans="1:16" x14ac:dyDescent="0.35">
      <c r="A1874" t="s">
        <v>1877</v>
      </c>
      <c r="B1874">
        <v>6087</v>
      </c>
      <c r="C1874">
        <v>28</v>
      </c>
      <c r="D1874">
        <v>69</v>
      </c>
      <c r="E1874">
        <v>451</v>
      </c>
      <c r="F1874">
        <v>4</v>
      </c>
      <c r="K1874" s="1">
        <f t="shared" si="185"/>
        <v>451</v>
      </c>
      <c r="L1874" s="1" t="str">
        <f t="shared" si="180"/>
        <v>Normal</v>
      </c>
      <c r="M1874" s="2">
        <f t="shared" si="181"/>
        <v>37.75</v>
      </c>
      <c r="N1874" s="1" t="str">
        <f t="shared" si="182"/>
        <v>Lembab</v>
      </c>
      <c r="O1874" t="str">
        <f t="shared" si="183"/>
        <v>Fuzzy</v>
      </c>
      <c r="P1874" t="str">
        <f t="shared" si="184"/>
        <v>Fuzzy</v>
      </c>
    </row>
    <row r="1875" spans="1:16" x14ac:dyDescent="0.35">
      <c r="A1875" t="s">
        <v>1878</v>
      </c>
      <c r="B1875">
        <v>6088</v>
      </c>
      <c r="C1875">
        <v>28</v>
      </c>
      <c r="D1875">
        <v>70</v>
      </c>
      <c r="E1875">
        <v>484</v>
      </c>
      <c r="F1875">
        <v>4</v>
      </c>
      <c r="K1875" s="1">
        <f t="shared" si="185"/>
        <v>484</v>
      </c>
      <c r="L1875" s="1" t="str">
        <f t="shared" si="180"/>
        <v>Normal</v>
      </c>
      <c r="M1875" s="2">
        <f t="shared" si="181"/>
        <v>46</v>
      </c>
      <c r="N1875" s="1" t="str">
        <f t="shared" si="182"/>
        <v>Lembab</v>
      </c>
      <c r="O1875" t="str">
        <f t="shared" si="183"/>
        <v>Fuzzy</v>
      </c>
      <c r="P1875" t="str">
        <f t="shared" si="184"/>
        <v>Fuzzy</v>
      </c>
    </row>
    <row r="1876" spans="1:16" x14ac:dyDescent="0.35">
      <c r="A1876" t="s">
        <v>1879</v>
      </c>
      <c r="B1876">
        <v>6089</v>
      </c>
      <c r="C1876">
        <v>28</v>
      </c>
      <c r="D1876">
        <v>69</v>
      </c>
      <c r="E1876">
        <v>465</v>
      </c>
      <c r="F1876">
        <v>4</v>
      </c>
      <c r="K1876" s="1">
        <f t="shared" si="185"/>
        <v>465</v>
      </c>
      <c r="L1876" s="1" t="str">
        <f t="shared" si="180"/>
        <v>Normal</v>
      </c>
      <c r="M1876" s="2">
        <f t="shared" si="181"/>
        <v>41.25</v>
      </c>
      <c r="N1876" s="1" t="str">
        <f t="shared" si="182"/>
        <v>Lembab</v>
      </c>
      <c r="O1876" t="str">
        <f t="shared" si="183"/>
        <v>Fuzzy</v>
      </c>
      <c r="P1876" t="str">
        <f t="shared" si="184"/>
        <v>Fuzzy</v>
      </c>
    </row>
    <row r="1877" spans="1:16" x14ac:dyDescent="0.35">
      <c r="A1877" t="s">
        <v>1880</v>
      </c>
      <c r="B1877">
        <v>6090</v>
      </c>
      <c r="C1877">
        <v>28</v>
      </c>
      <c r="D1877">
        <v>68</v>
      </c>
      <c r="E1877">
        <v>343</v>
      </c>
      <c r="F1877">
        <v>4</v>
      </c>
      <c r="K1877" s="1">
        <f t="shared" si="185"/>
        <v>343</v>
      </c>
      <c r="L1877" s="1" t="str">
        <f t="shared" si="180"/>
        <v>Normal</v>
      </c>
      <c r="M1877" s="2">
        <f t="shared" si="181"/>
        <v>10.75</v>
      </c>
      <c r="N1877" s="1" t="str">
        <f t="shared" si="182"/>
        <v>Kering</v>
      </c>
      <c r="O1877" t="str">
        <f t="shared" si="183"/>
        <v>Fuzzy</v>
      </c>
      <c r="P1877" t="str">
        <f t="shared" si="184"/>
        <v>Fuzzy</v>
      </c>
    </row>
    <row r="1878" spans="1:16" x14ac:dyDescent="0.35">
      <c r="A1878" t="s">
        <v>1881</v>
      </c>
      <c r="B1878">
        <v>6091</v>
      </c>
      <c r="C1878">
        <v>28</v>
      </c>
      <c r="D1878">
        <v>68</v>
      </c>
      <c r="E1878">
        <v>454</v>
      </c>
      <c r="F1878">
        <v>4</v>
      </c>
      <c r="K1878" s="1">
        <f t="shared" si="185"/>
        <v>454</v>
      </c>
      <c r="L1878" s="1" t="str">
        <f t="shared" si="180"/>
        <v>Normal</v>
      </c>
      <c r="M1878" s="2">
        <f t="shared" si="181"/>
        <v>38.5</v>
      </c>
      <c r="N1878" s="1" t="str">
        <f t="shared" si="182"/>
        <v>Lembab</v>
      </c>
      <c r="O1878" t="str">
        <f t="shared" si="183"/>
        <v>Fuzzy</v>
      </c>
      <c r="P1878" t="str">
        <f t="shared" si="184"/>
        <v>Fuzzy</v>
      </c>
    </row>
    <row r="1879" spans="1:16" x14ac:dyDescent="0.35">
      <c r="A1879" t="s">
        <v>1882</v>
      </c>
      <c r="B1879">
        <v>6092</v>
      </c>
      <c r="C1879">
        <v>28</v>
      </c>
      <c r="D1879">
        <v>67</v>
      </c>
      <c r="E1879">
        <v>445</v>
      </c>
      <c r="F1879">
        <v>4</v>
      </c>
      <c r="K1879" s="1">
        <f t="shared" si="185"/>
        <v>445</v>
      </c>
      <c r="L1879" s="1" t="str">
        <f t="shared" si="180"/>
        <v>Normal</v>
      </c>
      <c r="M1879" s="2">
        <f t="shared" si="181"/>
        <v>36.25</v>
      </c>
      <c r="N1879" s="1" t="str">
        <f t="shared" si="182"/>
        <v>Lembab</v>
      </c>
      <c r="O1879" t="str">
        <f t="shared" si="183"/>
        <v>Fuzzy</v>
      </c>
      <c r="P1879" t="str">
        <f t="shared" si="184"/>
        <v>Fuzzy</v>
      </c>
    </row>
    <row r="1880" spans="1:16" x14ac:dyDescent="0.35">
      <c r="A1880" t="s">
        <v>1883</v>
      </c>
      <c r="B1880">
        <v>6093</v>
      </c>
      <c r="C1880">
        <v>28</v>
      </c>
      <c r="D1880">
        <v>67</v>
      </c>
      <c r="E1880">
        <v>484</v>
      </c>
      <c r="F1880">
        <v>4</v>
      </c>
      <c r="K1880" s="1">
        <f t="shared" si="185"/>
        <v>484</v>
      </c>
      <c r="L1880" s="1" t="str">
        <f t="shared" si="180"/>
        <v>Normal</v>
      </c>
      <c r="M1880" s="2">
        <f t="shared" si="181"/>
        <v>46</v>
      </c>
      <c r="N1880" s="1" t="str">
        <f t="shared" si="182"/>
        <v>Lembab</v>
      </c>
      <c r="O1880" t="str">
        <f t="shared" si="183"/>
        <v>Fuzzy</v>
      </c>
      <c r="P1880" t="str">
        <f t="shared" si="184"/>
        <v>Fuzzy</v>
      </c>
    </row>
    <row r="1881" spans="1:16" x14ac:dyDescent="0.35">
      <c r="A1881" t="s">
        <v>1884</v>
      </c>
      <c r="B1881">
        <v>6094</v>
      </c>
      <c r="C1881">
        <v>28</v>
      </c>
      <c r="D1881">
        <v>68</v>
      </c>
      <c r="E1881">
        <v>467</v>
      </c>
      <c r="F1881">
        <v>3</v>
      </c>
      <c r="K1881" s="1">
        <f t="shared" si="185"/>
        <v>467</v>
      </c>
      <c r="L1881" s="1" t="str">
        <f t="shared" si="180"/>
        <v>Normal</v>
      </c>
      <c r="M1881" s="2">
        <f t="shared" si="181"/>
        <v>41.75</v>
      </c>
      <c r="N1881" s="1" t="str">
        <f t="shared" si="182"/>
        <v>Lembab</v>
      </c>
      <c r="O1881" t="str">
        <f t="shared" si="183"/>
        <v>Fuzzy</v>
      </c>
      <c r="P1881" t="str">
        <f t="shared" si="184"/>
        <v>Fuzzy</v>
      </c>
    </row>
    <row r="1882" spans="1:16" x14ac:dyDescent="0.35">
      <c r="A1882" t="s">
        <v>1885</v>
      </c>
      <c r="B1882">
        <v>6095</v>
      </c>
      <c r="C1882">
        <v>28</v>
      </c>
      <c r="D1882">
        <v>69</v>
      </c>
      <c r="E1882">
        <v>393</v>
      </c>
      <c r="F1882">
        <v>4</v>
      </c>
      <c r="K1882" s="1">
        <f t="shared" si="185"/>
        <v>393</v>
      </c>
      <c r="L1882" s="1" t="str">
        <f t="shared" si="180"/>
        <v>Normal</v>
      </c>
      <c r="M1882" s="2">
        <f t="shared" si="181"/>
        <v>23.25</v>
      </c>
      <c r="N1882" s="1" t="str">
        <f t="shared" si="182"/>
        <v>Kering</v>
      </c>
      <c r="O1882" t="str">
        <f t="shared" si="183"/>
        <v>Fuzzy</v>
      </c>
      <c r="P1882" t="str">
        <f t="shared" si="184"/>
        <v>Fuzzy</v>
      </c>
    </row>
    <row r="1883" spans="1:16" x14ac:dyDescent="0.35">
      <c r="A1883" t="s">
        <v>1886</v>
      </c>
      <c r="B1883">
        <v>6096</v>
      </c>
      <c r="C1883">
        <v>28</v>
      </c>
      <c r="D1883">
        <v>69</v>
      </c>
      <c r="E1883">
        <v>529</v>
      </c>
      <c r="F1883">
        <v>3</v>
      </c>
      <c r="K1883" s="1">
        <f t="shared" si="185"/>
        <v>529</v>
      </c>
      <c r="L1883" s="1" t="str">
        <f t="shared" si="180"/>
        <v>Normal</v>
      </c>
      <c r="M1883" s="2">
        <f t="shared" si="181"/>
        <v>57.25</v>
      </c>
      <c r="N1883" s="1" t="str">
        <f t="shared" si="182"/>
        <v>Lembab</v>
      </c>
      <c r="O1883" t="str">
        <f t="shared" si="183"/>
        <v>Fuzzy</v>
      </c>
      <c r="P1883" t="str">
        <f t="shared" si="184"/>
        <v>Fuzzy</v>
      </c>
    </row>
    <row r="1884" spans="1:16" x14ac:dyDescent="0.35">
      <c r="A1884" t="s">
        <v>1887</v>
      </c>
      <c r="B1884">
        <v>6097</v>
      </c>
      <c r="C1884">
        <v>28</v>
      </c>
      <c r="D1884">
        <v>69</v>
      </c>
      <c r="E1884">
        <v>477</v>
      </c>
      <c r="F1884">
        <v>4</v>
      </c>
      <c r="K1884" s="1">
        <f t="shared" si="185"/>
        <v>477</v>
      </c>
      <c r="L1884" s="1" t="str">
        <f t="shared" si="180"/>
        <v>Normal</v>
      </c>
      <c r="M1884" s="2">
        <f t="shared" si="181"/>
        <v>44.25</v>
      </c>
      <c r="N1884" s="1" t="str">
        <f t="shared" si="182"/>
        <v>Lembab</v>
      </c>
      <c r="O1884" t="str">
        <f t="shared" si="183"/>
        <v>Fuzzy</v>
      </c>
      <c r="P1884" t="str">
        <f t="shared" si="184"/>
        <v>Fuzzy</v>
      </c>
    </row>
    <row r="1885" spans="1:16" x14ac:dyDescent="0.35">
      <c r="A1885" t="s">
        <v>1888</v>
      </c>
      <c r="B1885">
        <v>6098</v>
      </c>
      <c r="C1885">
        <v>28</v>
      </c>
      <c r="D1885">
        <v>69</v>
      </c>
      <c r="E1885">
        <v>427</v>
      </c>
      <c r="F1885">
        <v>4</v>
      </c>
      <c r="K1885" s="1">
        <f t="shared" si="185"/>
        <v>427</v>
      </c>
      <c r="L1885" s="1" t="str">
        <f t="shared" si="180"/>
        <v>Normal</v>
      </c>
      <c r="M1885" s="2">
        <f t="shared" si="181"/>
        <v>31.75</v>
      </c>
      <c r="N1885" s="1" t="str">
        <f t="shared" si="182"/>
        <v>Lembab</v>
      </c>
      <c r="O1885" t="str">
        <f t="shared" si="183"/>
        <v>Fuzzy</v>
      </c>
      <c r="P1885" t="str">
        <f t="shared" si="184"/>
        <v>Fuzzy</v>
      </c>
    </row>
    <row r="1886" spans="1:16" x14ac:dyDescent="0.35">
      <c r="A1886" t="s">
        <v>1889</v>
      </c>
      <c r="B1886">
        <v>6099</v>
      </c>
      <c r="C1886">
        <v>28</v>
      </c>
      <c r="D1886">
        <v>70</v>
      </c>
      <c r="E1886">
        <v>483</v>
      </c>
      <c r="F1886">
        <v>4</v>
      </c>
      <c r="K1886" s="1">
        <f t="shared" si="185"/>
        <v>483</v>
      </c>
      <c r="L1886" s="1" t="str">
        <f t="shared" si="180"/>
        <v>Normal</v>
      </c>
      <c r="M1886" s="2">
        <f t="shared" si="181"/>
        <v>45.75</v>
      </c>
      <c r="N1886" s="1" t="str">
        <f t="shared" si="182"/>
        <v>Lembab</v>
      </c>
      <c r="O1886" t="str">
        <f t="shared" si="183"/>
        <v>Fuzzy</v>
      </c>
      <c r="P1886" t="str">
        <f t="shared" si="184"/>
        <v>Fuzzy</v>
      </c>
    </row>
    <row r="1887" spans="1:16" x14ac:dyDescent="0.35">
      <c r="A1887" t="s">
        <v>1890</v>
      </c>
      <c r="B1887">
        <v>6100</v>
      </c>
      <c r="C1887">
        <v>28</v>
      </c>
      <c r="D1887">
        <v>69</v>
      </c>
      <c r="E1887">
        <v>452</v>
      </c>
      <c r="F1887">
        <v>4</v>
      </c>
      <c r="K1887" s="1">
        <f t="shared" si="185"/>
        <v>452</v>
      </c>
      <c r="L1887" s="1" t="str">
        <f t="shared" si="180"/>
        <v>Normal</v>
      </c>
      <c r="M1887" s="2">
        <f t="shared" si="181"/>
        <v>38</v>
      </c>
      <c r="N1887" s="1" t="str">
        <f t="shared" si="182"/>
        <v>Lembab</v>
      </c>
      <c r="O1887" t="str">
        <f t="shared" si="183"/>
        <v>Fuzzy</v>
      </c>
      <c r="P1887" t="str">
        <f t="shared" si="184"/>
        <v>Fuzzy</v>
      </c>
    </row>
    <row r="1888" spans="1:16" x14ac:dyDescent="0.35">
      <c r="A1888" t="s">
        <v>1891</v>
      </c>
      <c r="B1888">
        <v>6101</v>
      </c>
      <c r="C1888">
        <v>28</v>
      </c>
      <c r="D1888">
        <v>69</v>
      </c>
      <c r="E1888">
        <v>336</v>
      </c>
      <c r="F1888">
        <v>3</v>
      </c>
      <c r="K1888" s="1">
        <f t="shared" si="185"/>
        <v>336</v>
      </c>
      <c r="L1888" s="1" t="str">
        <f t="shared" si="180"/>
        <v>Normal</v>
      </c>
      <c r="M1888" s="2">
        <f t="shared" si="181"/>
        <v>9</v>
      </c>
      <c r="N1888" s="1" t="str">
        <f t="shared" si="182"/>
        <v>Kering</v>
      </c>
      <c r="O1888" t="str">
        <f t="shared" si="183"/>
        <v>Fuzzy</v>
      </c>
      <c r="P1888" t="str">
        <f t="shared" si="184"/>
        <v>Fuzzy</v>
      </c>
    </row>
    <row r="1889" spans="1:16" x14ac:dyDescent="0.35">
      <c r="A1889" t="s">
        <v>1892</v>
      </c>
      <c r="B1889">
        <v>6102</v>
      </c>
      <c r="C1889">
        <v>28</v>
      </c>
      <c r="D1889">
        <v>69</v>
      </c>
      <c r="E1889">
        <v>515</v>
      </c>
      <c r="F1889">
        <v>5</v>
      </c>
      <c r="K1889" s="1">
        <f t="shared" si="185"/>
        <v>515</v>
      </c>
      <c r="L1889" s="1" t="str">
        <f t="shared" si="180"/>
        <v>Normal</v>
      </c>
      <c r="M1889" s="2">
        <f t="shared" si="181"/>
        <v>53.75</v>
      </c>
      <c r="N1889" s="1" t="str">
        <f t="shared" si="182"/>
        <v>Lembab</v>
      </c>
      <c r="O1889" t="str">
        <f t="shared" si="183"/>
        <v>Fuzzy</v>
      </c>
      <c r="P1889" t="str">
        <f t="shared" si="184"/>
        <v>Fuzzy</v>
      </c>
    </row>
    <row r="1890" spans="1:16" x14ac:dyDescent="0.35">
      <c r="A1890" t="s">
        <v>1893</v>
      </c>
      <c r="B1890">
        <v>6103</v>
      </c>
      <c r="C1890">
        <v>28</v>
      </c>
      <c r="D1890">
        <v>69</v>
      </c>
      <c r="E1890">
        <v>532</v>
      </c>
      <c r="F1890">
        <v>3</v>
      </c>
      <c r="K1890" s="1">
        <f t="shared" si="185"/>
        <v>532</v>
      </c>
      <c r="L1890" s="1" t="str">
        <f t="shared" si="180"/>
        <v>Normal</v>
      </c>
      <c r="M1890" s="2">
        <f t="shared" si="181"/>
        <v>57.999999999999993</v>
      </c>
      <c r="N1890" s="1" t="str">
        <f t="shared" si="182"/>
        <v>Lembab</v>
      </c>
      <c r="O1890" t="str">
        <f t="shared" si="183"/>
        <v>Fuzzy</v>
      </c>
      <c r="P1890" t="str">
        <f t="shared" si="184"/>
        <v>Fuzzy</v>
      </c>
    </row>
    <row r="1891" spans="1:16" x14ac:dyDescent="0.35">
      <c r="A1891" t="s">
        <v>1894</v>
      </c>
      <c r="B1891">
        <v>6104</v>
      </c>
      <c r="C1891">
        <v>28</v>
      </c>
      <c r="D1891">
        <v>69</v>
      </c>
      <c r="E1891">
        <v>473</v>
      </c>
      <c r="F1891">
        <v>4</v>
      </c>
      <c r="K1891" s="1">
        <f t="shared" si="185"/>
        <v>473</v>
      </c>
      <c r="L1891" s="1" t="str">
        <f t="shared" si="180"/>
        <v>Normal</v>
      </c>
      <c r="M1891" s="2">
        <f t="shared" si="181"/>
        <v>43.25</v>
      </c>
      <c r="N1891" s="1" t="str">
        <f t="shared" si="182"/>
        <v>Lembab</v>
      </c>
      <c r="O1891" t="str">
        <f t="shared" si="183"/>
        <v>Fuzzy</v>
      </c>
      <c r="P1891" t="str">
        <f t="shared" si="184"/>
        <v>Fuzzy</v>
      </c>
    </row>
    <row r="1892" spans="1:16" x14ac:dyDescent="0.35">
      <c r="A1892" t="s">
        <v>1895</v>
      </c>
      <c r="B1892">
        <v>6105</v>
      </c>
      <c r="C1892">
        <v>28</v>
      </c>
      <c r="D1892">
        <v>69</v>
      </c>
      <c r="E1892">
        <v>489</v>
      </c>
      <c r="F1892">
        <v>4</v>
      </c>
      <c r="K1892" s="1">
        <f t="shared" si="185"/>
        <v>489</v>
      </c>
      <c r="L1892" s="1" t="str">
        <f t="shared" si="180"/>
        <v>Normal</v>
      </c>
      <c r="M1892" s="2">
        <f t="shared" si="181"/>
        <v>47.25</v>
      </c>
      <c r="N1892" s="1" t="str">
        <f t="shared" si="182"/>
        <v>Lembab</v>
      </c>
      <c r="O1892" t="str">
        <f t="shared" si="183"/>
        <v>Fuzzy</v>
      </c>
      <c r="P1892" t="str">
        <f t="shared" si="184"/>
        <v>Fuzzy</v>
      </c>
    </row>
    <row r="1893" spans="1:16" x14ac:dyDescent="0.35">
      <c r="A1893" t="s">
        <v>1896</v>
      </c>
      <c r="B1893">
        <v>6106</v>
      </c>
      <c r="C1893">
        <v>28</v>
      </c>
      <c r="D1893">
        <v>69</v>
      </c>
      <c r="E1893">
        <v>508</v>
      </c>
      <c r="F1893">
        <v>4</v>
      </c>
      <c r="K1893" s="1">
        <f t="shared" si="185"/>
        <v>508</v>
      </c>
      <c r="L1893" s="1" t="str">
        <f t="shared" si="180"/>
        <v>Normal</v>
      </c>
      <c r="M1893" s="2">
        <f t="shared" si="181"/>
        <v>52</v>
      </c>
      <c r="N1893" s="1" t="str">
        <f t="shared" si="182"/>
        <v>Lembab</v>
      </c>
      <c r="O1893" t="str">
        <f t="shared" si="183"/>
        <v>Fuzzy</v>
      </c>
      <c r="P1893" t="str">
        <f t="shared" si="184"/>
        <v>Fuzzy</v>
      </c>
    </row>
    <row r="1894" spans="1:16" x14ac:dyDescent="0.35">
      <c r="A1894" t="s">
        <v>1897</v>
      </c>
      <c r="B1894">
        <v>6107</v>
      </c>
      <c r="C1894">
        <v>28</v>
      </c>
      <c r="D1894">
        <v>69</v>
      </c>
      <c r="E1894">
        <v>470</v>
      </c>
      <c r="F1894">
        <v>4</v>
      </c>
      <c r="K1894" s="1">
        <f t="shared" si="185"/>
        <v>470</v>
      </c>
      <c r="L1894" s="1" t="str">
        <f t="shared" si="180"/>
        <v>Normal</v>
      </c>
      <c r="M1894" s="2">
        <f t="shared" si="181"/>
        <v>42.5</v>
      </c>
      <c r="N1894" s="1" t="str">
        <f t="shared" si="182"/>
        <v>Lembab</v>
      </c>
      <c r="O1894" t="str">
        <f t="shared" si="183"/>
        <v>Fuzzy</v>
      </c>
      <c r="P1894" t="str">
        <f t="shared" si="184"/>
        <v>Fuzzy</v>
      </c>
    </row>
    <row r="1895" spans="1:16" x14ac:dyDescent="0.35">
      <c r="A1895" t="s">
        <v>1898</v>
      </c>
      <c r="B1895">
        <v>6108</v>
      </c>
      <c r="C1895">
        <v>28</v>
      </c>
      <c r="D1895">
        <v>69</v>
      </c>
      <c r="E1895">
        <v>478</v>
      </c>
      <c r="F1895">
        <v>3</v>
      </c>
      <c r="K1895" s="1">
        <f t="shared" si="185"/>
        <v>478</v>
      </c>
      <c r="L1895" s="1" t="str">
        <f t="shared" si="180"/>
        <v>Normal</v>
      </c>
      <c r="M1895" s="2">
        <f t="shared" si="181"/>
        <v>44.5</v>
      </c>
      <c r="N1895" s="1" t="str">
        <f t="shared" si="182"/>
        <v>Lembab</v>
      </c>
      <c r="O1895" t="str">
        <f t="shared" si="183"/>
        <v>Fuzzy</v>
      </c>
      <c r="P1895" t="str">
        <f t="shared" si="184"/>
        <v>Fuzzy</v>
      </c>
    </row>
    <row r="1896" spans="1:16" x14ac:dyDescent="0.35">
      <c r="A1896" t="s">
        <v>1899</v>
      </c>
      <c r="B1896">
        <v>6109</v>
      </c>
      <c r="C1896">
        <v>28</v>
      </c>
      <c r="D1896">
        <v>69</v>
      </c>
      <c r="E1896">
        <v>464</v>
      </c>
      <c r="F1896">
        <v>3</v>
      </c>
      <c r="K1896" s="1">
        <f t="shared" si="185"/>
        <v>464</v>
      </c>
      <c r="L1896" s="1" t="str">
        <f t="shared" si="180"/>
        <v>Normal</v>
      </c>
      <c r="M1896" s="2">
        <f t="shared" si="181"/>
        <v>41</v>
      </c>
      <c r="N1896" s="1" t="str">
        <f t="shared" si="182"/>
        <v>Lembab</v>
      </c>
      <c r="O1896" t="str">
        <f t="shared" si="183"/>
        <v>Fuzzy</v>
      </c>
      <c r="P1896" t="str">
        <f t="shared" si="184"/>
        <v>Fuzzy</v>
      </c>
    </row>
    <row r="1897" spans="1:16" x14ac:dyDescent="0.35">
      <c r="A1897" t="s">
        <v>1900</v>
      </c>
      <c r="B1897">
        <v>6110</v>
      </c>
      <c r="C1897">
        <v>28</v>
      </c>
      <c r="D1897">
        <v>69</v>
      </c>
      <c r="E1897">
        <v>489</v>
      </c>
      <c r="F1897">
        <v>4</v>
      </c>
      <c r="K1897" s="1">
        <f t="shared" si="185"/>
        <v>489</v>
      </c>
      <c r="L1897" s="1" t="str">
        <f t="shared" si="180"/>
        <v>Normal</v>
      </c>
      <c r="M1897" s="2">
        <f t="shared" si="181"/>
        <v>47.25</v>
      </c>
      <c r="N1897" s="1" t="str">
        <f t="shared" si="182"/>
        <v>Lembab</v>
      </c>
      <c r="O1897" t="str">
        <f t="shared" si="183"/>
        <v>Fuzzy</v>
      </c>
      <c r="P1897" t="str">
        <f t="shared" si="184"/>
        <v>Fuzzy</v>
      </c>
    </row>
    <row r="1898" spans="1:16" x14ac:dyDescent="0.35">
      <c r="A1898" t="s">
        <v>1901</v>
      </c>
      <c r="B1898">
        <v>6111</v>
      </c>
      <c r="C1898">
        <v>28</v>
      </c>
      <c r="D1898">
        <v>69</v>
      </c>
      <c r="E1898">
        <v>484</v>
      </c>
      <c r="F1898">
        <v>4</v>
      </c>
      <c r="K1898" s="1">
        <f t="shared" si="185"/>
        <v>484</v>
      </c>
      <c r="L1898" s="1" t="str">
        <f t="shared" si="180"/>
        <v>Normal</v>
      </c>
      <c r="M1898" s="2">
        <f t="shared" si="181"/>
        <v>46</v>
      </c>
      <c r="N1898" s="1" t="str">
        <f t="shared" si="182"/>
        <v>Lembab</v>
      </c>
      <c r="O1898" t="str">
        <f t="shared" si="183"/>
        <v>Fuzzy</v>
      </c>
      <c r="P1898" t="str">
        <f t="shared" si="184"/>
        <v>Fuzzy</v>
      </c>
    </row>
    <row r="1899" spans="1:16" x14ac:dyDescent="0.35">
      <c r="A1899" t="s">
        <v>1902</v>
      </c>
      <c r="B1899">
        <v>6112</v>
      </c>
      <c r="C1899">
        <v>28</v>
      </c>
      <c r="D1899">
        <v>70</v>
      </c>
      <c r="E1899">
        <v>438</v>
      </c>
      <c r="F1899">
        <v>4</v>
      </c>
      <c r="K1899" s="1">
        <f t="shared" si="185"/>
        <v>438</v>
      </c>
      <c r="L1899" s="1" t="str">
        <f t="shared" si="180"/>
        <v>Normal</v>
      </c>
      <c r="M1899" s="2">
        <f t="shared" si="181"/>
        <v>34.5</v>
      </c>
      <c r="N1899" s="1" t="str">
        <f t="shared" si="182"/>
        <v>Lembab</v>
      </c>
      <c r="O1899" t="str">
        <f t="shared" si="183"/>
        <v>Fuzzy</v>
      </c>
      <c r="P1899" t="str">
        <f t="shared" si="184"/>
        <v>Fuzzy</v>
      </c>
    </row>
    <row r="1900" spans="1:16" x14ac:dyDescent="0.35">
      <c r="A1900" t="s">
        <v>1903</v>
      </c>
      <c r="B1900">
        <v>6113</v>
      </c>
      <c r="C1900">
        <v>28</v>
      </c>
      <c r="D1900">
        <v>69</v>
      </c>
      <c r="E1900">
        <v>542</v>
      </c>
      <c r="F1900">
        <v>4</v>
      </c>
      <c r="K1900" s="1">
        <f t="shared" si="185"/>
        <v>542</v>
      </c>
      <c r="L1900" s="1" t="str">
        <f t="shared" si="180"/>
        <v>Normal</v>
      </c>
      <c r="M1900" s="2">
        <f t="shared" si="181"/>
        <v>60.5</v>
      </c>
      <c r="N1900" s="1" t="str">
        <f t="shared" si="182"/>
        <v>Lembab</v>
      </c>
      <c r="O1900" t="str">
        <f t="shared" si="183"/>
        <v>Fuzzy</v>
      </c>
      <c r="P1900" t="str">
        <f t="shared" si="184"/>
        <v>Fuzzy</v>
      </c>
    </row>
    <row r="1901" spans="1:16" x14ac:dyDescent="0.35">
      <c r="A1901" t="s">
        <v>1904</v>
      </c>
      <c r="B1901">
        <v>6114</v>
      </c>
      <c r="C1901">
        <v>28</v>
      </c>
      <c r="D1901">
        <v>69</v>
      </c>
      <c r="E1901">
        <v>464</v>
      </c>
      <c r="F1901">
        <v>4</v>
      </c>
      <c r="K1901" s="1">
        <f t="shared" si="185"/>
        <v>464</v>
      </c>
      <c r="L1901" s="1" t="str">
        <f t="shared" si="180"/>
        <v>Normal</v>
      </c>
      <c r="M1901" s="2">
        <f t="shared" si="181"/>
        <v>41</v>
      </c>
      <c r="N1901" s="1" t="str">
        <f t="shared" si="182"/>
        <v>Lembab</v>
      </c>
      <c r="O1901" t="str">
        <f t="shared" si="183"/>
        <v>Fuzzy</v>
      </c>
      <c r="P1901" t="str">
        <f t="shared" si="184"/>
        <v>Fuzzy</v>
      </c>
    </row>
    <row r="1902" spans="1:16" x14ac:dyDescent="0.35">
      <c r="A1902" t="s">
        <v>1905</v>
      </c>
      <c r="B1902">
        <v>6115</v>
      </c>
      <c r="C1902">
        <v>28</v>
      </c>
      <c r="D1902">
        <v>69</v>
      </c>
      <c r="E1902">
        <v>244</v>
      </c>
      <c r="F1902">
        <v>4</v>
      </c>
      <c r="K1902" s="1">
        <f t="shared" si="185"/>
        <v>244</v>
      </c>
      <c r="L1902" s="1" t="str">
        <f t="shared" si="180"/>
        <v>Normal</v>
      </c>
      <c r="M1902" s="2">
        <f t="shared" si="181"/>
        <v>23.851417399804497</v>
      </c>
      <c r="N1902" s="1" t="str">
        <f t="shared" si="182"/>
        <v>Kering</v>
      </c>
      <c r="O1902" t="str">
        <f t="shared" si="183"/>
        <v>Fuzzy</v>
      </c>
      <c r="P1902" t="str">
        <f t="shared" si="184"/>
        <v>Fuzzy</v>
      </c>
    </row>
    <row r="1903" spans="1:16" x14ac:dyDescent="0.35">
      <c r="A1903" t="s">
        <v>1906</v>
      </c>
      <c r="B1903">
        <v>6116</v>
      </c>
      <c r="C1903">
        <v>28</v>
      </c>
      <c r="D1903">
        <v>67</v>
      </c>
      <c r="E1903">
        <v>468</v>
      </c>
      <c r="F1903">
        <v>4</v>
      </c>
      <c r="K1903" s="1">
        <f t="shared" si="185"/>
        <v>468</v>
      </c>
      <c r="L1903" s="1" t="str">
        <f t="shared" si="180"/>
        <v>Normal</v>
      </c>
      <c r="M1903" s="2">
        <f t="shared" si="181"/>
        <v>42</v>
      </c>
      <c r="N1903" s="1" t="str">
        <f t="shared" si="182"/>
        <v>Lembab</v>
      </c>
      <c r="O1903" t="str">
        <f t="shared" si="183"/>
        <v>Fuzzy</v>
      </c>
      <c r="P1903" t="str">
        <f t="shared" si="184"/>
        <v>Fuzzy</v>
      </c>
    </row>
    <row r="1904" spans="1:16" x14ac:dyDescent="0.35">
      <c r="A1904" t="s">
        <v>1907</v>
      </c>
      <c r="B1904">
        <v>6117</v>
      </c>
      <c r="C1904">
        <v>28</v>
      </c>
      <c r="D1904">
        <v>68</v>
      </c>
      <c r="E1904">
        <v>497</v>
      </c>
      <c r="F1904">
        <v>4</v>
      </c>
      <c r="K1904" s="1">
        <f t="shared" si="185"/>
        <v>497</v>
      </c>
      <c r="L1904" s="1" t="str">
        <f t="shared" si="180"/>
        <v>Normal</v>
      </c>
      <c r="M1904" s="2">
        <f t="shared" si="181"/>
        <v>49.25</v>
      </c>
      <c r="N1904" s="1" t="str">
        <f t="shared" si="182"/>
        <v>Lembab</v>
      </c>
      <c r="O1904" t="str">
        <f t="shared" si="183"/>
        <v>Fuzzy</v>
      </c>
      <c r="P1904" t="str">
        <f t="shared" si="184"/>
        <v>Fuzzy</v>
      </c>
    </row>
    <row r="1905" spans="1:16" x14ac:dyDescent="0.35">
      <c r="A1905" t="s">
        <v>1908</v>
      </c>
      <c r="B1905">
        <v>6118</v>
      </c>
      <c r="C1905">
        <v>28</v>
      </c>
      <c r="D1905">
        <v>68</v>
      </c>
      <c r="E1905">
        <v>276</v>
      </c>
      <c r="F1905">
        <v>4</v>
      </c>
      <c r="K1905" s="1">
        <f t="shared" si="185"/>
        <v>276</v>
      </c>
      <c r="L1905" s="1" t="str">
        <f t="shared" si="180"/>
        <v>Normal</v>
      </c>
      <c r="M1905" s="2">
        <f t="shared" si="181"/>
        <v>26.979472140762461</v>
      </c>
      <c r="N1905" s="1" t="str">
        <f t="shared" si="182"/>
        <v>Kering</v>
      </c>
      <c r="O1905" t="str">
        <f t="shared" si="183"/>
        <v>Fuzzy</v>
      </c>
      <c r="P1905" t="str">
        <f t="shared" si="184"/>
        <v>Fuzzy</v>
      </c>
    </row>
    <row r="1906" spans="1:16" x14ac:dyDescent="0.35">
      <c r="A1906" t="s">
        <v>1909</v>
      </c>
      <c r="B1906">
        <v>6119</v>
      </c>
      <c r="C1906">
        <v>28</v>
      </c>
      <c r="D1906">
        <v>68</v>
      </c>
      <c r="E1906">
        <v>454</v>
      </c>
      <c r="F1906">
        <v>4</v>
      </c>
      <c r="K1906" s="1">
        <f t="shared" si="185"/>
        <v>454</v>
      </c>
      <c r="L1906" s="1" t="str">
        <f t="shared" si="180"/>
        <v>Normal</v>
      </c>
      <c r="M1906" s="2">
        <f t="shared" si="181"/>
        <v>38.5</v>
      </c>
      <c r="N1906" s="1" t="str">
        <f t="shared" si="182"/>
        <v>Lembab</v>
      </c>
      <c r="O1906" t="str">
        <f t="shared" si="183"/>
        <v>Fuzzy</v>
      </c>
      <c r="P1906" t="str">
        <f t="shared" si="184"/>
        <v>Fuzzy</v>
      </c>
    </row>
    <row r="1907" spans="1:16" x14ac:dyDescent="0.35">
      <c r="A1907" t="s">
        <v>1910</v>
      </c>
      <c r="B1907">
        <v>6120</v>
      </c>
      <c r="C1907">
        <v>28</v>
      </c>
      <c r="D1907">
        <v>68</v>
      </c>
      <c r="E1907">
        <v>484</v>
      </c>
      <c r="F1907">
        <v>4</v>
      </c>
      <c r="K1907" s="1">
        <f t="shared" si="185"/>
        <v>484</v>
      </c>
      <c r="L1907" s="1" t="str">
        <f t="shared" si="180"/>
        <v>Normal</v>
      </c>
      <c r="M1907" s="2">
        <f t="shared" si="181"/>
        <v>46</v>
      </c>
      <c r="N1907" s="1" t="str">
        <f t="shared" si="182"/>
        <v>Lembab</v>
      </c>
      <c r="O1907" t="str">
        <f t="shared" si="183"/>
        <v>Fuzzy</v>
      </c>
      <c r="P1907" t="str">
        <f t="shared" si="184"/>
        <v>Fuzzy</v>
      </c>
    </row>
    <row r="1908" spans="1:16" x14ac:dyDescent="0.35">
      <c r="A1908" t="s">
        <v>1911</v>
      </c>
      <c r="B1908">
        <v>6121</v>
      </c>
      <c r="C1908">
        <v>28</v>
      </c>
      <c r="D1908">
        <v>69</v>
      </c>
      <c r="E1908">
        <v>478</v>
      </c>
      <c r="F1908">
        <v>4</v>
      </c>
      <c r="K1908" s="1">
        <f t="shared" si="185"/>
        <v>478</v>
      </c>
      <c r="L1908" s="1" t="str">
        <f t="shared" si="180"/>
        <v>Normal</v>
      </c>
      <c r="M1908" s="2">
        <f t="shared" si="181"/>
        <v>44.5</v>
      </c>
      <c r="N1908" s="1" t="str">
        <f t="shared" si="182"/>
        <v>Lembab</v>
      </c>
      <c r="O1908" t="str">
        <f t="shared" si="183"/>
        <v>Fuzzy</v>
      </c>
      <c r="P1908" t="str">
        <f t="shared" si="184"/>
        <v>Fuzzy</v>
      </c>
    </row>
    <row r="1909" spans="1:16" x14ac:dyDescent="0.35">
      <c r="A1909" t="s">
        <v>1912</v>
      </c>
      <c r="B1909">
        <v>6122</v>
      </c>
      <c r="C1909">
        <v>28</v>
      </c>
      <c r="D1909">
        <v>69</v>
      </c>
      <c r="E1909">
        <v>460</v>
      </c>
      <c r="F1909">
        <v>4</v>
      </c>
      <c r="K1909" s="1">
        <f t="shared" si="185"/>
        <v>460</v>
      </c>
      <c r="L1909" s="1" t="str">
        <f t="shared" si="180"/>
        <v>Normal</v>
      </c>
      <c r="M1909" s="2">
        <f t="shared" si="181"/>
        <v>40</v>
      </c>
      <c r="N1909" s="1" t="str">
        <f t="shared" si="182"/>
        <v>Lembab</v>
      </c>
      <c r="O1909" t="str">
        <f t="shared" si="183"/>
        <v>Fuzzy</v>
      </c>
      <c r="P1909" t="str">
        <f t="shared" si="184"/>
        <v>Fuzzy</v>
      </c>
    </row>
    <row r="1910" spans="1:16" x14ac:dyDescent="0.35">
      <c r="A1910" t="s">
        <v>1913</v>
      </c>
      <c r="B1910">
        <v>6123</v>
      </c>
      <c r="C1910">
        <v>28</v>
      </c>
      <c r="D1910">
        <v>69</v>
      </c>
      <c r="E1910">
        <v>313</v>
      </c>
      <c r="F1910">
        <v>3</v>
      </c>
      <c r="K1910" s="1">
        <f t="shared" si="185"/>
        <v>313</v>
      </c>
      <c r="L1910" s="1" t="str">
        <f t="shared" si="180"/>
        <v>Normal</v>
      </c>
      <c r="M1910" s="2">
        <f t="shared" si="181"/>
        <v>3.25</v>
      </c>
      <c r="N1910" s="1" t="str">
        <f t="shared" si="182"/>
        <v>Kering</v>
      </c>
      <c r="O1910" t="str">
        <f t="shared" si="183"/>
        <v>Fuzzy</v>
      </c>
      <c r="P1910" t="str">
        <f t="shared" si="184"/>
        <v>Fuzzy</v>
      </c>
    </row>
    <row r="1911" spans="1:16" x14ac:dyDescent="0.35">
      <c r="A1911" t="s">
        <v>1914</v>
      </c>
      <c r="B1911">
        <v>6124</v>
      </c>
      <c r="C1911">
        <v>28</v>
      </c>
      <c r="D1911">
        <v>69</v>
      </c>
      <c r="E1911">
        <v>516</v>
      </c>
      <c r="F1911">
        <v>3</v>
      </c>
      <c r="K1911" s="1">
        <f t="shared" si="185"/>
        <v>516</v>
      </c>
      <c r="L1911" s="1" t="str">
        <f t="shared" si="180"/>
        <v>Normal</v>
      </c>
      <c r="M1911" s="2">
        <f t="shared" si="181"/>
        <v>54</v>
      </c>
      <c r="N1911" s="1" t="str">
        <f t="shared" si="182"/>
        <v>Lembab</v>
      </c>
      <c r="O1911" t="str">
        <f t="shared" si="183"/>
        <v>Fuzzy</v>
      </c>
      <c r="P1911" t="str">
        <f t="shared" si="184"/>
        <v>Fuzzy</v>
      </c>
    </row>
    <row r="1912" spans="1:16" x14ac:dyDescent="0.35">
      <c r="A1912" t="s">
        <v>1915</v>
      </c>
      <c r="B1912">
        <v>6125</v>
      </c>
      <c r="C1912">
        <v>28</v>
      </c>
      <c r="D1912">
        <v>70</v>
      </c>
      <c r="E1912">
        <v>479</v>
      </c>
      <c r="F1912">
        <v>4</v>
      </c>
      <c r="K1912" s="1">
        <f t="shared" si="185"/>
        <v>479</v>
      </c>
      <c r="L1912" s="1" t="str">
        <f t="shared" si="180"/>
        <v>Normal</v>
      </c>
      <c r="M1912" s="2">
        <f t="shared" si="181"/>
        <v>44.75</v>
      </c>
      <c r="N1912" s="1" t="str">
        <f t="shared" si="182"/>
        <v>Lembab</v>
      </c>
      <c r="O1912" t="str">
        <f t="shared" si="183"/>
        <v>Fuzzy</v>
      </c>
      <c r="P1912" t="str">
        <f t="shared" si="184"/>
        <v>Fuzzy</v>
      </c>
    </row>
    <row r="1913" spans="1:16" x14ac:dyDescent="0.35">
      <c r="A1913" t="s">
        <v>1916</v>
      </c>
      <c r="B1913">
        <v>6126</v>
      </c>
      <c r="C1913">
        <v>28</v>
      </c>
      <c r="D1913">
        <v>70</v>
      </c>
      <c r="E1913">
        <v>493</v>
      </c>
      <c r="F1913">
        <v>4</v>
      </c>
      <c r="K1913" s="1">
        <f t="shared" si="185"/>
        <v>493</v>
      </c>
      <c r="L1913" s="1" t="str">
        <f t="shared" si="180"/>
        <v>Normal</v>
      </c>
      <c r="M1913" s="2">
        <f t="shared" si="181"/>
        <v>48.25</v>
      </c>
      <c r="N1913" s="1" t="str">
        <f t="shared" si="182"/>
        <v>Lembab</v>
      </c>
      <c r="O1913" t="str">
        <f t="shared" si="183"/>
        <v>Fuzzy</v>
      </c>
      <c r="P1913" t="str">
        <f t="shared" si="184"/>
        <v>Fuzzy</v>
      </c>
    </row>
    <row r="1914" spans="1:16" x14ac:dyDescent="0.35">
      <c r="A1914" t="s">
        <v>1917</v>
      </c>
      <c r="B1914">
        <v>6127</v>
      </c>
      <c r="C1914">
        <v>28</v>
      </c>
      <c r="D1914">
        <v>70</v>
      </c>
      <c r="E1914">
        <v>469</v>
      </c>
      <c r="F1914">
        <v>4</v>
      </c>
      <c r="K1914" s="1">
        <f t="shared" si="185"/>
        <v>469</v>
      </c>
      <c r="L1914" s="1" t="str">
        <f t="shared" si="180"/>
        <v>Normal</v>
      </c>
      <c r="M1914" s="2">
        <f t="shared" si="181"/>
        <v>42.25</v>
      </c>
      <c r="N1914" s="1" t="str">
        <f t="shared" si="182"/>
        <v>Lembab</v>
      </c>
      <c r="O1914" t="str">
        <f t="shared" si="183"/>
        <v>Fuzzy</v>
      </c>
      <c r="P1914" t="str">
        <f t="shared" si="184"/>
        <v>Fuzzy</v>
      </c>
    </row>
    <row r="1915" spans="1:16" x14ac:dyDescent="0.35">
      <c r="A1915" t="s">
        <v>1918</v>
      </c>
      <c r="B1915">
        <v>6128</v>
      </c>
      <c r="C1915">
        <v>28</v>
      </c>
      <c r="D1915">
        <v>70</v>
      </c>
      <c r="E1915">
        <v>518</v>
      </c>
      <c r="F1915">
        <v>4</v>
      </c>
      <c r="K1915" s="1">
        <f t="shared" si="185"/>
        <v>518</v>
      </c>
      <c r="L1915" s="1" t="str">
        <f t="shared" si="180"/>
        <v>Normal</v>
      </c>
      <c r="M1915" s="2">
        <f t="shared" si="181"/>
        <v>54.500000000000007</v>
      </c>
      <c r="N1915" s="1" t="str">
        <f t="shared" si="182"/>
        <v>Lembab</v>
      </c>
      <c r="O1915" t="str">
        <f t="shared" si="183"/>
        <v>Fuzzy</v>
      </c>
      <c r="P1915" t="str">
        <f t="shared" si="184"/>
        <v>Fuzzy</v>
      </c>
    </row>
    <row r="1916" spans="1:16" x14ac:dyDescent="0.35">
      <c r="A1916" t="s">
        <v>1919</v>
      </c>
      <c r="B1916">
        <v>6129</v>
      </c>
      <c r="C1916">
        <v>28</v>
      </c>
      <c r="D1916">
        <v>70</v>
      </c>
      <c r="E1916">
        <v>406</v>
      </c>
      <c r="F1916">
        <v>4</v>
      </c>
      <c r="K1916" s="1">
        <f t="shared" si="185"/>
        <v>406</v>
      </c>
      <c r="L1916" s="1" t="str">
        <f t="shared" si="180"/>
        <v>Normal</v>
      </c>
      <c r="M1916" s="2">
        <f t="shared" si="181"/>
        <v>26.5</v>
      </c>
      <c r="N1916" s="1" t="str">
        <f t="shared" si="182"/>
        <v>Kering</v>
      </c>
      <c r="O1916" t="str">
        <f t="shared" si="183"/>
        <v>Fuzzy</v>
      </c>
      <c r="P1916" t="str">
        <f t="shared" si="184"/>
        <v>Fuzzy</v>
      </c>
    </row>
    <row r="1917" spans="1:16" x14ac:dyDescent="0.35">
      <c r="A1917" t="s">
        <v>1920</v>
      </c>
      <c r="B1917">
        <v>6130</v>
      </c>
      <c r="C1917">
        <v>28</v>
      </c>
      <c r="D1917">
        <v>70</v>
      </c>
      <c r="E1917">
        <v>464</v>
      </c>
      <c r="F1917">
        <v>4</v>
      </c>
      <c r="K1917" s="1">
        <f t="shared" si="185"/>
        <v>464</v>
      </c>
      <c r="L1917" s="1" t="str">
        <f t="shared" si="180"/>
        <v>Normal</v>
      </c>
      <c r="M1917" s="2">
        <f t="shared" si="181"/>
        <v>41</v>
      </c>
      <c r="N1917" s="1" t="str">
        <f t="shared" si="182"/>
        <v>Lembab</v>
      </c>
      <c r="O1917" t="str">
        <f t="shared" si="183"/>
        <v>Fuzzy</v>
      </c>
      <c r="P1917" t="str">
        <f t="shared" si="184"/>
        <v>Fuzzy</v>
      </c>
    </row>
    <row r="1918" spans="1:16" x14ac:dyDescent="0.35">
      <c r="A1918" t="s">
        <v>1921</v>
      </c>
      <c r="B1918">
        <v>6131</v>
      </c>
      <c r="C1918">
        <v>28</v>
      </c>
      <c r="D1918">
        <v>70</v>
      </c>
      <c r="E1918">
        <v>443</v>
      </c>
      <c r="F1918">
        <v>4</v>
      </c>
      <c r="K1918" s="1">
        <f t="shared" si="185"/>
        <v>443</v>
      </c>
      <c r="L1918" s="1" t="str">
        <f t="shared" si="180"/>
        <v>Normal</v>
      </c>
      <c r="M1918" s="2">
        <f t="shared" si="181"/>
        <v>35.75</v>
      </c>
      <c r="N1918" s="1" t="str">
        <f t="shared" si="182"/>
        <v>Lembab</v>
      </c>
      <c r="O1918" t="str">
        <f t="shared" si="183"/>
        <v>Fuzzy</v>
      </c>
      <c r="P1918" t="str">
        <f t="shared" si="184"/>
        <v>Fuzzy</v>
      </c>
    </row>
    <row r="1919" spans="1:16" x14ac:dyDescent="0.35">
      <c r="A1919" t="s">
        <v>1922</v>
      </c>
      <c r="B1919">
        <v>6132</v>
      </c>
      <c r="C1919">
        <v>28</v>
      </c>
      <c r="D1919">
        <v>70</v>
      </c>
      <c r="E1919">
        <v>503</v>
      </c>
      <c r="F1919">
        <v>4</v>
      </c>
      <c r="K1919" s="1">
        <f t="shared" si="185"/>
        <v>503</v>
      </c>
      <c r="L1919" s="1" t="str">
        <f t="shared" si="180"/>
        <v>Normal</v>
      </c>
      <c r="M1919" s="2">
        <f t="shared" si="181"/>
        <v>50.749999999999993</v>
      </c>
      <c r="N1919" s="1" t="str">
        <f t="shared" si="182"/>
        <v>Lembab</v>
      </c>
      <c r="O1919" t="str">
        <f t="shared" si="183"/>
        <v>Fuzzy</v>
      </c>
      <c r="P1919" t="str">
        <f t="shared" si="184"/>
        <v>Fuzzy</v>
      </c>
    </row>
    <row r="1920" spans="1:16" x14ac:dyDescent="0.35">
      <c r="A1920" t="s">
        <v>1923</v>
      </c>
      <c r="B1920">
        <v>6133</v>
      </c>
      <c r="C1920">
        <v>28</v>
      </c>
      <c r="D1920">
        <v>70</v>
      </c>
      <c r="E1920">
        <v>465</v>
      </c>
      <c r="F1920">
        <v>4</v>
      </c>
      <c r="K1920" s="1">
        <f t="shared" si="185"/>
        <v>465</v>
      </c>
      <c r="L1920" s="1" t="str">
        <f t="shared" si="180"/>
        <v>Normal</v>
      </c>
      <c r="M1920" s="2">
        <f t="shared" si="181"/>
        <v>41.25</v>
      </c>
      <c r="N1920" s="1" t="str">
        <f t="shared" si="182"/>
        <v>Lembab</v>
      </c>
      <c r="O1920" t="str">
        <f t="shared" si="183"/>
        <v>Fuzzy</v>
      </c>
      <c r="P1920" t="str">
        <f t="shared" si="184"/>
        <v>Fuzzy</v>
      </c>
    </row>
    <row r="1921" spans="1:16" x14ac:dyDescent="0.35">
      <c r="A1921" t="s">
        <v>1924</v>
      </c>
      <c r="B1921">
        <v>6134</v>
      </c>
      <c r="C1921">
        <v>28</v>
      </c>
      <c r="D1921">
        <v>70</v>
      </c>
      <c r="E1921">
        <v>472</v>
      </c>
      <c r="F1921">
        <v>4</v>
      </c>
      <c r="K1921" s="1">
        <f t="shared" si="185"/>
        <v>472</v>
      </c>
      <c r="L1921" s="1" t="str">
        <f t="shared" si="180"/>
        <v>Normal</v>
      </c>
      <c r="M1921" s="2">
        <f t="shared" si="181"/>
        <v>43</v>
      </c>
      <c r="N1921" s="1" t="str">
        <f t="shared" si="182"/>
        <v>Lembab</v>
      </c>
      <c r="O1921" t="str">
        <f t="shared" si="183"/>
        <v>Fuzzy</v>
      </c>
      <c r="P1921" t="str">
        <f t="shared" si="184"/>
        <v>Fuzzy</v>
      </c>
    </row>
    <row r="1922" spans="1:16" x14ac:dyDescent="0.35">
      <c r="A1922" t="s">
        <v>1925</v>
      </c>
      <c r="B1922">
        <v>6135</v>
      </c>
      <c r="C1922">
        <v>28</v>
      </c>
      <c r="D1922">
        <v>69</v>
      </c>
      <c r="E1922">
        <v>439</v>
      </c>
      <c r="F1922">
        <v>4</v>
      </c>
      <c r="K1922" s="1">
        <f t="shared" si="185"/>
        <v>439</v>
      </c>
      <c r="L1922" s="1" t="str">
        <f t="shared" si="180"/>
        <v>Normal</v>
      </c>
      <c r="M1922" s="2">
        <f t="shared" si="181"/>
        <v>34.75</v>
      </c>
      <c r="N1922" s="1" t="str">
        <f t="shared" si="182"/>
        <v>Lembab</v>
      </c>
      <c r="O1922" t="str">
        <f t="shared" si="183"/>
        <v>Fuzzy</v>
      </c>
      <c r="P1922" t="str">
        <f t="shared" si="184"/>
        <v>Fuzzy</v>
      </c>
    </row>
    <row r="1923" spans="1:16" x14ac:dyDescent="0.35">
      <c r="A1923" t="s">
        <v>1926</v>
      </c>
      <c r="B1923">
        <v>6136</v>
      </c>
      <c r="C1923">
        <v>28</v>
      </c>
      <c r="D1923">
        <v>69</v>
      </c>
      <c r="E1923">
        <v>461</v>
      </c>
      <c r="F1923">
        <v>4</v>
      </c>
      <c r="K1923" s="1">
        <f t="shared" si="185"/>
        <v>461</v>
      </c>
      <c r="L1923" s="1" t="str">
        <f t="shared" ref="L1923:L1986" si="186">IF(A1922 &lt;= 10, "Dingin", IF(OR(A1922 &gt;= 10, A1922 &lt; 35), "Normal", "Panas"))</f>
        <v>Normal</v>
      </c>
      <c r="M1923" s="2">
        <f t="shared" ref="M1923:M1986" si="187">IF(K1923&lt;=300, K1923/1023*100, IF(K1923&lt;=700, (K1923-300)/(700-301+1)*100, (K1923-700)/(1023-701+1)*100))</f>
        <v>40.25</v>
      </c>
      <c r="N1923" s="1" t="str">
        <f t="shared" ref="N1923:N1986" si="188">IF(M1923&lt;=29.32, "Kering", IF(M1923&lt;=68.53, "Lembab", "Basah"))</f>
        <v>Lembab</v>
      </c>
      <c r="O1923" t="str">
        <f t="shared" ref="O1923:O1986" si="189">IF(OR(AND(C1923 &gt; 10, C1923 &lt; 22.5), AND(C1923 &gt;= 22.5, C1923 &lt; 35)), "Fuzzy", "")</f>
        <v>Fuzzy</v>
      </c>
      <c r="P1923" t="str">
        <f t="shared" ref="P1923:P1986" si="190">IF(OR(AND(M1923 &gt;= 0, M1923 &lt; 50), AND(M1923 &gt;= 50, M1923 &lt; 100)), "Fuzzy", "")</f>
        <v>Fuzzy</v>
      </c>
    </row>
    <row r="1924" spans="1:16" x14ac:dyDescent="0.35">
      <c r="A1924" t="s">
        <v>1927</v>
      </c>
      <c r="B1924">
        <v>6137</v>
      </c>
      <c r="C1924">
        <v>28</v>
      </c>
      <c r="D1924">
        <v>70</v>
      </c>
      <c r="E1924">
        <v>484</v>
      </c>
      <c r="F1924">
        <v>4</v>
      </c>
      <c r="K1924" s="1">
        <f t="shared" si="185"/>
        <v>484</v>
      </c>
      <c r="L1924" s="1" t="str">
        <f t="shared" si="186"/>
        <v>Normal</v>
      </c>
      <c r="M1924" s="2">
        <f t="shared" si="187"/>
        <v>46</v>
      </c>
      <c r="N1924" s="1" t="str">
        <f t="shared" si="188"/>
        <v>Lembab</v>
      </c>
      <c r="O1924" t="str">
        <f t="shared" si="189"/>
        <v>Fuzzy</v>
      </c>
      <c r="P1924" t="str">
        <f t="shared" si="190"/>
        <v>Fuzzy</v>
      </c>
    </row>
    <row r="1925" spans="1:16" x14ac:dyDescent="0.35">
      <c r="A1925" t="s">
        <v>1928</v>
      </c>
      <c r="B1925">
        <v>6138</v>
      </c>
      <c r="C1925">
        <v>28</v>
      </c>
      <c r="D1925">
        <v>70</v>
      </c>
      <c r="E1925">
        <v>478</v>
      </c>
      <c r="F1925">
        <v>4</v>
      </c>
      <c r="K1925" s="1">
        <f t="shared" si="185"/>
        <v>478</v>
      </c>
      <c r="L1925" s="1" t="str">
        <f t="shared" si="186"/>
        <v>Normal</v>
      </c>
      <c r="M1925" s="2">
        <f t="shared" si="187"/>
        <v>44.5</v>
      </c>
      <c r="N1925" s="1" t="str">
        <f t="shared" si="188"/>
        <v>Lembab</v>
      </c>
      <c r="O1925" t="str">
        <f t="shared" si="189"/>
        <v>Fuzzy</v>
      </c>
      <c r="P1925" t="str">
        <f t="shared" si="190"/>
        <v>Fuzzy</v>
      </c>
    </row>
    <row r="1926" spans="1:16" x14ac:dyDescent="0.35">
      <c r="A1926" t="s">
        <v>1929</v>
      </c>
      <c r="B1926">
        <v>6139</v>
      </c>
      <c r="C1926">
        <v>28</v>
      </c>
      <c r="D1926">
        <v>70</v>
      </c>
      <c r="E1926">
        <v>483</v>
      </c>
      <c r="F1926">
        <v>4</v>
      </c>
      <c r="K1926" s="1">
        <f t="shared" si="185"/>
        <v>483</v>
      </c>
      <c r="L1926" s="1" t="str">
        <f t="shared" si="186"/>
        <v>Normal</v>
      </c>
      <c r="M1926" s="2">
        <f t="shared" si="187"/>
        <v>45.75</v>
      </c>
      <c r="N1926" s="1" t="str">
        <f t="shared" si="188"/>
        <v>Lembab</v>
      </c>
      <c r="O1926" t="str">
        <f t="shared" si="189"/>
        <v>Fuzzy</v>
      </c>
      <c r="P1926" t="str">
        <f t="shared" si="190"/>
        <v>Fuzzy</v>
      </c>
    </row>
    <row r="1927" spans="1:16" x14ac:dyDescent="0.35">
      <c r="A1927" t="s">
        <v>1930</v>
      </c>
      <c r="B1927">
        <v>6140</v>
      </c>
      <c r="C1927">
        <v>28</v>
      </c>
      <c r="D1927">
        <v>69</v>
      </c>
      <c r="E1927">
        <v>514</v>
      </c>
      <c r="F1927">
        <v>4</v>
      </c>
      <c r="K1927" s="1">
        <f t="shared" si="185"/>
        <v>514</v>
      </c>
      <c r="L1927" s="1" t="str">
        <f t="shared" si="186"/>
        <v>Normal</v>
      </c>
      <c r="M1927" s="2">
        <f t="shared" si="187"/>
        <v>53.5</v>
      </c>
      <c r="N1927" s="1" t="str">
        <f t="shared" si="188"/>
        <v>Lembab</v>
      </c>
      <c r="O1927" t="str">
        <f t="shared" si="189"/>
        <v>Fuzzy</v>
      </c>
      <c r="P1927" t="str">
        <f t="shared" si="190"/>
        <v>Fuzzy</v>
      </c>
    </row>
    <row r="1928" spans="1:16" x14ac:dyDescent="0.35">
      <c r="A1928" t="s">
        <v>1931</v>
      </c>
      <c r="B1928">
        <v>6141</v>
      </c>
      <c r="C1928">
        <v>28</v>
      </c>
      <c r="D1928">
        <v>68</v>
      </c>
      <c r="E1928">
        <v>499</v>
      </c>
      <c r="F1928">
        <v>4</v>
      </c>
      <c r="K1928" s="1">
        <f t="shared" si="185"/>
        <v>499</v>
      </c>
      <c r="L1928" s="1" t="str">
        <f t="shared" si="186"/>
        <v>Normal</v>
      </c>
      <c r="M1928" s="2">
        <f t="shared" si="187"/>
        <v>49.75</v>
      </c>
      <c r="N1928" s="1" t="str">
        <f t="shared" si="188"/>
        <v>Lembab</v>
      </c>
      <c r="O1928" t="str">
        <f t="shared" si="189"/>
        <v>Fuzzy</v>
      </c>
      <c r="P1928" t="str">
        <f t="shared" si="190"/>
        <v>Fuzzy</v>
      </c>
    </row>
    <row r="1929" spans="1:16" x14ac:dyDescent="0.35">
      <c r="A1929" t="s">
        <v>1932</v>
      </c>
      <c r="B1929">
        <v>6142</v>
      </c>
      <c r="C1929">
        <v>28</v>
      </c>
      <c r="D1929">
        <v>68</v>
      </c>
      <c r="E1929">
        <v>498</v>
      </c>
      <c r="F1929">
        <v>4</v>
      </c>
      <c r="K1929" s="1">
        <f t="shared" si="185"/>
        <v>498</v>
      </c>
      <c r="L1929" s="1" t="str">
        <f t="shared" si="186"/>
        <v>Normal</v>
      </c>
      <c r="M1929" s="2">
        <f t="shared" si="187"/>
        <v>49.5</v>
      </c>
      <c r="N1929" s="1" t="str">
        <f t="shared" si="188"/>
        <v>Lembab</v>
      </c>
      <c r="O1929" t="str">
        <f t="shared" si="189"/>
        <v>Fuzzy</v>
      </c>
      <c r="P1929" t="str">
        <f t="shared" si="190"/>
        <v>Fuzzy</v>
      </c>
    </row>
    <row r="1930" spans="1:16" x14ac:dyDescent="0.35">
      <c r="A1930" t="s">
        <v>1933</v>
      </c>
      <c r="B1930">
        <v>6143</v>
      </c>
      <c r="C1930">
        <v>28</v>
      </c>
      <c r="D1930">
        <v>68</v>
      </c>
      <c r="E1930">
        <v>492</v>
      </c>
      <c r="F1930">
        <v>4</v>
      </c>
      <c r="K1930" s="1">
        <f t="shared" si="185"/>
        <v>492</v>
      </c>
      <c r="L1930" s="1" t="str">
        <f t="shared" si="186"/>
        <v>Normal</v>
      </c>
      <c r="M1930" s="2">
        <f t="shared" si="187"/>
        <v>48</v>
      </c>
      <c r="N1930" s="1" t="str">
        <f t="shared" si="188"/>
        <v>Lembab</v>
      </c>
      <c r="O1930" t="str">
        <f t="shared" si="189"/>
        <v>Fuzzy</v>
      </c>
      <c r="P1930" t="str">
        <f t="shared" si="190"/>
        <v>Fuzzy</v>
      </c>
    </row>
    <row r="1931" spans="1:16" x14ac:dyDescent="0.35">
      <c r="A1931" t="s">
        <v>1934</v>
      </c>
      <c r="B1931">
        <v>6144</v>
      </c>
      <c r="C1931">
        <v>28</v>
      </c>
      <c r="D1931">
        <v>69</v>
      </c>
      <c r="E1931">
        <v>438</v>
      </c>
      <c r="F1931">
        <v>4</v>
      </c>
      <c r="K1931" s="1">
        <f t="shared" si="185"/>
        <v>438</v>
      </c>
      <c r="L1931" s="1" t="str">
        <f t="shared" si="186"/>
        <v>Normal</v>
      </c>
      <c r="M1931" s="2">
        <f t="shared" si="187"/>
        <v>34.5</v>
      </c>
      <c r="N1931" s="1" t="str">
        <f t="shared" si="188"/>
        <v>Lembab</v>
      </c>
      <c r="O1931" t="str">
        <f t="shared" si="189"/>
        <v>Fuzzy</v>
      </c>
      <c r="P1931" t="str">
        <f t="shared" si="190"/>
        <v>Fuzzy</v>
      </c>
    </row>
    <row r="1932" spans="1:16" x14ac:dyDescent="0.35">
      <c r="A1932" t="s">
        <v>1935</v>
      </c>
      <c r="B1932">
        <v>6145</v>
      </c>
      <c r="C1932">
        <v>28</v>
      </c>
      <c r="D1932">
        <v>69</v>
      </c>
      <c r="E1932">
        <v>447</v>
      </c>
      <c r="F1932">
        <v>4</v>
      </c>
      <c r="K1932" s="1">
        <f t="shared" si="185"/>
        <v>447</v>
      </c>
      <c r="L1932" s="1" t="str">
        <f t="shared" si="186"/>
        <v>Normal</v>
      </c>
      <c r="M1932" s="2">
        <f t="shared" si="187"/>
        <v>36.75</v>
      </c>
      <c r="N1932" s="1" t="str">
        <f t="shared" si="188"/>
        <v>Lembab</v>
      </c>
      <c r="O1932" t="str">
        <f t="shared" si="189"/>
        <v>Fuzzy</v>
      </c>
      <c r="P1932" t="str">
        <f t="shared" si="190"/>
        <v>Fuzzy</v>
      </c>
    </row>
    <row r="1933" spans="1:16" x14ac:dyDescent="0.35">
      <c r="A1933" t="s">
        <v>1936</v>
      </c>
      <c r="B1933">
        <v>6146</v>
      </c>
      <c r="C1933">
        <v>28</v>
      </c>
      <c r="D1933">
        <v>69</v>
      </c>
      <c r="E1933">
        <v>252</v>
      </c>
      <c r="F1933">
        <v>4</v>
      </c>
      <c r="K1933" s="1">
        <f t="shared" ref="K1933:K1996" si="191">IF(E1933&lt;=1023, E1933, "")</f>
        <v>252</v>
      </c>
      <c r="L1933" s="1" t="str">
        <f t="shared" si="186"/>
        <v>Normal</v>
      </c>
      <c r="M1933" s="2">
        <f t="shared" si="187"/>
        <v>24.633431085043988</v>
      </c>
      <c r="N1933" s="1" t="str">
        <f t="shared" si="188"/>
        <v>Kering</v>
      </c>
      <c r="O1933" t="str">
        <f t="shared" si="189"/>
        <v>Fuzzy</v>
      </c>
      <c r="P1933" t="str">
        <f t="shared" si="190"/>
        <v>Fuzzy</v>
      </c>
    </row>
    <row r="1934" spans="1:16" x14ac:dyDescent="0.35">
      <c r="A1934" t="s">
        <v>1937</v>
      </c>
      <c r="B1934">
        <v>6147</v>
      </c>
      <c r="C1934">
        <v>28</v>
      </c>
      <c r="D1934">
        <v>69</v>
      </c>
      <c r="E1934">
        <v>803</v>
      </c>
      <c r="F1934">
        <v>4</v>
      </c>
      <c r="K1934" s="1">
        <f t="shared" si="191"/>
        <v>803</v>
      </c>
      <c r="L1934" s="1" t="str">
        <f t="shared" si="186"/>
        <v>Normal</v>
      </c>
      <c r="M1934" s="2">
        <f t="shared" si="187"/>
        <v>31.888544891640869</v>
      </c>
      <c r="N1934" s="1" t="str">
        <f t="shared" si="188"/>
        <v>Lembab</v>
      </c>
      <c r="O1934" t="str">
        <f t="shared" si="189"/>
        <v>Fuzzy</v>
      </c>
      <c r="P1934" t="str">
        <f t="shared" si="190"/>
        <v>Fuzzy</v>
      </c>
    </row>
    <row r="1935" spans="1:16" x14ac:dyDescent="0.35">
      <c r="A1935" t="s">
        <v>1938</v>
      </c>
      <c r="B1935">
        <v>6148</v>
      </c>
      <c r="C1935">
        <v>28</v>
      </c>
      <c r="D1935">
        <v>69</v>
      </c>
      <c r="E1935">
        <v>427</v>
      </c>
      <c r="F1935">
        <v>4</v>
      </c>
      <c r="K1935" s="1">
        <f t="shared" si="191"/>
        <v>427</v>
      </c>
      <c r="L1935" s="1" t="str">
        <f t="shared" si="186"/>
        <v>Normal</v>
      </c>
      <c r="M1935" s="2">
        <f t="shared" si="187"/>
        <v>31.75</v>
      </c>
      <c r="N1935" s="1" t="str">
        <f t="shared" si="188"/>
        <v>Lembab</v>
      </c>
      <c r="O1935" t="str">
        <f t="shared" si="189"/>
        <v>Fuzzy</v>
      </c>
      <c r="P1935" t="str">
        <f t="shared" si="190"/>
        <v>Fuzzy</v>
      </c>
    </row>
    <row r="1936" spans="1:16" x14ac:dyDescent="0.35">
      <c r="A1936" t="s">
        <v>1939</v>
      </c>
      <c r="B1936">
        <v>6149</v>
      </c>
      <c r="C1936">
        <v>28</v>
      </c>
      <c r="D1936">
        <v>70</v>
      </c>
      <c r="E1936">
        <v>474</v>
      </c>
      <c r="F1936">
        <v>4</v>
      </c>
      <c r="K1936" s="1">
        <f t="shared" si="191"/>
        <v>474</v>
      </c>
      <c r="L1936" s="1" t="str">
        <f t="shared" si="186"/>
        <v>Normal</v>
      </c>
      <c r="M1936" s="2">
        <f t="shared" si="187"/>
        <v>43.5</v>
      </c>
      <c r="N1936" s="1" t="str">
        <f t="shared" si="188"/>
        <v>Lembab</v>
      </c>
      <c r="O1936" t="str">
        <f t="shared" si="189"/>
        <v>Fuzzy</v>
      </c>
      <c r="P1936" t="str">
        <f t="shared" si="190"/>
        <v>Fuzzy</v>
      </c>
    </row>
    <row r="1937" spans="1:16" x14ac:dyDescent="0.35">
      <c r="A1937" t="s">
        <v>1940</v>
      </c>
      <c r="B1937">
        <v>6150</v>
      </c>
      <c r="C1937">
        <v>28</v>
      </c>
      <c r="D1937">
        <v>70</v>
      </c>
      <c r="E1937">
        <v>555</v>
      </c>
      <c r="F1937">
        <v>4</v>
      </c>
      <c r="K1937" s="1">
        <f t="shared" si="191"/>
        <v>555</v>
      </c>
      <c r="L1937" s="1" t="str">
        <f t="shared" si="186"/>
        <v>Normal</v>
      </c>
      <c r="M1937" s="2">
        <f t="shared" si="187"/>
        <v>63.749999999999993</v>
      </c>
      <c r="N1937" s="1" t="str">
        <f t="shared" si="188"/>
        <v>Lembab</v>
      </c>
      <c r="O1937" t="str">
        <f t="shared" si="189"/>
        <v>Fuzzy</v>
      </c>
      <c r="P1937" t="str">
        <f t="shared" si="190"/>
        <v>Fuzzy</v>
      </c>
    </row>
    <row r="1938" spans="1:16" x14ac:dyDescent="0.35">
      <c r="A1938" t="s">
        <v>1941</v>
      </c>
      <c r="B1938">
        <v>6151</v>
      </c>
      <c r="C1938">
        <v>28</v>
      </c>
      <c r="D1938">
        <v>70</v>
      </c>
      <c r="E1938">
        <v>402</v>
      </c>
      <c r="F1938">
        <v>4</v>
      </c>
      <c r="K1938" s="1">
        <f t="shared" si="191"/>
        <v>402</v>
      </c>
      <c r="L1938" s="1" t="str">
        <f t="shared" si="186"/>
        <v>Normal</v>
      </c>
      <c r="M1938" s="2">
        <f t="shared" si="187"/>
        <v>25.5</v>
      </c>
      <c r="N1938" s="1" t="str">
        <f t="shared" si="188"/>
        <v>Kering</v>
      </c>
      <c r="O1938" t="str">
        <f t="shared" si="189"/>
        <v>Fuzzy</v>
      </c>
      <c r="P1938" t="str">
        <f t="shared" si="190"/>
        <v>Fuzzy</v>
      </c>
    </row>
    <row r="1939" spans="1:16" x14ac:dyDescent="0.35">
      <c r="A1939" t="s">
        <v>1942</v>
      </c>
      <c r="B1939">
        <v>6152</v>
      </c>
      <c r="C1939">
        <v>28</v>
      </c>
      <c r="D1939">
        <v>70</v>
      </c>
      <c r="E1939">
        <v>429</v>
      </c>
      <c r="F1939">
        <v>4</v>
      </c>
      <c r="K1939" s="1">
        <f t="shared" si="191"/>
        <v>429</v>
      </c>
      <c r="L1939" s="1" t="str">
        <f t="shared" si="186"/>
        <v>Normal</v>
      </c>
      <c r="M1939" s="2">
        <f t="shared" si="187"/>
        <v>32.25</v>
      </c>
      <c r="N1939" s="1" t="str">
        <f t="shared" si="188"/>
        <v>Lembab</v>
      </c>
      <c r="O1939" t="str">
        <f t="shared" si="189"/>
        <v>Fuzzy</v>
      </c>
      <c r="P1939" t="str">
        <f t="shared" si="190"/>
        <v>Fuzzy</v>
      </c>
    </row>
    <row r="1940" spans="1:16" x14ac:dyDescent="0.35">
      <c r="A1940" t="s">
        <v>1943</v>
      </c>
      <c r="B1940">
        <v>6153</v>
      </c>
      <c r="C1940">
        <v>28</v>
      </c>
      <c r="D1940">
        <v>70</v>
      </c>
      <c r="E1940">
        <v>463</v>
      </c>
      <c r="F1940">
        <v>4</v>
      </c>
      <c r="K1940" s="1">
        <f t="shared" si="191"/>
        <v>463</v>
      </c>
      <c r="L1940" s="1" t="str">
        <f t="shared" si="186"/>
        <v>Normal</v>
      </c>
      <c r="M1940" s="2">
        <f t="shared" si="187"/>
        <v>40.75</v>
      </c>
      <c r="N1940" s="1" t="str">
        <f t="shared" si="188"/>
        <v>Lembab</v>
      </c>
      <c r="O1940" t="str">
        <f t="shared" si="189"/>
        <v>Fuzzy</v>
      </c>
      <c r="P1940" t="str">
        <f t="shared" si="190"/>
        <v>Fuzzy</v>
      </c>
    </row>
    <row r="1941" spans="1:16" x14ac:dyDescent="0.35">
      <c r="A1941" t="s">
        <v>1944</v>
      </c>
      <c r="B1941">
        <v>6154</v>
      </c>
      <c r="C1941">
        <v>28</v>
      </c>
      <c r="D1941">
        <v>70</v>
      </c>
      <c r="E1941">
        <v>355</v>
      </c>
      <c r="F1941">
        <v>4</v>
      </c>
      <c r="K1941" s="1">
        <f t="shared" si="191"/>
        <v>355</v>
      </c>
      <c r="L1941" s="1" t="str">
        <f t="shared" si="186"/>
        <v>Normal</v>
      </c>
      <c r="M1941" s="2">
        <f t="shared" si="187"/>
        <v>13.750000000000002</v>
      </c>
      <c r="N1941" s="1" t="str">
        <f t="shared" si="188"/>
        <v>Kering</v>
      </c>
      <c r="O1941" t="str">
        <f t="shared" si="189"/>
        <v>Fuzzy</v>
      </c>
      <c r="P1941" t="str">
        <f t="shared" si="190"/>
        <v>Fuzzy</v>
      </c>
    </row>
    <row r="1942" spans="1:16" x14ac:dyDescent="0.35">
      <c r="A1942" t="s">
        <v>1945</v>
      </c>
      <c r="B1942">
        <v>6155</v>
      </c>
      <c r="C1942">
        <v>28</v>
      </c>
      <c r="D1942">
        <v>70</v>
      </c>
      <c r="E1942">
        <v>464</v>
      </c>
      <c r="F1942">
        <v>4</v>
      </c>
      <c r="K1942" s="1">
        <f t="shared" si="191"/>
        <v>464</v>
      </c>
      <c r="L1942" s="1" t="str">
        <f t="shared" si="186"/>
        <v>Normal</v>
      </c>
      <c r="M1942" s="2">
        <f t="shared" si="187"/>
        <v>41</v>
      </c>
      <c r="N1942" s="1" t="str">
        <f t="shared" si="188"/>
        <v>Lembab</v>
      </c>
      <c r="O1942" t="str">
        <f t="shared" si="189"/>
        <v>Fuzzy</v>
      </c>
      <c r="P1942" t="str">
        <f t="shared" si="190"/>
        <v>Fuzzy</v>
      </c>
    </row>
    <row r="1943" spans="1:16" x14ac:dyDescent="0.35">
      <c r="A1943" t="s">
        <v>1946</v>
      </c>
      <c r="B1943">
        <v>6156</v>
      </c>
      <c r="C1943">
        <v>28</v>
      </c>
      <c r="D1943">
        <v>70</v>
      </c>
      <c r="E1943">
        <v>462</v>
      </c>
      <c r="F1943">
        <v>4</v>
      </c>
      <c r="K1943" s="1">
        <f t="shared" si="191"/>
        <v>462</v>
      </c>
      <c r="L1943" s="1" t="str">
        <f t="shared" si="186"/>
        <v>Normal</v>
      </c>
      <c r="M1943" s="2">
        <f t="shared" si="187"/>
        <v>40.5</v>
      </c>
      <c r="N1943" s="1" t="str">
        <f t="shared" si="188"/>
        <v>Lembab</v>
      </c>
      <c r="O1943" t="str">
        <f t="shared" si="189"/>
        <v>Fuzzy</v>
      </c>
      <c r="P1943" t="str">
        <f t="shared" si="190"/>
        <v>Fuzzy</v>
      </c>
    </row>
    <row r="1944" spans="1:16" x14ac:dyDescent="0.35">
      <c r="A1944" t="s">
        <v>1947</v>
      </c>
      <c r="B1944">
        <v>6157</v>
      </c>
      <c r="C1944">
        <v>28</v>
      </c>
      <c r="D1944">
        <v>70</v>
      </c>
      <c r="E1944">
        <v>474</v>
      </c>
      <c r="F1944">
        <v>4</v>
      </c>
      <c r="K1944" s="1">
        <f t="shared" si="191"/>
        <v>474</v>
      </c>
      <c r="L1944" s="1" t="str">
        <f t="shared" si="186"/>
        <v>Normal</v>
      </c>
      <c r="M1944" s="2">
        <f t="shared" si="187"/>
        <v>43.5</v>
      </c>
      <c r="N1944" s="1" t="str">
        <f t="shared" si="188"/>
        <v>Lembab</v>
      </c>
      <c r="O1944" t="str">
        <f t="shared" si="189"/>
        <v>Fuzzy</v>
      </c>
      <c r="P1944" t="str">
        <f t="shared" si="190"/>
        <v>Fuzzy</v>
      </c>
    </row>
    <row r="1945" spans="1:16" x14ac:dyDescent="0.35">
      <c r="A1945" t="s">
        <v>1948</v>
      </c>
      <c r="B1945">
        <v>6158</v>
      </c>
      <c r="C1945">
        <v>28</v>
      </c>
      <c r="D1945">
        <v>70</v>
      </c>
      <c r="E1945">
        <v>407</v>
      </c>
      <c r="F1945">
        <v>4</v>
      </c>
      <c r="K1945" s="1">
        <f t="shared" si="191"/>
        <v>407</v>
      </c>
      <c r="L1945" s="1" t="str">
        <f t="shared" si="186"/>
        <v>Normal</v>
      </c>
      <c r="M1945" s="2">
        <f t="shared" si="187"/>
        <v>26.75</v>
      </c>
      <c r="N1945" s="1" t="str">
        <f t="shared" si="188"/>
        <v>Kering</v>
      </c>
      <c r="O1945" t="str">
        <f t="shared" si="189"/>
        <v>Fuzzy</v>
      </c>
      <c r="P1945" t="str">
        <f t="shared" si="190"/>
        <v>Fuzzy</v>
      </c>
    </row>
    <row r="1946" spans="1:16" x14ac:dyDescent="0.35">
      <c r="A1946" t="s">
        <v>1949</v>
      </c>
      <c r="B1946">
        <v>6159</v>
      </c>
      <c r="C1946">
        <v>28</v>
      </c>
      <c r="D1946">
        <v>70</v>
      </c>
      <c r="E1946">
        <v>461</v>
      </c>
      <c r="F1946">
        <v>4</v>
      </c>
      <c r="K1946" s="1">
        <f t="shared" si="191"/>
        <v>461</v>
      </c>
      <c r="L1946" s="1" t="str">
        <f t="shared" si="186"/>
        <v>Normal</v>
      </c>
      <c r="M1946" s="2">
        <f t="shared" si="187"/>
        <v>40.25</v>
      </c>
      <c r="N1946" s="1" t="str">
        <f t="shared" si="188"/>
        <v>Lembab</v>
      </c>
      <c r="O1946" t="str">
        <f t="shared" si="189"/>
        <v>Fuzzy</v>
      </c>
      <c r="P1946" t="str">
        <f t="shared" si="190"/>
        <v>Fuzzy</v>
      </c>
    </row>
    <row r="1947" spans="1:16" x14ac:dyDescent="0.35">
      <c r="A1947" t="s">
        <v>1950</v>
      </c>
      <c r="B1947">
        <v>6160</v>
      </c>
      <c r="C1947">
        <v>28</v>
      </c>
      <c r="D1947">
        <v>70</v>
      </c>
      <c r="E1947">
        <v>486</v>
      </c>
      <c r="F1947">
        <v>4</v>
      </c>
      <c r="K1947" s="1">
        <f t="shared" si="191"/>
        <v>486</v>
      </c>
      <c r="L1947" s="1" t="str">
        <f t="shared" si="186"/>
        <v>Normal</v>
      </c>
      <c r="M1947" s="2">
        <f t="shared" si="187"/>
        <v>46.5</v>
      </c>
      <c r="N1947" s="1" t="str">
        <f t="shared" si="188"/>
        <v>Lembab</v>
      </c>
      <c r="O1947" t="str">
        <f t="shared" si="189"/>
        <v>Fuzzy</v>
      </c>
      <c r="P1947" t="str">
        <f t="shared" si="190"/>
        <v>Fuzzy</v>
      </c>
    </row>
    <row r="1948" spans="1:16" x14ac:dyDescent="0.35">
      <c r="A1948" t="s">
        <v>1951</v>
      </c>
      <c r="B1948">
        <v>6161</v>
      </c>
      <c r="C1948">
        <v>28</v>
      </c>
      <c r="D1948">
        <v>70</v>
      </c>
      <c r="E1948">
        <v>462</v>
      </c>
      <c r="F1948">
        <v>4</v>
      </c>
      <c r="K1948" s="1">
        <f t="shared" si="191"/>
        <v>462</v>
      </c>
      <c r="L1948" s="1" t="str">
        <f t="shared" si="186"/>
        <v>Normal</v>
      </c>
      <c r="M1948" s="2">
        <f t="shared" si="187"/>
        <v>40.5</v>
      </c>
      <c r="N1948" s="1" t="str">
        <f t="shared" si="188"/>
        <v>Lembab</v>
      </c>
      <c r="O1948" t="str">
        <f t="shared" si="189"/>
        <v>Fuzzy</v>
      </c>
      <c r="P1948" t="str">
        <f t="shared" si="190"/>
        <v>Fuzzy</v>
      </c>
    </row>
    <row r="1949" spans="1:16" x14ac:dyDescent="0.35">
      <c r="A1949" t="s">
        <v>1952</v>
      </c>
      <c r="B1949">
        <v>6162</v>
      </c>
      <c r="C1949">
        <v>28</v>
      </c>
      <c r="D1949">
        <v>70</v>
      </c>
      <c r="E1949">
        <v>424</v>
      </c>
      <c r="F1949">
        <v>4</v>
      </c>
      <c r="K1949" s="1">
        <f t="shared" si="191"/>
        <v>424</v>
      </c>
      <c r="L1949" s="1" t="str">
        <f t="shared" si="186"/>
        <v>Normal</v>
      </c>
      <c r="M1949" s="2">
        <f t="shared" si="187"/>
        <v>31</v>
      </c>
      <c r="N1949" s="1" t="str">
        <f t="shared" si="188"/>
        <v>Lembab</v>
      </c>
      <c r="O1949" t="str">
        <f t="shared" si="189"/>
        <v>Fuzzy</v>
      </c>
      <c r="P1949" t="str">
        <f t="shared" si="190"/>
        <v>Fuzzy</v>
      </c>
    </row>
    <row r="1950" spans="1:16" x14ac:dyDescent="0.35">
      <c r="A1950" t="s">
        <v>1953</v>
      </c>
      <c r="B1950">
        <v>6163</v>
      </c>
      <c r="C1950">
        <v>28</v>
      </c>
      <c r="D1950">
        <v>70</v>
      </c>
      <c r="E1950">
        <v>439</v>
      </c>
      <c r="F1950">
        <v>4</v>
      </c>
      <c r="K1950" s="1">
        <f t="shared" si="191"/>
        <v>439</v>
      </c>
      <c r="L1950" s="1" t="str">
        <f t="shared" si="186"/>
        <v>Normal</v>
      </c>
      <c r="M1950" s="2">
        <f t="shared" si="187"/>
        <v>34.75</v>
      </c>
      <c r="N1950" s="1" t="str">
        <f t="shared" si="188"/>
        <v>Lembab</v>
      </c>
      <c r="O1950" t="str">
        <f t="shared" si="189"/>
        <v>Fuzzy</v>
      </c>
      <c r="P1950" t="str">
        <f t="shared" si="190"/>
        <v>Fuzzy</v>
      </c>
    </row>
    <row r="1951" spans="1:16" x14ac:dyDescent="0.35">
      <c r="A1951" t="s">
        <v>1954</v>
      </c>
      <c r="B1951">
        <v>6164</v>
      </c>
      <c r="C1951">
        <v>28</v>
      </c>
      <c r="D1951">
        <v>70</v>
      </c>
      <c r="E1951">
        <v>462</v>
      </c>
      <c r="F1951">
        <v>4</v>
      </c>
      <c r="K1951" s="1">
        <f t="shared" si="191"/>
        <v>462</v>
      </c>
      <c r="L1951" s="1" t="str">
        <f t="shared" si="186"/>
        <v>Normal</v>
      </c>
      <c r="M1951" s="2">
        <f t="shared" si="187"/>
        <v>40.5</v>
      </c>
      <c r="N1951" s="1" t="str">
        <f t="shared" si="188"/>
        <v>Lembab</v>
      </c>
      <c r="O1951" t="str">
        <f t="shared" si="189"/>
        <v>Fuzzy</v>
      </c>
      <c r="P1951" t="str">
        <f t="shared" si="190"/>
        <v>Fuzzy</v>
      </c>
    </row>
    <row r="1952" spans="1:16" x14ac:dyDescent="0.35">
      <c r="A1952" t="s">
        <v>1955</v>
      </c>
      <c r="B1952">
        <v>6165</v>
      </c>
      <c r="C1952">
        <v>28</v>
      </c>
      <c r="D1952">
        <v>70</v>
      </c>
      <c r="E1952">
        <v>435</v>
      </c>
      <c r="F1952">
        <v>4</v>
      </c>
      <c r="K1952" s="1">
        <f t="shared" si="191"/>
        <v>435</v>
      </c>
      <c r="L1952" s="1" t="str">
        <f t="shared" si="186"/>
        <v>Normal</v>
      </c>
      <c r="M1952" s="2">
        <f t="shared" si="187"/>
        <v>33.75</v>
      </c>
      <c r="N1952" s="1" t="str">
        <f t="shared" si="188"/>
        <v>Lembab</v>
      </c>
      <c r="O1952" t="str">
        <f t="shared" si="189"/>
        <v>Fuzzy</v>
      </c>
      <c r="P1952" t="str">
        <f t="shared" si="190"/>
        <v>Fuzzy</v>
      </c>
    </row>
    <row r="1953" spans="1:16" x14ac:dyDescent="0.35">
      <c r="A1953" t="s">
        <v>1956</v>
      </c>
      <c r="B1953">
        <v>6166</v>
      </c>
      <c r="C1953">
        <v>28</v>
      </c>
      <c r="D1953">
        <v>69</v>
      </c>
      <c r="E1953">
        <v>438</v>
      </c>
      <c r="F1953">
        <v>4</v>
      </c>
      <c r="K1953" s="1">
        <f t="shared" si="191"/>
        <v>438</v>
      </c>
      <c r="L1953" s="1" t="str">
        <f t="shared" si="186"/>
        <v>Normal</v>
      </c>
      <c r="M1953" s="2">
        <f t="shared" si="187"/>
        <v>34.5</v>
      </c>
      <c r="N1953" s="1" t="str">
        <f t="shared" si="188"/>
        <v>Lembab</v>
      </c>
      <c r="O1953" t="str">
        <f t="shared" si="189"/>
        <v>Fuzzy</v>
      </c>
      <c r="P1953" t="str">
        <f t="shared" si="190"/>
        <v>Fuzzy</v>
      </c>
    </row>
    <row r="1954" spans="1:16" x14ac:dyDescent="0.35">
      <c r="A1954" t="s">
        <v>1957</v>
      </c>
      <c r="B1954">
        <v>6167</v>
      </c>
      <c r="C1954">
        <v>28</v>
      </c>
      <c r="D1954">
        <v>68</v>
      </c>
      <c r="E1954">
        <v>452</v>
      </c>
      <c r="F1954">
        <v>4</v>
      </c>
      <c r="K1954" s="1">
        <f t="shared" si="191"/>
        <v>452</v>
      </c>
      <c r="L1954" s="1" t="str">
        <f t="shared" si="186"/>
        <v>Normal</v>
      </c>
      <c r="M1954" s="2">
        <f t="shared" si="187"/>
        <v>38</v>
      </c>
      <c r="N1954" s="1" t="str">
        <f t="shared" si="188"/>
        <v>Lembab</v>
      </c>
      <c r="O1954" t="str">
        <f t="shared" si="189"/>
        <v>Fuzzy</v>
      </c>
      <c r="P1954" t="str">
        <f t="shared" si="190"/>
        <v>Fuzzy</v>
      </c>
    </row>
    <row r="1955" spans="1:16" x14ac:dyDescent="0.35">
      <c r="A1955" t="s">
        <v>1958</v>
      </c>
      <c r="B1955">
        <v>6168</v>
      </c>
      <c r="C1955">
        <v>28</v>
      </c>
      <c r="D1955">
        <v>68</v>
      </c>
      <c r="E1955">
        <v>527</v>
      </c>
      <c r="F1955">
        <v>5</v>
      </c>
      <c r="K1955" s="1">
        <f t="shared" si="191"/>
        <v>527</v>
      </c>
      <c r="L1955" s="1" t="str">
        <f t="shared" si="186"/>
        <v>Normal</v>
      </c>
      <c r="M1955" s="2">
        <f t="shared" si="187"/>
        <v>56.75</v>
      </c>
      <c r="N1955" s="1" t="str">
        <f t="shared" si="188"/>
        <v>Lembab</v>
      </c>
      <c r="O1955" t="str">
        <f t="shared" si="189"/>
        <v>Fuzzy</v>
      </c>
      <c r="P1955" t="str">
        <f t="shared" si="190"/>
        <v>Fuzzy</v>
      </c>
    </row>
    <row r="1956" spans="1:16" x14ac:dyDescent="0.35">
      <c r="A1956" t="s">
        <v>1959</v>
      </c>
      <c r="B1956">
        <v>6169</v>
      </c>
      <c r="C1956">
        <v>28</v>
      </c>
      <c r="D1956">
        <v>69</v>
      </c>
      <c r="E1956">
        <v>459</v>
      </c>
      <c r="F1956">
        <v>4</v>
      </c>
      <c r="K1956" s="1">
        <f t="shared" si="191"/>
        <v>459</v>
      </c>
      <c r="L1956" s="1" t="str">
        <f t="shared" si="186"/>
        <v>Normal</v>
      </c>
      <c r="M1956" s="2">
        <f t="shared" si="187"/>
        <v>39.75</v>
      </c>
      <c r="N1956" s="1" t="str">
        <f t="shared" si="188"/>
        <v>Lembab</v>
      </c>
      <c r="O1956" t="str">
        <f t="shared" si="189"/>
        <v>Fuzzy</v>
      </c>
      <c r="P1956" t="str">
        <f t="shared" si="190"/>
        <v>Fuzzy</v>
      </c>
    </row>
    <row r="1957" spans="1:16" x14ac:dyDescent="0.35">
      <c r="A1957" t="s">
        <v>1960</v>
      </c>
      <c r="B1957">
        <v>6170</v>
      </c>
      <c r="C1957">
        <v>28</v>
      </c>
      <c r="D1957">
        <v>69</v>
      </c>
      <c r="E1957">
        <v>501</v>
      </c>
      <c r="F1957">
        <v>6</v>
      </c>
      <c r="K1957" s="1">
        <f t="shared" si="191"/>
        <v>501</v>
      </c>
      <c r="L1957" s="1" t="str">
        <f t="shared" si="186"/>
        <v>Normal</v>
      </c>
      <c r="M1957" s="2">
        <f t="shared" si="187"/>
        <v>50.249999999999993</v>
      </c>
      <c r="N1957" s="1" t="str">
        <f t="shared" si="188"/>
        <v>Lembab</v>
      </c>
      <c r="O1957" t="str">
        <f t="shared" si="189"/>
        <v>Fuzzy</v>
      </c>
      <c r="P1957" t="str">
        <f t="shared" si="190"/>
        <v>Fuzzy</v>
      </c>
    </row>
    <row r="1958" spans="1:16" x14ac:dyDescent="0.35">
      <c r="A1958" t="s">
        <v>1961</v>
      </c>
      <c r="B1958">
        <v>6171</v>
      </c>
      <c r="C1958">
        <v>28</v>
      </c>
      <c r="D1958">
        <v>70</v>
      </c>
      <c r="E1958">
        <v>483</v>
      </c>
      <c r="F1958">
        <v>4</v>
      </c>
      <c r="K1958" s="1">
        <f t="shared" si="191"/>
        <v>483</v>
      </c>
      <c r="L1958" s="1" t="str">
        <f t="shared" si="186"/>
        <v>Normal</v>
      </c>
      <c r="M1958" s="2">
        <f t="shared" si="187"/>
        <v>45.75</v>
      </c>
      <c r="N1958" s="1" t="str">
        <f t="shared" si="188"/>
        <v>Lembab</v>
      </c>
      <c r="O1958" t="str">
        <f t="shared" si="189"/>
        <v>Fuzzy</v>
      </c>
      <c r="P1958" t="str">
        <f t="shared" si="190"/>
        <v>Fuzzy</v>
      </c>
    </row>
    <row r="1959" spans="1:16" x14ac:dyDescent="0.35">
      <c r="A1959" t="s">
        <v>1962</v>
      </c>
      <c r="B1959">
        <v>6172</v>
      </c>
      <c r="C1959">
        <v>28</v>
      </c>
      <c r="D1959">
        <v>70</v>
      </c>
      <c r="E1959">
        <v>422</v>
      </c>
      <c r="F1959">
        <v>61</v>
      </c>
      <c r="K1959" s="1">
        <f t="shared" si="191"/>
        <v>422</v>
      </c>
      <c r="L1959" s="1" t="str">
        <f t="shared" si="186"/>
        <v>Normal</v>
      </c>
      <c r="M1959" s="2">
        <f t="shared" si="187"/>
        <v>30.5</v>
      </c>
      <c r="N1959" s="1" t="str">
        <f t="shared" si="188"/>
        <v>Lembab</v>
      </c>
      <c r="O1959" t="str">
        <f t="shared" si="189"/>
        <v>Fuzzy</v>
      </c>
      <c r="P1959" t="str">
        <f t="shared" si="190"/>
        <v>Fuzzy</v>
      </c>
    </row>
    <row r="1960" spans="1:16" x14ac:dyDescent="0.35">
      <c r="A1960" t="s">
        <v>1963</v>
      </c>
      <c r="B1960">
        <v>6173</v>
      </c>
      <c r="C1960">
        <v>28</v>
      </c>
      <c r="D1960">
        <v>70</v>
      </c>
      <c r="E1960">
        <v>506</v>
      </c>
      <c r="F1960">
        <v>4</v>
      </c>
      <c r="K1960" s="1">
        <f t="shared" si="191"/>
        <v>506</v>
      </c>
      <c r="L1960" s="1" t="str">
        <f t="shared" si="186"/>
        <v>Normal</v>
      </c>
      <c r="M1960" s="2">
        <f t="shared" si="187"/>
        <v>51.5</v>
      </c>
      <c r="N1960" s="1" t="str">
        <f t="shared" si="188"/>
        <v>Lembab</v>
      </c>
      <c r="O1960" t="str">
        <f t="shared" si="189"/>
        <v>Fuzzy</v>
      </c>
      <c r="P1960" t="str">
        <f t="shared" si="190"/>
        <v>Fuzzy</v>
      </c>
    </row>
    <row r="1961" spans="1:16" x14ac:dyDescent="0.35">
      <c r="A1961" t="s">
        <v>1964</v>
      </c>
      <c r="B1961">
        <v>6174</v>
      </c>
      <c r="C1961">
        <v>28</v>
      </c>
      <c r="D1961">
        <v>71</v>
      </c>
      <c r="E1961">
        <v>423</v>
      </c>
      <c r="F1961">
        <v>4</v>
      </c>
      <c r="K1961" s="1">
        <f t="shared" si="191"/>
        <v>423</v>
      </c>
      <c r="L1961" s="1" t="str">
        <f t="shared" si="186"/>
        <v>Normal</v>
      </c>
      <c r="M1961" s="2">
        <f t="shared" si="187"/>
        <v>30.75</v>
      </c>
      <c r="N1961" s="1" t="str">
        <f t="shared" si="188"/>
        <v>Lembab</v>
      </c>
      <c r="O1961" t="str">
        <f t="shared" si="189"/>
        <v>Fuzzy</v>
      </c>
      <c r="P1961" t="str">
        <f t="shared" si="190"/>
        <v>Fuzzy</v>
      </c>
    </row>
    <row r="1962" spans="1:16" x14ac:dyDescent="0.35">
      <c r="A1962" t="s">
        <v>1965</v>
      </c>
      <c r="B1962">
        <v>6175</v>
      </c>
      <c r="C1962">
        <v>28</v>
      </c>
      <c r="D1962">
        <v>71</v>
      </c>
      <c r="E1962">
        <v>397</v>
      </c>
      <c r="F1962">
        <v>4</v>
      </c>
      <c r="K1962" s="1">
        <f t="shared" si="191"/>
        <v>397</v>
      </c>
      <c r="L1962" s="1" t="str">
        <f t="shared" si="186"/>
        <v>Normal</v>
      </c>
      <c r="M1962" s="2">
        <f t="shared" si="187"/>
        <v>24.25</v>
      </c>
      <c r="N1962" s="1" t="str">
        <f t="shared" si="188"/>
        <v>Kering</v>
      </c>
      <c r="O1962" t="str">
        <f t="shared" si="189"/>
        <v>Fuzzy</v>
      </c>
      <c r="P1962" t="str">
        <f t="shared" si="190"/>
        <v>Fuzzy</v>
      </c>
    </row>
    <row r="1963" spans="1:16" x14ac:dyDescent="0.35">
      <c r="A1963" t="s">
        <v>1966</v>
      </c>
      <c r="B1963">
        <v>6176</v>
      </c>
      <c r="C1963">
        <v>28</v>
      </c>
      <c r="D1963">
        <v>71</v>
      </c>
      <c r="E1963">
        <v>315</v>
      </c>
      <c r="F1963">
        <v>4</v>
      </c>
      <c r="K1963" s="1">
        <f t="shared" si="191"/>
        <v>315</v>
      </c>
      <c r="L1963" s="1" t="str">
        <f t="shared" si="186"/>
        <v>Normal</v>
      </c>
      <c r="M1963" s="2">
        <f t="shared" si="187"/>
        <v>3.75</v>
      </c>
      <c r="N1963" s="1" t="str">
        <f t="shared" si="188"/>
        <v>Kering</v>
      </c>
      <c r="O1963" t="str">
        <f t="shared" si="189"/>
        <v>Fuzzy</v>
      </c>
      <c r="P1963" t="str">
        <f t="shared" si="190"/>
        <v>Fuzzy</v>
      </c>
    </row>
    <row r="1964" spans="1:16" x14ac:dyDescent="0.35">
      <c r="A1964" t="s">
        <v>1967</v>
      </c>
      <c r="B1964">
        <v>6177</v>
      </c>
      <c r="C1964">
        <v>28</v>
      </c>
      <c r="D1964">
        <v>71</v>
      </c>
      <c r="E1964">
        <v>467</v>
      </c>
      <c r="F1964">
        <v>4</v>
      </c>
      <c r="K1964" s="1">
        <f t="shared" si="191"/>
        <v>467</v>
      </c>
      <c r="L1964" s="1" t="str">
        <f t="shared" si="186"/>
        <v>Normal</v>
      </c>
      <c r="M1964" s="2">
        <f t="shared" si="187"/>
        <v>41.75</v>
      </c>
      <c r="N1964" s="1" t="str">
        <f t="shared" si="188"/>
        <v>Lembab</v>
      </c>
      <c r="O1964" t="str">
        <f t="shared" si="189"/>
        <v>Fuzzy</v>
      </c>
      <c r="P1964" t="str">
        <f t="shared" si="190"/>
        <v>Fuzzy</v>
      </c>
    </row>
    <row r="1965" spans="1:16" x14ac:dyDescent="0.35">
      <c r="A1965" t="s">
        <v>1968</v>
      </c>
      <c r="B1965">
        <v>6178</v>
      </c>
      <c r="C1965">
        <v>28</v>
      </c>
      <c r="D1965">
        <v>71</v>
      </c>
      <c r="E1965">
        <v>454</v>
      </c>
      <c r="F1965">
        <v>4</v>
      </c>
      <c r="K1965" s="1">
        <f t="shared" si="191"/>
        <v>454</v>
      </c>
      <c r="L1965" s="1" t="str">
        <f t="shared" si="186"/>
        <v>Normal</v>
      </c>
      <c r="M1965" s="2">
        <f t="shared" si="187"/>
        <v>38.5</v>
      </c>
      <c r="N1965" s="1" t="str">
        <f t="shared" si="188"/>
        <v>Lembab</v>
      </c>
      <c r="O1965" t="str">
        <f t="shared" si="189"/>
        <v>Fuzzy</v>
      </c>
      <c r="P1965" t="str">
        <f t="shared" si="190"/>
        <v>Fuzzy</v>
      </c>
    </row>
    <row r="1966" spans="1:16" x14ac:dyDescent="0.35">
      <c r="A1966" t="s">
        <v>1969</v>
      </c>
      <c r="B1966">
        <v>6179</v>
      </c>
      <c r="C1966">
        <v>28</v>
      </c>
      <c r="D1966">
        <v>71</v>
      </c>
      <c r="E1966">
        <v>442</v>
      </c>
      <c r="F1966">
        <v>4</v>
      </c>
      <c r="K1966" s="1">
        <f t="shared" si="191"/>
        <v>442</v>
      </c>
      <c r="L1966" s="1" t="str">
        <f t="shared" si="186"/>
        <v>Normal</v>
      </c>
      <c r="M1966" s="2">
        <f t="shared" si="187"/>
        <v>35.5</v>
      </c>
      <c r="N1966" s="1" t="str">
        <f t="shared" si="188"/>
        <v>Lembab</v>
      </c>
      <c r="O1966" t="str">
        <f t="shared" si="189"/>
        <v>Fuzzy</v>
      </c>
      <c r="P1966" t="str">
        <f t="shared" si="190"/>
        <v>Fuzzy</v>
      </c>
    </row>
    <row r="1967" spans="1:16" x14ac:dyDescent="0.35">
      <c r="A1967" t="s">
        <v>1970</v>
      </c>
      <c r="B1967">
        <v>6180</v>
      </c>
      <c r="C1967">
        <v>28</v>
      </c>
      <c r="D1967">
        <v>71</v>
      </c>
      <c r="E1967">
        <v>427</v>
      </c>
      <c r="F1967">
        <v>4</v>
      </c>
      <c r="K1967" s="1">
        <f t="shared" si="191"/>
        <v>427</v>
      </c>
      <c r="L1967" s="1" t="str">
        <f t="shared" si="186"/>
        <v>Normal</v>
      </c>
      <c r="M1967" s="2">
        <f t="shared" si="187"/>
        <v>31.75</v>
      </c>
      <c r="N1967" s="1" t="str">
        <f t="shared" si="188"/>
        <v>Lembab</v>
      </c>
      <c r="O1967" t="str">
        <f t="shared" si="189"/>
        <v>Fuzzy</v>
      </c>
      <c r="P1967" t="str">
        <f t="shared" si="190"/>
        <v>Fuzzy</v>
      </c>
    </row>
    <row r="1968" spans="1:16" x14ac:dyDescent="0.35">
      <c r="A1968" t="s">
        <v>1971</v>
      </c>
      <c r="B1968">
        <v>6181</v>
      </c>
      <c r="C1968">
        <v>28</v>
      </c>
      <c r="D1968">
        <v>71</v>
      </c>
      <c r="E1968">
        <v>461</v>
      </c>
      <c r="F1968">
        <v>4</v>
      </c>
      <c r="K1968" s="1">
        <f t="shared" si="191"/>
        <v>461</v>
      </c>
      <c r="L1968" s="1" t="str">
        <f t="shared" si="186"/>
        <v>Normal</v>
      </c>
      <c r="M1968" s="2">
        <f t="shared" si="187"/>
        <v>40.25</v>
      </c>
      <c r="N1968" s="1" t="str">
        <f t="shared" si="188"/>
        <v>Lembab</v>
      </c>
      <c r="O1968" t="str">
        <f t="shared" si="189"/>
        <v>Fuzzy</v>
      </c>
      <c r="P1968" t="str">
        <f t="shared" si="190"/>
        <v>Fuzzy</v>
      </c>
    </row>
    <row r="1969" spans="1:16" x14ac:dyDescent="0.35">
      <c r="A1969" t="s">
        <v>1972</v>
      </c>
      <c r="B1969">
        <v>6182</v>
      </c>
      <c r="C1969">
        <v>28</v>
      </c>
      <c r="D1969">
        <v>71</v>
      </c>
      <c r="E1969">
        <v>453</v>
      </c>
      <c r="F1969">
        <v>4</v>
      </c>
      <c r="K1969" s="1">
        <f t="shared" si="191"/>
        <v>453</v>
      </c>
      <c r="L1969" s="1" t="str">
        <f t="shared" si="186"/>
        <v>Normal</v>
      </c>
      <c r="M1969" s="2">
        <f t="shared" si="187"/>
        <v>38.25</v>
      </c>
      <c r="N1969" s="1" t="str">
        <f t="shared" si="188"/>
        <v>Lembab</v>
      </c>
      <c r="O1969" t="str">
        <f t="shared" si="189"/>
        <v>Fuzzy</v>
      </c>
      <c r="P1969" t="str">
        <f t="shared" si="190"/>
        <v>Fuzzy</v>
      </c>
    </row>
    <row r="1970" spans="1:16" x14ac:dyDescent="0.35">
      <c r="A1970" t="s">
        <v>1973</v>
      </c>
      <c r="B1970">
        <v>6183</v>
      </c>
      <c r="C1970">
        <v>28</v>
      </c>
      <c r="D1970">
        <v>71</v>
      </c>
      <c r="E1970">
        <v>371</v>
      </c>
      <c r="F1970">
        <v>4</v>
      </c>
      <c r="K1970" s="1">
        <f t="shared" si="191"/>
        <v>371</v>
      </c>
      <c r="L1970" s="1" t="str">
        <f t="shared" si="186"/>
        <v>Normal</v>
      </c>
      <c r="M1970" s="2">
        <f t="shared" si="187"/>
        <v>17.75</v>
      </c>
      <c r="N1970" s="1" t="str">
        <f t="shared" si="188"/>
        <v>Kering</v>
      </c>
      <c r="O1970" t="str">
        <f t="shared" si="189"/>
        <v>Fuzzy</v>
      </c>
      <c r="P1970" t="str">
        <f t="shared" si="190"/>
        <v>Fuzzy</v>
      </c>
    </row>
    <row r="1971" spans="1:16" x14ac:dyDescent="0.35">
      <c r="A1971" t="s">
        <v>1974</v>
      </c>
      <c r="B1971">
        <v>6184</v>
      </c>
      <c r="C1971">
        <v>28</v>
      </c>
      <c r="D1971">
        <v>70</v>
      </c>
      <c r="E1971">
        <v>704</v>
      </c>
      <c r="F1971">
        <v>35</v>
      </c>
      <c r="K1971" s="1">
        <f t="shared" si="191"/>
        <v>704</v>
      </c>
      <c r="L1971" s="1" t="str">
        <f t="shared" si="186"/>
        <v>Normal</v>
      </c>
      <c r="M1971" s="2">
        <f t="shared" si="187"/>
        <v>1.2383900928792571</v>
      </c>
      <c r="N1971" s="1" t="str">
        <f t="shared" si="188"/>
        <v>Kering</v>
      </c>
      <c r="O1971" t="str">
        <f t="shared" si="189"/>
        <v>Fuzzy</v>
      </c>
      <c r="P1971" t="str">
        <f t="shared" si="190"/>
        <v>Fuzzy</v>
      </c>
    </row>
    <row r="1972" spans="1:16" x14ac:dyDescent="0.35">
      <c r="A1972" t="s">
        <v>1975</v>
      </c>
      <c r="B1972">
        <v>6185</v>
      </c>
      <c r="C1972">
        <v>28</v>
      </c>
      <c r="D1972">
        <v>70</v>
      </c>
      <c r="E1972">
        <v>817</v>
      </c>
      <c r="F1972">
        <v>4</v>
      </c>
      <c r="K1972" s="1">
        <f t="shared" si="191"/>
        <v>817</v>
      </c>
      <c r="L1972" s="1" t="str">
        <f t="shared" si="186"/>
        <v>Normal</v>
      </c>
      <c r="M1972" s="2">
        <f t="shared" si="187"/>
        <v>36.222910216718269</v>
      </c>
      <c r="N1972" s="1" t="str">
        <f t="shared" si="188"/>
        <v>Lembab</v>
      </c>
      <c r="O1972" t="str">
        <f t="shared" si="189"/>
        <v>Fuzzy</v>
      </c>
      <c r="P1972" t="str">
        <f t="shared" si="190"/>
        <v>Fuzzy</v>
      </c>
    </row>
    <row r="1973" spans="1:16" x14ac:dyDescent="0.35">
      <c r="A1973" t="s">
        <v>1976</v>
      </c>
      <c r="B1973">
        <v>6186</v>
      </c>
      <c r="C1973">
        <v>28</v>
      </c>
      <c r="D1973">
        <v>70</v>
      </c>
      <c r="E1973">
        <v>447</v>
      </c>
      <c r="F1973">
        <v>4</v>
      </c>
      <c r="K1973" s="1">
        <f t="shared" si="191"/>
        <v>447</v>
      </c>
      <c r="L1973" s="1" t="str">
        <f t="shared" si="186"/>
        <v>Normal</v>
      </c>
      <c r="M1973" s="2">
        <f t="shared" si="187"/>
        <v>36.75</v>
      </c>
      <c r="N1973" s="1" t="str">
        <f t="shared" si="188"/>
        <v>Lembab</v>
      </c>
      <c r="O1973" t="str">
        <f t="shared" si="189"/>
        <v>Fuzzy</v>
      </c>
      <c r="P1973" t="str">
        <f t="shared" si="190"/>
        <v>Fuzzy</v>
      </c>
    </row>
    <row r="1974" spans="1:16" x14ac:dyDescent="0.35">
      <c r="A1974" t="s">
        <v>1977</v>
      </c>
      <c r="B1974">
        <v>6187</v>
      </c>
      <c r="C1974">
        <v>28</v>
      </c>
      <c r="D1974">
        <v>70</v>
      </c>
      <c r="E1974">
        <v>413</v>
      </c>
      <c r="F1974">
        <v>4</v>
      </c>
      <c r="K1974" s="1">
        <f t="shared" si="191"/>
        <v>413</v>
      </c>
      <c r="L1974" s="1" t="str">
        <f t="shared" si="186"/>
        <v>Normal</v>
      </c>
      <c r="M1974" s="2">
        <f t="shared" si="187"/>
        <v>28.249999999999996</v>
      </c>
      <c r="N1974" s="1" t="str">
        <f t="shared" si="188"/>
        <v>Kering</v>
      </c>
      <c r="O1974" t="str">
        <f t="shared" si="189"/>
        <v>Fuzzy</v>
      </c>
      <c r="P1974" t="str">
        <f t="shared" si="190"/>
        <v>Fuzzy</v>
      </c>
    </row>
    <row r="1975" spans="1:16" x14ac:dyDescent="0.35">
      <c r="A1975" t="s">
        <v>1978</v>
      </c>
      <c r="B1975">
        <v>6188</v>
      </c>
      <c r="C1975">
        <v>28</v>
      </c>
      <c r="D1975">
        <v>70</v>
      </c>
      <c r="E1975">
        <v>485</v>
      </c>
      <c r="F1975">
        <v>4</v>
      </c>
      <c r="K1975" s="1">
        <f t="shared" si="191"/>
        <v>485</v>
      </c>
      <c r="L1975" s="1" t="str">
        <f t="shared" si="186"/>
        <v>Normal</v>
      </c>
      <c r="M1975" s="2">
        <f t="shared" si="187"/>
        <v>46.25</v>
      </c>
      <c r="N1975" s="1" t="str">
        <f t="shared" si="188"/>
        <v>Lembab</v>
      </c>
      <c r="O1975" t="str">
        <f t="shared" si="189"/>
        <v>Fuzzy</v>
      </c>
      <c r="P1975" t="str">
        <f t="shared" si="190"/>
        <v>Fuzzy</v>
      </c>
    </row>
    <row r="1976" spans="1:16" x14ac:dyDescent="0.35">
      <c r="A1976" t="s">
        <v>1979</v>
      </c>
      <c r="B1976">
        <v>6189</v>
      </c>
      <c r="C1976">
        <v>28</v>
      </c>
      <c r="D1976">
        <v>71</v>
      </c>
      <c r="E1976">
        <v>505</v>
      </c>
      <c r="F1976">
        <v>4</v>
      </c>
      <c r="K1976" s="1">
        <f t="shared" si="191"/>
        <v>505</v>
      </c>
      <c r="L1976" s="1" t="str">
        <f t="shared" si="186"/>
        <v>Normal</v>
      </c>
      <c r="M1976" s="2">
        <f t="shared" si="187"/>
        <v>51.249999999999993</v>
      </c>
      <c r="N1976" s="1" t="str">
        <f t="shared" si="188"/>
        <v>Lembab</v>
      </c>
      <c r="O1976" t="str">
        <f t="shared" si="189"/>
        <v>Fuzzy</v>
      </c>
      <c r="P1976" t="str">
        <f t="shared" si="190"/>
        <v>Fuzzy</v>
      </c>
    </row>
    <row r="1977" spans="1:16" x14ac:dyDescent="0.35">
      <c r="A1977" t="s">
        <v>1980</v>
      </c>
      <c r="B1977">
        <v>6190</v>
      </c>
      <c r="C1977">
        <v>28</v>
      </c>
      <c r="D1977">
        <v>71</v>
      </c>
      <c r="E1977">
        <v>593</v>
      </c>
      <c r="F1977">
        <v>3</v>
      </c>
      <c r="K1977" s="1">
        <f t="shared" si="191"/>
        <v>593</v>
      </c>
      <c r="L1977" s="1" t="str">
        <f t="shared" si="186"/>
        <v>Normal</v>
      </c>
      <c r="M1977" s="2">
        <f t="shared" si="187"/>
        <v>73.25</v>
      </c>
      <c r="N1977" s="1" t="str">
        <f t="shared" si="188"/>
        <v>Basah</v>
      </c>
      <c r="O1977" t="str">
        <f t="shared" si="189"/>
        <v>Fuzzy</v>
      </c>
      <c r="P1977" t="str">
        <f t="shared" si="190"/>
        <v>Fuzzy</v>
      </c>
    </row>
    <row r="1978" spans="1:16" x14ac:dyDescent="0.35">
      <c r="A1978" t="s">
        <v>1981</v>
      </c>
      <c r="B1978">
        <v>6191</v>
      </c>
      <c r="C1978">
        <v>28</v>
      </c>
      <c r="D1978">
        <v>70</v>
      </c>
      <c r="E1978">
        <v>417</v>
      </c>
      <c r="F1978">
        <v>4</v>
      </c>
      <c r="K1978" s="1">
        <f t="shared" si="191"/>
        <v>417</v>
      </c>
      <c r="L1978" s="1" t="str">
        <f t="shared" si="186"/>
        <v>Normal</v>
      </c>
      <c r="M1978" s="2">
        <f t="shared" si="187"/>
        <v>29.25</v>
      </c>
      <c r="N1978" s="1" t="str">
        <f t="shared" si="188"/>
        <v>Kering</v>
      </c>
      <c r="O1978" t="str">
        <f t="shared" si="189"/>
        <v>Fuzzy</v>
      </c>
      <c r="P1978" t="str">
        <f t="shared" si="190"/>
        <v>Fuzzy</v>
      </c>
    </row>
    <row r="1979" spans="1:16" x14ac:dyDescent="0.35">
      <c r="A1979" t="s">
        <v>1982</v>
      </c>
      <c r="B1979">
        <v>6192</v>
      </c>
      <c r="C1979">
        <v>28</v>
      </c>
      <c r="D1979">
        <v>69</v>
      </c>
      <c r="E1979">
        <v>439</v>
      </c>
      <c r="F1979">
        <v>4</v>
      </c>
      <c r="K1979" s="1">
        <f t="shared" si="191"/>
        <v>439</v>
      </c>
      <c r="L1979" s="1" t="str">
        <f t="shared" si="186"/>
        <v>Normal</v>
      </c>
      <c r="M1979" s="2">
        <f t="shared" si="187"/>
        <v>34.75</v>
      </c>
      <c r="N1979" s="1" t="str">
        <f t="shared" si="188"/>
        <v>Lembab</v>
      </c>
      <c r="O1979" t="str">
        <f t="shared" si="189"/>
        <v>Fuzzy</v>
      </c>
      <c r="P1979" t="str">
        <f t="shared" si="190"/>
        <v>Fuzzy</v>
      </c>
    </row>
    <row r="1980" spans="1:16" x14ac:dyDescent="0.35">
      <c r="A1980" t="s">
        <v>1983</v>
      </c>
      <c r="B1980">
        <v>6193</v>
      </c>
      <c r="C1980">
        <v>28</v>
      </c>
      <c r="D1980">
        <v>69</v>
      </c>
      <c r="E1980">
        <v>435</v>
      </c>
      <c r="F1980">
        <v>4</v>
      </c>
      <c r="K1980" s="1">
        <f t="shared" si="191"/>
        <v>435</v>
      </c>
      <c r="L1980" s="1" t="str">
        <f t="shared" si="186"/>
        <v>Normal</v>
      </c>
      <c r="M1980" s="2">
        <f t="shared" si="187"/>
        <v>33.75</v>
      </c>
      <c r="N1980" s="1" t="str">
        <f t="shared" si="188"/>
        <v>Lembab</v>
      </c>
      <c r="O1980" t="str">
        <f t="shared" si="189"/>
        <v>Fuzzy</v>
      </c>
      <c r="P1980" t="str">
        <f t="shared" si="190"/>
        <v>Fuzzy</v>
      </c>
    </row>
    <row r="1981" spans="1:16" x14ac:dyDescent="0.35">
      <c r="A1981" t="s">
        <v>1984</v>
      </c>
      <c r="B1981">
        <v>6194</v>
      </c>
      <c r="C1981">
        <v>28</v>
      </c>
      <c r="D1981">
        <v>70</v>
      </c>
      <c r="E1981">
        <v>460</v>
      </c>
      <c r="F1981">
        <v>4</v>
      </c>
      <c r="K1981" s="1">
        <f t="shared" si="191"/>
        <v>460</v>
      </c>
      <c r="L1981" s="1" t="str">
        <f t="shared" si="186"/>
        <v>Normal</v>
      </c>
      <c r="M1981" s="2">
        <f t="shared" si="187"/>
        <v>40</v>
      </c>
      <c r="N1981" s="1" t="str">
        <f t="shared" si="188"/>
        <v>Lembab</v>
      </c>
      <c r="O1981" t="str">
        <f t="shared" si="189"/>
        <v>Fuzzy</v>
      </c>
      <c r="P1981" t="str">
        <f t="shared" si="190"/>
        <v>Fuzzy</v>
      </c>
    </row>
    <row r="1982" spans="1:16" x14ac:dyDescent="0.35">
      <c r="A1982" t="s">
        <v>1985</v>
      </c>
      <c r="B1982">
        <v>6195</v>
      </c>
      <c r="C1982">
        <v>28</v>
      </c>
      <c r="D1982">
        <v>70</v>
      </c>
      <c r="E1982">
        <v>438</v>
      </c>
      <c r="F1982">
        <v>4</v>
      </c>
      <c r="K1982" s="1">
        <f t="shared" si="191"/>
        <v>438</v>
      </c>
      <c r="L1982" s="1" t="str">
        <f t="shared" si="186"/>
        <v>Normal</v>
      </c>
      <c r="M1982" s="2">
        <f t="shared" si="187"/>
        <v>34.5</v>
      </c>
      <c r="N1982" s="1" t="str">
        <f t="shared" si="188"/>
        <v>Lembab</v>
      </c>
      <c r="O1982" t="str">
        <f t="shared" si="189"/>
        <v>Fuzzy</v>
      </c>
      <c r="P1982" t="str">
        <f t="shared" si="190"/>
        <v>Fuzzy</v>
      </c>
    </row>
    <row r="1983" spans="1:16" x14ac:dyDescent="0.35">
      <c r="A1983" t="s">
        <v>1986</v>
      </c>
      <c r="B1983">
        <v>6196</v>
      </c>
      <c r="C1983">
        <v>28</v>
      </c>
      <c r="D1983">
        <v>71</v>
      </c>
      <c r="E1983">
        <v>438</v>
      </c>
      <c r="F1983">
        <v>4</v>
      </c>
      <c r="K1983" s="1">
        <f t="shared" si="191"/>
        <v>438</v>
      </c>
      <c r="L1983" s="1" t="str">
        <f t="shared" si="186"/>
        <v>Normal</v>
      </c>
      <c r="M1983" s="2">
        <f t="shared" si="187"/>
        <v>34.5</v>
      </c>
      <c r="N1983" s="1" t="str">
        <f t="shared" si="188"/>
        <v>Lembab</v>
      </c>
      <c r="O1983" t="str">
        <f t="shared" si="189"/>
        <v>Fuzzy</v>
      </c>
      <c r="P1983" t="str">
        <f t="shared" si="190"/>
        <v>Fuzzy</v>
      </c>
    </row>
    <row r="1984" spans="1:16" x14ac:dyDescent="0.35">
      <c r="A1984" t="s">
        <v>1987</v>
      </c>
      <c r="B1984">
        <v>6197</v>
      </c>
      <c r="C1984">
        <v>28</v>
      </c>
      <c r="D1984">
        <v>71</v>
      </c>
      <c r="E1984">
        <v>548</v>
      </c>
      <c r="F1984">
        <v>4</v>
      </c>
      <c r="K1984" s="1">
        <f t="shared" si="191"/>
        <v>548</v>
      </c>
      <c r="L1984" s="1" t="str">
        <f t="shared" si="186"/>
        <v>Normal</v>
      </c>
      <c r="M1984" s="2">
        <f t="shared" si="187"/>
        <v>62</v>
      </c>
      <c r="N1984" s="1" t="str">
        <f t="shared" si="188"/>
        <v>Lembab</v>
      </c>
      <c r="O1984" t="str">
        <f t="shared" si="189"/>
        <v>Fuzzy</v>
      </c>
      <c r="P1984" t="str">
        <f t="shared" si="190"/>
        <v>Fuzzy</v>
      </c>
    </row>
    <row r="1985" spans="1:16" x14ac:dyDescent="0.35">
      <c r="A1985" t="s">
        <v>1988</v>
      </c>
      <c r="B1985">
        <v>6198</v>
      </c>
      <c r="C1985">
        <v>28</v>
      </c>
      <c r="D1985">
        <v>71</v>
      </c>
      <c r="E1985">
        <v>544</v>
      </c>
      <c r="F1985">
        <v>4</v>
      </c>
      <c r="K1985" s="1">
        <f t="shared" si="191"/>
        <v>544</v>
      </c>
      <c r="L1985" s="1" t="str">
        <f t="shared" si="186"/>
        <v>Normal</v>
      </c>
      <c r="M1985" s="2">
        <f t="shared" si="187"/>
        <v>61</v>
      </c>
      <c r="N1985" s="1" t="str">
        <f t="shared" si="188"/>
        <v>Lembab</v>
      </c>
      <c r="O1985" t="str">
        <f t="shared" si="189"/>
        <v>Fuzzy</v>
      </c>
      <c r="P1985" t="str">
        <f t="shared" si="190"/>
        <v>Fuzzy</v>
      </c>
    </row>
    <row r="1986" spans="1:16" x14ac:dyDescent="0.35">
      <c r="A1986" t="s">
        <v>1989</v>
      </c>
      <c r="B1986">
        <v>6199</v>
      </c>
      <c r="C1986">
        <v>28</v>
      </c>
      <c r="D1986">
        <v>71</v>
      </c>
      <c r="E1986">
        <v>480</v>
      </c>
      <c r="F1986">
        <v>4</v>
      </c>
      <c r="K1986" s="1">
        <f t="shared" si="191"/>
        <v>480</v>
      </c>
      <c r="L1986" s="1" t="str">
        <f t="shared" si="186"/>
        <v>Normal</v>
      </c>
      <c r="M1986" s="2">
        <f t="shared" si="187"/>
        <v>45</v>
      </c>
      <c r="N1986" s="1" t="str">
        <f t="shared" si="188"/>
        <v>Lembab</v>
      </c>
      <c r="O1986" t="str">
        <f t="shared" si="189"/>
        <v>Fuzzy</v>
      </c>
      <c r="P1986" t="str">
        <f t="shared" si="190"/>
        <v>Fuzzy</v>
      </c>
    </row>
    <row r="1987" spans="1:16" x14ac:dyDescent="0.35">
      <c r="A1987" t="s">
        <v>1990</v>
      </c>
      <c r="B1987">
        <v>6200</v>
      </c>
      <c r="C1987">
        <v>28</v>
      </c>
      <c r="D1987">
        <v>71</v>
      </c>
      <c r="E1987">
        <v>397</v>
      </c>
      <c r="F1987">
        <v>5</v>
      </c>
      <c r="K1987" s="1">
        <f t="shared" si="191"/>
        <v>397</v>
      </c>
      <c r="L1987" s="1" t="str">
        <f t="shared" ref="L1987:L2050" si="192">IF(A1986 &lt;= 10, "Dingin", IF(OR(A1986 &gt;= 10, A1986 &lt; 35), "Normal", "Panas"))</f>
        <v>Normal</v>
      </c>
      <c r="M1987" s="2">
        <f t="shared" ref="M1987:M2050" si="193">IF(K1987&lt;=300, K1987/1023*100, IF(K1987&lt;=700, (K1987-300)/(700-301+1)*100, (K1987-700)/(1023-701+1)*100))</f>
        <v>24.25</v>
      </c>
      <c r="N1987" s="1" t="str">
        <f t="shared" ref="N1987:N2050" si="194">IF(M1987&lt;=29.32, "Kering", IF(M1987&lt;=68.53, "Lembab", "Basah"))</f>
        <v>Kering</v>
      </c>
      <c r="O1987" t="str">
        <f t="shared" ref="O1987:O2050" si="195">IF(OR(AND(C1987 &gt; 10, C1987 &lt; 22.5), AND(C1987 &gt;= 22.5, C1987 &lt; 35)), "Fuzzy", "")</f>
        <v>Fuzzy</v>
      </c>
      <c r="P1987" t="str">
        <f t="shared" ref="P1987:P2050" si="196">IF(OR(AND(M1987 &gt;= 0, M1987 &lt; 50), AND(M1987 &gt;= 50, M1987 &lt; 100)), "Fuzzy", "")</f>
        <v>Fuzzy</v>
      </c>
    </row>
    <row r="1988" spans="1:16" x14ac:dyDescent="0.35">
      <c r="A1988" t="s">
        <v>1991</v>
      </c>
      <c r="B1988">
        <v>6201</v>
      </c>
      <c r="C1988">
        <v>28</v>
      </c>
      <c r="D1988">
        <v>71</v>
      </c>
      <c r="E1988">
        <v>447</v>
      </c>
      <c r="F1988">
        <v>4</v>
      </c>
      <c r="K1988" s="1">
        <f t="shared" si="191"/>
        <v>447</v>
      </c>
      <c r="L1988" s="1" t="str">
        <f t="shared" si="192"/>
        <v>Normal</v>
      </c>
      <c r="M1988" s="2">
        <f t="shared" si="193"/>
        <v>36.75</v>
      </c>
      <c r="N1988" s="1" t="str">
        <f t="shared" si="194"/>
        <v>Lembab</v>
      </c>
      <c r="O1988" t="str">
        <f t="shared" si="195"/>
        <v>Fuzzy</v>
      </c>
      <c r="P1988" t="str">
        <f t="shared" si="196"/>
        <v>Fuzzy</v>
      </c>
    </row>
    <row r="1989" spans="1:16" x14ac:dyDescent="0.35">
      <c r="A1989" t="s">
        <v>1992</v>
      </c>
      <c r="B1989">
        <v>6202</v>
      </c>
      <c r="C1989">
        <v>28</v>
      </c>
      <c r="D1989">
        <v>71</v>
      </c>
      <c r="E1989">
        <v>451</v>
      </c>
      <c r="F1989">
        <v>4</v>
      </c>
      <c r="K1989" s="1">
        <f t="shared" si="191"/>
        <v>451</v>
      </c>
      <c r="L1989" s="1" t="str">
        <f t="shared" si="192"/>
        <v>Normal</v>
      </c>
      <c r="M1989" s="2">
        <f t="shared" si="193"/>
        <v>37.75</v>
      </c>
      <c r="N1989" s="1" t="str">
        <f t="shared" si="194"/>
        <v>Lembab</v>
      </c>
      <c r="O1989" t="str">
        <f t="shared" si="195"/>
        <v>Fuzzy</v>
      </c>
      <c r="P1989" t="str">
        <f t="shared" si="196"/>
        <v>Fuzzy</v>
      </c>
    </row>
    <row r="1990" spans="1:16" x14ac:dyDescent="0.35">
      <c r="A1990" t="s">
        <v>1993</v>
      </c>
      <c r="B1990">
        <v>6203</v>
      </c>
      <c r="C1990">
        <v>28</v>
      </c>
      <c r="D1990">
        <v>71</v>
      </c>
      <c r="E1990">
        <v>449</v>
      </c>
      <c r="F1990">
        <v>4</v>
      </c>
      <c r="K1990" s="1">
        <f t="shared" si="191"/>
        <v>449</v>
      </c>
      <c r="L1990" s="1" t="str">
        <f t="shared" si="192"/>
        <v>Normal</v>
      </c>
      <c r="M1990" s="2">
        <f t="shared" si="193"/>
        <v>37.25</v>
      </c>
      <c r="N1990" s="1" t="str">
        <f t="shared" si="194"/>
        <v>Lembab</v>
      </c>
      <c r="O1990" t="str">
        <f t="shared" si="195"/>
        <v>Fuzzy</v>
      </c>
      <c r="P1990" t="str">
        <f t="shared" si="196"/>
        <v>Fuzzy</v>
      </c>
    </row>
    <row r="1991" spans="1:16" x14ac:dyDescent="0.35">
      <c r="A1991" t="s">
        <v>1994</v>
      </c>
      <c r="B1991">
        <v>6204</v>
      </c>
      <c r="C1991">
        <v>28</v>
      </c>
      <c r="D1991">
        <v>71</v>
      </c>
      <c r="E1991">
        <v>416</v>
      </c>
      <c r="F1991">
        <v>4</v>
      </c>
      <c r="K1991" s="1">
        <f t="shared" si="191"/>
        <v>416</v>
      </c>
      <c r="L1991" s="1" t="str">
        <f t="shared" si="192"/>
        <v>Normal</v>
      </c>
      <c r="M1991" s="2">
        <f t="shared" si="193"/>
        <v>28.999999999999996</v>
      </c>
      <c r="N1991" s="1" t="str">
        <f t="shared" si="194"/>
        <v>Kering</v>
      </c>
      <c r="O1991" t="str">
        <f t="shared" si="195"/>
        <v>Fuzzy</v>
      </c>
      <c r="P1991" t="str">
        <f t="shared" si="196"/>
        <v>Fuzzy</v>
      </c>
    </row>
    <row r="1992" spans="1:16" x14ac:dyDescent="0.35">
      <c r="A1992" t="s">
        <v>1995</v>
      </c>
      <c r="B1992">
        <v>6205</v>
      </c>
      <c r="C1992">
        <v>28</v>
      </c>
      <c r="D1992">
        <v>71</v>
      </c>
      <c r="E1992">
        <v>290</v>
      </c>
      <c r="F1992">
        <v>4</v>
      </c>
      <c r="K1992" s="1">
        <f t="shared" si="191"/>
        <v>290</v>
      </c>
      <c r="L1992" s="1" t="str">
        <f t="shared" si="192"/>
        <v>Normal</v>
      </c>
      <c r="M1992" s="2">
        <f t="shared" si="193"/>
        <v>28.347996089931577</v>
      </c>
      <c r="N1992" s="1" t="str">
        <f t="shared" si="194"/>
        <v>Kering</v>
      </c>
      <c r="O1992" t="str">
        <f t="shared" si="195"/>
        <v>Fuzzy</v>
      </c>
      <c r="P1992" t="str">
        <f t="shared" si="196"/>
        <v>Fuzzy</v>
      </c>
    </row>
    <row r="1993" spans="1:16" x14ac:dyDescent="0.35">
      <c r="A1993" t="s">
        <v>1996</v>
      </c>
      <c r="B1993">
        <v>6206</v>
      </c>
      <c r="C1993">
        <v>28</v>
      </c>
      <c r="D1993">
        <v>71</v>
      </c>
      <c r="E1993">
        <v>438</v>
      </c>
      <c r="F1993">
        <v>4</v>
      </c>
      <c r="K1993" s="1">
        <f t="shared" si="191"/>
        <v>438</v>
      </c>
      <c r="L1993" s="1" t="str">
        <f t="shared" si="192"/>
        <v>Normal</v>
      </c>
      <c r="M1993" s="2">
        <f t="shared" si="193"/>
        <v>34.5</v>
      </c>
      <c r="N1993" s="1" t="str">
        <f t="shared" si="194"/>
        <v>Lembab</v>
      </c>
      <c r="O1993" t="str">
        <f t="shared" si="195"/>
        <v>Fuzzy</v>
      </c>
      <c r="P1993" t="str">
        <f t="shared" si="196"/>
        <v>Fuzzy</v>
      </c>
    </row>
    <row r="1994" spans="1:16" x14ac:dyDescent="0.35">
      <c r="A1994" t="s">
        <v>1997</v>
      </c>
      <c r="B1994">
        <v>6207</v>
      </c>
      <c r="C1994">
        <v>28</v>
      </c>
      <c r="D1994">
        <v>71</v>
      </c>
      <c r="E1994">
        <v>533</v>
      </c>
      <c r="F1994">
        <v>3</v>
      </c>
      <c r="K1994" s="1">
        <f t="shared" si="191"/>
        <v>533</v>
      </c>
      <c r="L1994" s="1" t="str">
        <f t="shared" si="192"/>
        <v>Normal</v>
      </c>
      <c r="M1994" s="2">
        <f t="shared" si="193"/>
        <v>58.25</v>
      </c>
      <c r="N1994" s="1" t="str">
        <f t="shared" si="194"/>
        <v>Lembab</v>
      </c>
      <c r="O1994" t="str">
        <f t="shared" si="195"/>
        <v>Fuzzy</v>
      </c>
      <c r="P1994" t="str">
        <f t="shared" si="196"/>
        <v>Fuzzy</v>
      </c>
    </row>
    <row r="1995" spans="1:16" x14ac:dyDescent="0.35">
      <c r="A1995" t="s">
        <v>1998</v>
      </c>
      <c r="B1995">
        <v>6208</v>
      </c>
      <c r="C1995">
        <v>28</v>
      </c>
      <c r="D1995">
        <v>71</v>
      </c>
      <c r="E1995">
        <v>525</v>
      </c>
      <c r="F1995">
        <v>4</v>
      </c>
      <c r="K1995" s="1">
        <f t="shared" si="191"/>
        <v>525</v>
      </c>
      <c r="L1995" s="1" t="str">
        <f t="shared" si="192"/>
        <v>Normal</v>
      </c>
      <c r="M1995" s="2">
        <f t="shared" si="193"/>
        <v>56.25</v>
      </c>
      <c r="N1995" s="1" t="str">
        <f t="shared" si="194"/>
        <v>Lembab</v>
      </c>
      <c r="O1995" t="str">
        <f t="shared" si="195"/>
        <v>Fuzzy</v>
      </c>
      <c r="P1995" t="str">
        <f t="shared" si="196"/>
        <v>Fuzzy</v>
      </c>
    </row>
    <row r="1996" spans="1:16" x14ac:dyDescent="0.35">
      <c r="A1996" t="s">
        <v>1999</v>
      </c>
      <c r="B1996">
        <v>6209</v>
      </c>
      <c r="C1996">
        <v>28</v>
      </c>
      <c r="D1996">
        <v>71</v>
      </c>
      <c r="E1996">
        <v>477</v>
      </c>
      <c r="F1996">
        <v>4</v>
      </c>
      <c r="K1996" s="1">
        <f t="shared" si="191"/>
        <v>477</v>
      </c>
      <c r="L1996" s="1" t="str">
        <f t="shared" si="192"/>
        <v>Normal</v>
      </c>
      <c r="M1996" s="2">
        <f t="shared" si="193"/>
        <v>44.25</v>
      </c>
      <c r="N1996" s="1" t="str">
        <f t="shared" si="194"/>
        <v>Lembab</v>
      </c>
      <c r="O1996" t="str">
        <f t="shared" si="195"/>
        <v>Fuzzy</v>
      </c>
      <c r="P1996" t="str">
        <f t="shared" si="196"/>
        <v>Fuzzy</v>
      </c>
    </row>
    <row r="1997" spans="1:16" x14ac:dyDescent="0.35">
      <c r="A1997" t="s">
        <v>2000</v>
      </c>
      <c r="B1997">
        <v>6210</v>
      </c>
      <c r="C1997">
        <v>28</v>
      </c>
      <c r="D1997">
        <v>71</v>
      </c>
      <c r="E1997">
        <v>466</v>
      </c>
      <c r="F1997">
        <v>4</v>
      </c>
      <c r="K1997" s="1">
        <f t="shared" ref="K1997:K2060" si="197">IF(E1997&lt;=1023, E1997, "")</f>
        <v>466</v>
      </c>
      <c r="L1997" s="1" t="str">
        <f t="shared" si="192"/>
        <v>Normal</v>
      </c>
      <c r="M1997" s="2">
        <f t="shared" si="193"/>
        <v>41.5</v>
      </c>
      <c r="N1997" s="1" t="str">
        <f t="shared" si="194"/>
        <v>Lembab</v>
      </c>
      <c r="O1997" t="str">
        <f t="shared" si="195"/>
        <v>Fuzzy</v>
      </c>
      <c r="P1997" t="str">
        <f t="shared" si="196"/>
        <v>Fuzzy</v>
      </c>
    </row>
    <row r="1998" spans="1:16" x14ac:dyDescent="0.35">
      <c r="A1998" t="s">
        <v>2001</v>
      </c>
      <c r="B1998">
        <v>6211</v>
      </c>
      <c r="C1998">
        <v>28</v>
      </c>
      <c r="D1998">
        <v>71</v>
      </c>
      <c r="E1998">
        <v>459</v>
      </c>
      <c r="F1998">
        <v>4</v>
      </c>
      <c r="K1998" s="1">
        <f t="shared" si="197"/>
        <v>459</v>
      </c>
      <c r="L1998" s="1" t="str">
        <f t="shared" si="192"/>
        <v>Normal</v>
      </c>
      <c r="M1998" s="2">
        <f t="shared" si="193"/>
        <v>39.75</v>
      </c>
      <c r="N1998" s="1" t="str">
        <f t="shared" si="194"/>
        <v>Lembab</v>
      </c>
      <c r="O1998" t="str">
        <f t="shared" si="195"/>
        <v>Fuzzy</v>
      </c>
      <c r="P1998" t="str">
        <f t="shared" si="196"/>
        <v>Fuzzy</v>
      </c>
    </row>
    <row r="1999" spans="1:16" x14ac:dyDescent="0.35">
      <c r="A1999" t="s">
        <v>2002</v>
      </c>
      <c r="B1999">
        <v>6212</v>
      </c>
      <c r="C1999">
        <v>28</v>
      </c>
      <c r="D1999">
        <v>71</v>
      </c>
      <c r="E1999">
        <v>468</v>
      </c>
      <c r="F1999">
        <v>4</v>
      </c>
      <c r="K1999" s="1">
        <f t="shared" si="197"/>
        <v>468</v>
      </c>
      <c r="L1999" s="1" t="str">
        <f t="shared" si="192"/>
        <v>Normal</v>
      </c>
      <c r="M1999" s="2">
        <f t="shared" si="193"/>
        <v>42</v>
      </c>
      <c r="N1999" s="1" t="str">
        <f t="shared" si="194"/>
        <v>Lembab</v>
      </c>
      <c r="O1999" t="str">
        <f t="shared" si="195"/>
        <v>Fuzzy</v>
      </c>
      <c r="P1999" t="str">
        <f t="shared" si="196"/>
        <v>Fuzzy</v>
      </c>
    </row>
    <row r="2000" spans="1:16" x14ac:dyDescent="0.35">
      <c r="A2000" t="s">
        <v>2003</v>
      </c>
      <c r="B2000">
        <v>6213</v>
      </c>
      <c r="C2000">
        <v>28</v>
      </c>
      <c r="D2000">
        <v>71</v>
      </c>
      <c r="E2000">
        <v>468</v>
      </c>
      <c r="F2000">
        <v>4</v>
      </c>
      <c r="K2000" s="1">
        <f t="shared" si="197"/>
        <v>468</v>
      </c>
      <c r="L2000" s="1" t="str">
        <f t="shared" si="192"/>
        <v>Normal</v>
      </c>
      <c r="M2000" s="2">
        <f t="shared" si="193"/>
        <v>42</v>
      </c>
      <c r="N2000" s="1" t="str">
        <f t="shared" si="194"/>
        <v>Lembab</v>
      </c>
      <c r="O2000" t="str">
        <f t="shared" si="195"/>
        <v>Fuzzy</v>
      </c>
      <c r="P2000" t="str">
        <f t="shared" si="196"/>
        <v>Fuzzy</v>
      </c>
    </row>
    <row r="2001" spans="1:16" x14ac:dyDescent="0.35">
      <c r="A2001" t="s">
        <v>2004</v>
      </c>
      <c r="B2001">
        <v>6214</v>
      </c>
      <c r="C2001">
        <v>28</v>
      </c>
      <c r="D2001">
        <v>71</v>
      </c>
      <c r="E2001">
        <v>504</v>
      </c>
      <c r="F2001">
        <v>4</v>
      </c>
      <c r="K2001" s="1">
        <f t="shared" si="197"/>
        <v>504</v>
      </c>
      <c r="L2001" s="1" t="str">
        <f t="shared" si="192"/>
        <v>Normal</v>
      </c>
      <c r="M2001" s="2">
        <f t="shared" si="193"/>
        <v>51</v>
      </c>
      <c r="N2001" s="1" t="str">
        <f t="shared" si="194"/>
        <v>Lembab</v>
      </c>
      <c r="O2001" t="str">
        <f t="shared" si="195"/>
        <v>Fuzzy</v>
      </c>
      <c r="P2001" t="str">
        <f t="shared" si="196"/>
        <v>Fuzzy</v>
      </c>
    </row>
    <row r="2002" spans="1:16" x14ac:dyDescent="0.35">
      <c r="A2002" t="s">
        <v>2005</v>
      </c>
      <c r="B2002">
        <v>6215</v>
      </c>
      <c r="C2002">
        <v>28</v>
      </c>
      <c r="D2002">
        <v>71</v>
      </c>
      <c r="E2002">
        <v>422</v>
      </c>
      <c r="F2002">
        <v>4</v>
      </c>
      <c r="K2002" s="1">
        <f t="shared" si="197"/>
        <v>422</v>
      </c>
      <c r="L2002" s="1" t="str">
        <f t="shared" si="192"/>
        <v>Normal</v>
      </c>
      <c r="M2002" s="2">
        <f t="shared" si="193"/>
        <v>30.5</v>
      </c>
      <c r="N2002" s="1" t="str">
        <f t="shared" si="194"/>
        <v>Lembab</v>
      </c>
      <c r="O2002" t="str">
        <f t="shared" si="195"/>
        <v>Fuzzy</v>
      </c>
      <c r="P2002" t="str">
        <f t="shared" si="196"/>
        <v>Fuzzy</v>
      </c>
    </row>
    <row r="2003" spans="1:16" x14ac:dyDescent="0.35">
      <c r="A2003" t="s">
        <v>2006</v>
      </c>
      <c r="B2003">
        <v>6216</v>
      </c>
      <c r="C2003">
        <v>28</v>
      </c>
      <c r="D2003">
        <v>70</v>
      </c>
      <c r="E2003">
        <v>430</v>
      </c>
      <c r="F2003">
        <v>4</v>
      </c>
      <c r="K2003" s="1">
        <f t="shared" si="197"/>
        <v>430</v>
      </c>
      <c r="L2003" s="1" t="str">
        <f t="shared" si="192"/>
        <v>Normal</v>
      </c>
      <c r="M2003" s="2">
        <f t="shared" si="193"/>
        <v>32.5</v>
      </c>
      <c r="N2003" s="1" t="str">
        <f t="shared" si="194"/>
        <v>Lembab</v>
      </c>
      <c r="O2003" t="str">
        <f t="shared" si="195"/>
        <v>Fuzzy</v>
      </c>
      <c r="P2003" t="str">
        <f t="shared" si="196"/>
        <v>Fuzzy</v>
      </c>
    </row>
    <row r="2004" spans="1:16" x14ac:dyDescent="0.35">
      <c r="A2004" t="s">
        <v>2007</v>
      </c>
      <c r="B2004">
        <v>6217</v>
      </c>
      <c r="C2004">
        <v>28</v>
      </c>
      <c r="D2004">
        <v>69</v>
      </c>
      <c r="E2004">
        <v>437</v>
      </c>
      <c r="F2004">
        <v>4</v>
      </c>
      <c r="K2004" s="1">
        <f t="shared" si="197"/>
        <v>437</v>
      </c>
      <c r="L2004" s="1" t="str">
        <f t="shared" si="192"/>
        <v>Normal</v>
      </c>
      <c r="M2004" s="2">
        <f t="shared" si="193"/>
        <v>34.25</v>
      </c>
      <c r="N2004" s="1" t="str">
        <f t="shared" si="194"/>
        <v>Lembab</v>
      </c>
      <c r="O2004" t="str">
        <f t="shared" si="195"/>
        <v>Fuzzy</v>
      </c>
      <c r="P2004" t="str">
        <f t="shared" si="196"/>
        <v>Fuzzy</v>
      </c>
    </row>
    <row r="2005" spans="1:16" x14ac:dyDescent="0.35">
      <c r="A2005" t="s">
        <v>2008</v>
      </c>
      <c r="B2005">
        <v>6218</v>
      </c>
      <c r="C2005">
        <v>28</v>
      </c>
      <c r="D2005">
        <v>69</v>
      </c>
      <c r="E2005">
        <v>438</v>
      </c>
      <c r="F2005">
        <v>4</v>
      </c>
      <c r="K2005" s="1">
        <f t="shared" si="197"/>
        <v>438</v>
      </c>
      <c r="L2005" s="1" t="str">
        <f t="shared" si="192"/>
        <v>Normal</v>
      </c>
      <c r="M2005" s="2">
        <f t="shared" si="193"/>
        <v>34.5</v>
      </c>
      <c r="N2005" s="1" t="str">
        <f t="shared" si="194"/>
        <v>Lembab</v>
      </c>
      <c r="O2005" t="str">
        <f t="shared" si="195"/>
        <v>Fuzzy</v>
      </c>
      <c r="P2005" t="str">
        <f t="shared" si="196"/>
        <v>Fuzzy</v>
      </c>
    </row>
    <row r="2006" spans="1:16" x14ac:dyDescent="0.35">
      <c r="A2006" t="s">
        <v>2009</v>
      </c>
      <c r="B2006">
        <v>6219</v>
      </c>
      <c r="C2006">
        <v>28</v>
      </c>
      <c r="D2006">
        <v>69</v>
      </c>
      <c r="E2006">
        <v>410</v>
      </c>
      <c r="F2006">
        <v>4</v>
      </c>
      <c r="K2006" s="1">
        <f t="shared" si="197"/>
        <v>410</v>
      </c>
      <c r="L2006" s="1" t="str">
        <f t="shared" si="192"/>
        <v>Normal</v>
      </c>
      <c r="M2006" s="2">
        <f t="shared" si="193"/>
        <v>27.500000000000004</v>
      </c>
      <c r="N2006" s="1" t="str">
        <f t="shared" si="194"/>
        <v>Kering</v>
      </c>
      <c r="O2006" t="str">
        <f t="shared" si="195"/>
        <v>Fuzzy</v>
      </c>
      <c r="P2006" t="str">
        <f t="shared" si="196"/>
        <v>Fuzzy</v>
      </c>
    </row>
    <row r="2007" spans="1:16" x14ac:dyDescent="0.35">
      <c r="A2007" t="s">
        <v>2010</v>
      </c>
      <c r="B2007">
        <v>6220</v>
      </c>
      <c r="C2007">
        <v>28</v>
      </c>
      <c r="D2007">
        <v>69</v>
      </c>
      <c r="E2007">
        <v>455</v>
      </c>
      <c r="F2007">
        <v>4</v>
      </c>
      <c r="K2007" s="1">
        <f t="shared" si="197"/>
        <v>455</v>
      </c>
      <c r="L2007" s="1" t="str">
        <f t="shared" si="192"/>
        <v>Normal</v>
      </c>
      <c r="M2007" s="2">
        <f t="shared" si="193"/>
        <v>38.75</v>
      </c>
      <c r="N2007" s="1" t="str">
        <f t="shared" si="194"/>
        <v>Lembab</v>
      </c>
      <c r="O2007" t="str">
        <f t="shared" si="195"/>
        <v>Fuzzy</v>
      </c>
      <c r="P2007" t="str">
        <f t="shared" si="196"/>
        <v>Fuzzy</v>
      </c>
    </row>
    <row r="2008" spans="1:16" x14ac:dyDescent="0.35">
      <c r="A2008" t="s">
        <v>2011</v>
      </c>
      <c r="B2008">
        <v>6221</v>
      </c>
      <c r="C2008">
        <v>28</v>
      </c>
      <c r="D2008">
        <v>70</v>
      </c>
      <c r="E2008">
        <v>255</v>
      </c>
      <c r="F2008">
        <v>3</v>
      </c>
      <c r="K2008" s="1">
        <f t="shared" si="197"/>
        <v>255</v>
      </c>
      <c r="L2008" s="1" t="str">
        <f t="shared" si="192"/>
        <v>Normal</v>
      </c>
      <c r="M2008" s="2">
        <f t="shared" si="193"/>
        <v>24.926686217008797</v>
      </c>
      <c r="N2008" s="1" t="str">
        <f t="shared" si="194"/>
        <v>Kering</v>
      </c>
      <c r="O2008" t="str">
        <f t="shared" si="195"/>
        <v>Fuzzy</v>
      </c>
      <c r="P2008" t="str">
        <f t="shared" si="196"/>
        <v>Fuzzy</v>
      </c>
    </row>
    <row r="2009" spans="1:16" x14ac:dyDescent="0.35">
      <c r="A2009" t="s">
        <v>2012</v>
      </c>
      <c r="B2009">
        <v>6222</v>
      </c>
      <c r="C2009">
        <v>28</v>
      </c>
      <c r="D2009">
        <v>70</v>
      </c>
      <c r="E2009">
        <v>486</v>
      </c>
      <c r="F2009">
        <v>4</v>
      </c>
      <c r="K2009" s="1">
        <f t="shared" si="197"/>
        <v>486</v>
      </c>
      <c r="L2009" s="1" t="str">
        <f t="shared" si="192"/>
        <v>Normal</v>
      </c>
      <c r="M2009" s="2">
        <f t="shared" si="193"/>
        <v>46.5</v>
      </c>
      <c r="N2009" s="1" t="str">
        <f t="shared" si="194"/>
        <v>Lembab</v>
      </c>
      <c r="O2009" t="str">
        <f t="shared" si="195"/>
        <v>Fuzzy</v>
      </c>
      <c r="P2009" t="str">
        <f t="shared" si="196"/>
        <v>Fuzzy</v>
      </c>
    </row>
    <row r="2010" spans="1:16" x14ac:dyDescent="0.35">
      <c r="A2010" t="s">
        <v>2013</v>
      </c>
      <c r="B2010">
        <v>6223</v>
      </c>
      <c r="C2010">
        <v>28</v>
      </c>
      <c r="D2010">
        <v>70</v>
      </c>
      <c r="E2010">
        <v>493</v>
      </c>
      <c r="F2010">
        <v>5</v>
      </c>
      <c r="K2010" s="1">
        <f t="shared" si="197"/>
        <v>493</v>
      </c>
      <c r="L2010" s="1" t="str">
        <f t="shared" si="192"/>
        <v>Normal</v>
      </c>
      <c r="M2010" s="2">
        <f t="shared" si="193"/>
        <v>48.25</v>
      </c>
      <c r="N2010" s="1" t="str">
        <f t="shared" si="194"/>
        <v>Lembab</v>
      </c>
      <c r="O2010" t="str">
        <f t="shared" si="195"/>
        <v>Fuzzy</v>
      </c>
      <c r="P2010" t="str">
        <f t="shared" si="196"/>
        <v>Fuzzy</v>
      </c>
    </row>
    <row r="2011" spans="1:16" x14ac:dyDescent="0.35">
      <c r="A2011" t="s">
        <v>2014</v>
      </c>
      <c r="B2011">
        <v>6224</v>
      </c>
      <c r="C2011">
        <v>28</v>
      </c>
      <c r="D2011">
        <v>70</v>
      </c>
      <c r="E2011">
        <v>438</v>
      </c>
      <c r="F2011">
        <v>4</v>
      </c>
      <c r="K2011" s="1">
        <f t="shared" si="197"/>
        <v>438</v>
      </c>
      <c r="L2011" s="1" t="str">
        <f t="shared" si="192"/>
        <v>Normal</v>
      </c>
      <c r="M2011" s="2">
        <f t="shared" si="193"/>
        <v>34.5</v>
      </c>
      <c r="N2011" s="1" t="str">
        <f t="shared" si="194"/>
        <v>Lembab</v>
      </c>
      <c r="O2011" t="str">
        <f t="shared" si="195"/>
        <v>Fuzzy</v>
      </c>
      <c r="P2011" t="str">
        <f t="shared" si="196"/>
        <v>Fuzzy</v>
      </c>
    </row>
    <row r="2012" spans="1:16" x14ac:dyDescent="0.35">
      <c r="A2012" t="s">
        <v>2015</v>
      </c>
      <c r="B2012">
        <v>6225</v>
      </c>
      <c r="C2012">
        <v>28</v>
      </c>
      <c r="D2012">
        <v>70</v>
      </c>
      <c r="E2012">
        <v>465</v>
      </c>
      <c r="F2012">
        <v>4</v>
      </c>
      <c r="K2012" s="1">
        <f t="shared" si="197"/>
        <v>465</v>
      </c>
      <c r="L2012" s="1" t="str">
        <f t="shared" si="192"/>
        <v>Normal</v>
      </c>
      <c r="M2012" s="2">
        <f t="shared" si="193"/>
        <v>41.25</v>
      </c>
      <c r="N2012" s="1" t="str">
        <f t="shared" si="194"/>
        <v>Lembab</v>
      </c>
      <c r="O2012" t="str">
        <f t="shared" si="195"/>
        <v>Fuzzy</v>
      </c>
      <c r="P2012" t="str">
        <f t="shared" si="196"/>
        <v>Fuzzy</v>
      </c>
    </row>
    <row r="2013" spans="1:16" x14ac:dyDescent="0.35">
      <c r="A2013" t="s">
        <v>2016</v>
      </c>
      <c r="B2013">
        <v>6226</v>
      </c>
      <c r="C2013">
        <v>28</v>
      </c>
      <c r="D2013">
        <v>70</v>
      </c>
      <c r="E2013">
        <v>448</v>
      </c>
      <c r="F2013">
        <v>4</v>
      </c>
      <c r="K2013" s="1">
        <f t="shared" si="197"/>
        <v>448</v>
      </c>
      <c r="L2013" s="1" t="str">
        <f t="shared" si="192"/>
        <v>Normal</v>
      </c>
      <c r="M2013" s="2">
        <f t="shared" si="193"/>
        <v>37</v>
      </c>
      <c r="N2013" s="1" t="str">
        <f t="shared" si="194"/>
        <v>Lembab</v>
      </c>
      <c r="O2013" t="str">
        <f t="shared" si="195"/>
        <v>Fuzzy</v>
      </c>
      <c r="P2013" t="str">
        <f t="shared" si="196"/>
        <v>Fuzzy</v>
      </c>
    </row>
    <row r="2014" spans="1:16" x14ac:dyDescent="0.35">
      <c r="A2014" t="s">
        <v>2017</v>
      </c>
      <c r="B2014">
        <v>6227</v>
      </c>
      <c r="C2014">
        <v>28</v>
      </c>
      <c r="D2014">
        <v>70</v>
      </c>
      <c r="E2014">
        <v>403</v>
      </c>
      <c r="F2014">
        <v>4</v>
      </c>
      <c r="K2014" s="1">
        <f t="shared" si="197"/>
        <v>403</v>
      </c>
      <c r="L2014" s="1" t="str">
        <f t="shared" si="192"/>
        <v>Normal</v>
      </c>
      <c r="M2014" s="2">
        <f t="shared" si="193"/>
        <v>25.75</v>
      </c>
      <c r="N2014" s="1" t="str">
        <f t="shared" si="194"/>
        <v>Kering</v>
      </c>
      <c r="O2014" t="str">
        <f t="shared" si="195"/>
        <v>Fuzzy</v>
      </c>
      <c r="P2014" t="str">
        <f t="shared" si="196"/>
        <v>Fuzzy</v>
      </c>
    </row>
    <row r="2015" spans="1:16" x14ac:dyDescent="0.35">
      <c r="A2015" t="s">
        <v>2018</v>
      </c>
      <c r="B2015">
        <v>6228</v>
      </c>
      <c r="C2015">
        <v>28</v>
      </c>
      <c r="D2015">
        <v>71</v>
      </c>
      <c r="E2015">
        <v>484</v>
      </c>
      <c r="F2015">
        <v>4</v>
      </c>
      <c r="K2015" s="1">
        <f t="shared" si="197"/>
        <v>484</v>
      </c>
      <c r="L2015" s="1" t="str">
        <f t="shared" si="192"/>
        <v>Normal</v>
      </c>
      <c r="M2015" s="2">
        <f t="shared" si="193"/>
        <v>46</v>
      </c>
      <c r="N2015" s="1" t="str">
        <f t="shared" si="194"/>
        <v>Lembab</v>
      </c>
      <c r="O2015" t="str">
        <f t="shared" si="195"/>
        <v>Fuzzy</v>
      </c>
      <c r="P2015" t="str">
        <f t="shared" si="196"/>
        <v>Fuzzy</v>
      </c>
    </row>
    <row r="2016" spans="1:16" x14ac:dyDescent="0.35">
      <c r="A2016" t="s">
        <v>2019</v>
      </c>
      <c r="B2016">
        <v>6229</v>
      </c>
      <c r="C2016">
        <v>28</v>
      </c>
      <c r="D2016">
        <v>71</v>
      </c>
      <c r="E2016">
        <v>431</v>
      </c>
      <c r="F2016">
        <v>4</v>
      </c>
      <c r="K2016" s="1">
        <f t="shared" si="197"/>
        <v>431</v>
      </c>
      <c r="L2016" s="1" t="str">
        <f t="shared" si="192"/>
        <v>Normal</v>
      </c>
      <c r="M2016" s="2">
        <f t="shared" si="193"/>
        <v>32.75</v>
      </c>
      <c r="N2016" s="1" t="str">
        <f t="shared" si="194"/>
        <v>Lembab</v>
      </c>
      <c r="O2016" t="str">
        <f t="shared" si="195"/>
        <v>Fuzzy</v>
      </c>
      <c r="P2016" t="str">
        <f t="shared" si="196"/>
        <v>Fuzzy</v>
      </c>
    </row>
    <row r="2017" spans="1:16" x14ac:dyDescent="0.35">
      <c r="A2017" t="s">
        <v>2020</v>
      </c>
      <c r="B2017">
        <v>6230</v>
      </c>
      <c r="C2017">
        <v>28</v>
      </c>
      <c r="D2017">
        <v>71</v>
      </c>
      <c r="E2017">
        <v>431</v>
      </c>
      <c r="F2017">
        <v>4</v>
      </c>
      <c r="K2017" s="1">
        <f t="shared" si="197"/>
        <v>431</v>
      </c>
      <c r="L2017" s="1" t="str">
        <f t="shared" si="192"/>
        <v>Normal</v>
      </c>
      <c r="M2017" s="2">
        <f t="shared" si="193"/>
        <v>32.75</v>
      </c>
      <c r="N2017" s="1" t="str">
        <f t="shared" si="194"/>
        <v>Lembab</v>
      </c>
      <c r="O2017" t="str">
        <f t="shared" si="195"/>
        <v>Fuzzy</v>
      </c>
      <c r="P2017" t="str">
        <f t="shared" si="196"/>
        <v>Fuzzy</v>
      </c>
    </row>
    <row r="2018" spans="1:16" x14ac:dyDescent="0.35">
      <c r="A2018" t="s">
        <v>2021</v>
      </c>
      <c r="B2018">
        <v>6231</v>
      </c>
      <c r="C2018">
        <v>28</v>
      </c>
      <c r="D2018">
        <v>71</v>
      </c>
      <c r="E2018">
        <v>445</v>
      </c>
      <c r="F2018">
        <v>4</v>
      </c>
      <c r="K2018" s="1">
        <f t="shared" si="197"/>
        <v>445</v>
      </c>
      <c r="L2018" s="1" t="str">
        <f t="shared" si="192"/>
        <v>Normal</v>
      </c>
      <c r="M2018" s="2">
        <f t="shared" si="193"/>
        <v>36.25</v>
      </c>
      <c r="N2018" s="1" t="str">
        <f t="shared" si="194"/>
        <v>Lembab</v>
      </c>
      <c r="O2018" t="str">
        <f t="shared" si="195"/>
        <v>Fuzzy</v>
      </c>
      <c r="P2018" t="str">
        <f t="shared" si="196"/>
        <v>Fuzzy</v>
      </c>
    </row>
    <row r="2019" spans="1:16" x14ac:dyDescent="0.35">
      <c r="A2019" t="s">
        <v>2022</v>
      </c>
      <c r="B2019">
        <v>6232</v>
      </c>
      <c r="C2019">
        <v>28</v>
      </c>
      <c r="D2019">
        <v>71</v>
      </c>
      <c r="E2019">
        <v>447</v>
      </c>
      <c r="F2019">
        <v>4</v>
      </c>
      <c r="K2019" s="1">
        <f t="shared" si="197"/>
        <v>447</v>
      </c>
      <c r="L2019" s="1" t="str">
        <f t="shared" si="192"/>
        <v>Normal</v>
      </c>
      <c r="M2019" s="2">
        <f t="shared" si="193"/>
        <v>36.75</v>
      </c>
      <c r="N2019" s="1" t="str">
        <f t="shared" si="194"/>
        <v>Lembab</v>
      </c>
      <c r="O2019" t="str">
        <f t="shared" si="195"/>
        <v>Fuzzy</v>
      </c>
      <c r="P2019" t="str">
        <f t="shared" si="196"/>
        <v>Fuzzy</v>
      </c>
    </row>
    <row r="2020" spans="1:16" x14ac:dyDescent="0.35">
      <c r="A2020" t="s">
        <v>2023</v>
      </c>
      <c r="B2020">
        <v>6233</v>
      </c>
      <c r="C2020">
        <v>28</v>
      </c>
      <c r="D2020">
        <v>71</v>
      </c>
      <c r="E2020">
        <v>402</v>
      </c>
      <c r="F2020">
        <v>4</v>
      </c>
      <c r="K2020" s="1">
        <f t="shared" si="197"/>
        <v>402</v>
      </c>
      <c r="L2020" s="1" t="str">
        <f t="shared" si="192"/>
        <v>Normal</v>
      </c>
      <c r="M2020" s="2">
        <f t="shared" si="193"/>
        <v>25.5</v>
      </c>
      <c r="N2020" s="1" t="str">
        <f t="shared" si="194"/>
        <v>Kering</v>
      </c>
      <c r="O2020" t="str">
        <f t="shared" si="195"/>
        <v>Fuzzy</v>
      </c>
      <c r="P2020" t="str">
        <f t="shared" si="196"/>
        <v>Fuzzy</v>
      </c>
    </row>
    <row r="2021" spans="1:16" x14ac:dyDescent="0.35">
      <c r="A2021" t="s">
        <v>2024</v>
      </c>
      <c r="B2021">
        <v>6234</v>
      </c>
      <c r="C2021">
        <v>28</v>
      </c>
      <c r="D2021">
        <v>71</v>
      </c>
      <c r="E2021">
        <v>501</v>
      </c>
      <c r="F2021">
        <v>4</v>
      </c>
      <c r="K2021" s="1">
        <f t="shared" si="197"/>
        <v>501</v>
      </c>
      <c r="L2021" s="1" t="str">
        <f t="shared" si="192"/>
        <v>Normal</v>
      </c>
      <c r="M2021" s="2">
        <f t="shared" si="193"/>
        <v>50.249999999999993</v>
      </c>
      <c r="N2021" s="1" t="str">
        <f t="shared" si="194"/>
        <v>Lembab</v>
      </c>
      <c r="O2021" t="str">
        <f t="shared" si="195"/>
        <v>Fuzzy</v>
      </c>
      <c r="P2021" t="str">
        <f t="shared" si="196"/>
        <v>Fuzzy</v>
      </c>
    </row>
    <row r="2022" spans="1:16" x14ac:dyDescent="0.35">
      <c r="A2022" t="s">
        <v>2025</v>
      </c>
      <c r="B2022">
        <v>6235</v>
      </c>
      <c r="C2022">
        <v>28</v>
      </c>
      <c r="D2022">
        <v>71</v>
      </c>
      <c r="E2022">
        <v>454</v>
      </c>
      <c r="F2022">
        <v>4</v>
      </c>
      <c r="K2022" s="1">
        <f t="shared" si="197"/>
        <v>454</v>
      </c>
      <c r="L2022" s="1" t="str">
        <f t="shared" si="192"/>
        <v>Normal</v>
      </c>
      <c r="M2022" s="2">
        <f t="shared" si="193"/>
        <v>38.5</v>
      </c>
      <c r="N2022" s="1" t="str">
        <f t="shared" si="194"/>
        <v>Lembab</v>
      </c>
      <c r="O2022" t="str">
        <f t="shared" si="195"/>
        <v>Fuzzy</v>
      </c>
      <c r="P2022" t="str">
        <f t="shared" si="196"/>
        <v>Fuzzy</v>
      </c>
    </row>
    <row r="2023" spans="1:16" x14ac:dyDescent="0.35">
      <c r="A2023" t="s">
        <v>2026</v>
      </c>
      <c r="B2023">
        <v>6236</v>
      </c>
      <c r="C2023">
        <v>28</v>
      </c>
      <c r="D2023">
        <v>70</v>
      </c>
      <c r="E2023">
        <v>472</v>
      </c>
      <c r="F2023">
        <v>4</v>
      </c>
      <c r="K2023" s="1">
        <f t="shared" si="197"/>
        <v>472</v>
      </c>
      <c r="L2023" s="1" t="str">
        <f t="shared" si="192"/>
        <v>Normal</v>
      </c>
      <c r="M2023" s="2">
        <f t="shared" si="193"/>
        <v>43</v>
      </c>
      <c r="N2023" s="1" t="str">
        <f t="shared" si="194"/>
        <v>Lembab</v>
      </c>
      <c r="O2023" t="str">
        <f t="shared" si="195"/>
        <v>Fuzzy</v>
      </c>
      <c r="P2023" t="str">
        <f t="shared" si="196"/>
        <v>Fuzzy</v>
      </c>
    </row>
    <row r="2024" spans="1:16" x14ac:dyDescent="0.35">
      <c r="A2024" t="s">
        <v>2027</v>
      </c>
      <c r="B2024">
        <v>6237</v>
      </c>
      <c r="C2024">
        <v>28</v>
      </c>
      <c r="D2024">
        <v>71</v>
      </c>
      <c r="E2024">
        <v>485</v>
      </c>
      <c r="F2024">
        <v>5</v>
      </c>
      <c r="K2024" s="1">
        <f t="shared" si="197"/>
        <v>485</v>
      </c>
      <c r="L2024" s="1" t="str">
        <f t="shared" si="192"/>
        <v>Normal</v>
      </c>
      <c r="M2024" s="2">
        <f t="shared" si="193"/>
        <v>46.25</v>
      </c>
      <c r="N2024" s="1" t="str">
        <f t="shared" si="194"/>
        <v>Lembab</v>
      </c>
      <c r="O2024" t="str">
        <f t="shared" si="195"/>
        <v>Fuzzy</v>
      </c>
      <c r="P2024" t="str">
        <f t="shared" si="196"/>
        <v>Fuzzy</v>
      </c>
    </row>
    <row r="2025" spans="1:16" x14ac:dyDescent="0.35">
      <c r="A2025" t="s">
        <v>2028</v>
      </c>
      <c r="B2025">
        <v>6238</v>
      </c>
      <c r="C2025">
        <v>28</v>
      </c>
      <c r="D2025">
        <v>71</v>
      </c>
      <c r="E2025">
        <v>422</v>
      </c>
      <c r="F2025">
        <v>4</v>
      </c>
      <c r="K2025" s="1">
        <f t="shared" si="197"/>
        <v>422</v>
      </c>
      <c r="L2025" s="1" t="str">
        <f t="shared" si="192"/>
        <v>Normal</v>
      </c>
      <c r="M2025" s="2">
        <f t="shared" si="193"/>
        <v>30.5</v>
      </c>
      <c r="N2025" s="1" t="str">
        <f t="shared" si="194"/>
        <v>Lembab</v>
      </c>
      <c r="O2025" t="str">
        <f t="shared" si="195"/>
        <v>Fuzzy</v>
      </c>
      <c r="P2025" t="str">
        <f t="shared" si="196"/>
        <v>Fuzzy</v>
      </c>
    </row>
    <row r="2026" spans="1:16" x14ac:dyDescent="0.35">
      <c r="A2026" t="s">
        <v>2029</v>
      </c>
      <c r="B2026">
        <v>6239</v>
      </c>
      <c r="C2026">
        <v>28</v>
      </c>
      <c r="D2026">
        <v>71</v>
      </c>
      <c r="E2026">
        <v>439</v>
      </c>
      <c r="F2026">
        <v>4</v>
      </c>
      <c r="K2026" s="1">
        <f t="shared" si="197"/>
        <v>439</v>
      </c>
      <c r="L2026" s="1" t="str">
        <f t="shared" si="192"/>
        <v>Normal</v>
      </c>
      <c r="M2026" s="2">
        <f t="shared" si="193"/>
        <v>34.75</v>
      </c>
      <c r="N2026" s="1" t="str">
        <f t="shared" si="194"/>
        <v>Lembab</v>
      </c>
      <c r="O2026" t="str">
        <f t="shared" si="195"/>
        <v>Fuzzy</v>
      </c>
      <c r="P2026" t="str">
        <f t="shared" si="196"/>
        <v>Fuzzy</v>
      </c>
    </row>
    <row r="2027" spans="1:16" x14ac:dyDescent="0.35">
      <c r="A2027" t="s">
        <v>2030</v>
      </c>
      <c r="B2027">
        <v>6240</v>
      </c>
      <c r="C2027">
        <v>28</v>
      </c>
      <c r="D2027">
        <v>71</v>
      </c>
      <c r="E2027">
        <v>460</v>
      </c>
      <c r="F2027">
        <v>4</v>
      </c>
      <c r="K2027" s="1">
        <f t="shared" si="197"/>
        <v>460</v>
      </c>
      <c r="L2027" s="1" t="str">
        <f t="shared" si="192"/>
        <v>Normal</v>
      </c>
      <c r="M2027" s="2">
        <f t="shared" si="193"/>
        <v>40</v>
      </c>
      <c r="N2027" s="1" t="str">
        <f t="shared" si="194"/>
        <v>Lembab</v>
      </c>
      <c r="O2027" t="str">
        <f t="shared" si="195"/>
        <v>Fuzzy</v>
      </c>
      <c r="P2027" t="str">
        <f t="shared" si="196"/>
        <v>Fuzzy</v>
      </c>
    </row>
    <row r="2028" spans="1:16" x14ac:dyDescent="0.35">
      <c r="A2028" t="s">
        <v>2031</v>
      </c>
      <c r="B2028">
        <v>6241</v>
      </c>
      <c r="C2028">
        <v>28</v>
      </c>
      <c r="D2028">
        <v>71</v>
      </c>
      <c r="E2028">
        <v>430</v>
      </c>
      <c r="F2028">
        <v>4</v>
      </c>
      <c r="K2028" s="1">
        <f t="shared" si="197"/>
        <v>430</v>
      </c>
      <c r="L2028" s="1" t="str">
        <f t="shared" si="192"/>
        <v>Normal</v>
      </c>
      <c r="M2028" s="2">
        <f t="shared" si="193"/>
        <v>32.5</v>
      </c>
      <c r="N2028" s="1" t="str">
        <f t="shared" si="194"/>
        <v>Lembab</v>
      </c>
      <c r="O2028" t="str">
        <f t="shared" si="195"/>
        <v>Fuzzy</v>
      </c>
      <c r="P2028" t="str">
        <f t="shared" si="196"/>
        <v>Fuzzy</v>
      </c>
    </row>
    <row r="2029" spans="1:16" x14ac:dyDescent="0.35">
      <c r="A2029" t="s">
        <v>2032</v>
      </c>
      <c r="B2029">
        <v>6242</v>
      </c>
      <c r="C2029">
        <v>28</v>
      </c>
      <c r="D2029">
        <v>69</v>
      </c>
      <c r="E2029">
        <v>418</v>
      </c>
      <c r="F2029">
        <v>4</v>
      </c>
      <c r="K2029" s="1">
        <f t="shared" si="197"/>
        <v>418</v>
      </c>
      <c r="L2029" s="1" t="str">
        <f t="shared" si="192"/>
        <v>Normal</v>
      </c>
      <c r="M2029" s="2">
        <f t="shared" si="193"/>
        <v>29.5</v>
      </c>
      <c r="N2029" s="1" t="str">
        <f t="shared" si="194"/>
        <v>Lembab</v>
      </c>
      <c r="O2029" t="str">
        <f t="shared" si="195"/>
        <v>Fuzzy</v>
      </c>
      <c r="P2029" t="str">
        <f t="shared" si="196"/>
        <v>Fuzzy</v>
      </c>
    </row>
    <row r="2030" spans="1:16" x14ac:dyDescent="0.35">
      <c r="A2030" t="s">
        <v>2033</v>
      </c>
      <c r="B2030">
        <v>6243</v>
      </c>
      <c r="C2030">
        <v>28</v>
      </c>
      <c r="D2030">
        <v>68</v>
      </c>
      <c r="E2030">
        <v>447</v>
      </c>
      <c r="F2030">
        <v>4</v>
      </c>
      <c r="K2030" s="1">
        <f t="shared" si="197"/>
        <v>447</v>
      </c>
      <c r="L2030" s="1" t="str">
        <f t="shared" si="192"/>
        <v>Normal</v>
      </c>
      <c r="M2030" s="2">
        <f t="shared" si="193"/>
        <v>36.75</v>
      </c>
      <c r="N2030" s="1" t="str">
        <f t="shared" si="194"/>
        <v>Lembab</v>
      </c>
      <c r="O2030" t="str">
        <f t="shared" si="195"/>
        <v>Fuzzy</v>
      </c>
      <c r="P2030" t="str">
        <f t="shared" si="196"/>
        <v>Fuzzy</v>
      </c>
    </row>
    <row r="2031" spans="1:16" x14ac:dyDescent="0.35">
      <c r="A2031" t="s">
        <v>2034</v>
      </c>
      <c r="B2031">
        <v>6244</v>
      </c>
      <c r="C2031">
        <v>28</v>
      </c>
      <c r="D2031">
        <v>70</v>
      </c>
      <c r="E2031">
        <v>348</v>
      </c>
      <c r="F2031">
        <v>6</v>
      </c>
      <c r="K2031" s="1">
        <f t="shared" si="197"/>
        <v>348</v>
      </c>
      <c r="L2031" s="1" t="str">
        <f t="shared" si="192"/>
        <v>Normal</v>
      </c>
      <c r="M2031" s="2">
        <f t="shared" si="193"/>
        <v>12</v>
      </c>
      <c r="N2031" s="1" t="str">
        <f t="shared" si="194"/>
        <v>Kering</v>
      </c>
      <c r="O2031" t="str">
        <f t="shared" si="195"/>
        <v>Fuzzy</v>
      </c>
      <c r="P2031" t="str">
        <f t="shared" si="196"/>
        <v>Fuzzy</v>
      </c>
    </row>
    <row r="2032" spans="1:16" x14ac:dyDescent="0.35">
      <c r="A2032" t="s">
        <v>2035</v>
      </c>
      <c r="B2032">
        <v>6245</v>
      </c>
      <c r="C2032">
        <v>28</v>
      </c>
      <c r="D2032">
        <v>70</v>
      </c>
      <c r="E2032">
        <v>458</v>
      </c>
      <c r="F2032">
        <v>6</v>
      </c>
      <c r="K2032" s="1">
        <f t="shared" si="197"/>
        <v>458</v>
      </c>
      <c r="L2032" s="1" t="str">
        <f t="shared" si="192"/>
        <v>Normal</v>
      </c>
      <c r="M2032" s="2">
        <f t="shared" si="193"/>
        <v>39.5</v>
      </c>
      <c r="N2032" s="1" t="str">
        <f t="shared" si="194"/>
        <v>Lembab</v>
      </c>
      <c r="O2032" t="str">
        <f t="shared" si="195"/>
        <v>Fuzzy</v>
      </c>
      <c r="P2032" t="str">
        <f t="shared" si="196"/>
        <v>Fuzzy</v>
      </c>
    </row>
    <row r="2033" spans="1:16" x14ac:dyDescent="0.35">
      <c r="A2033" t="s">
        <v>2036</v>
      </c>
      <c r="B2033">
        <v>6246</v>
      </c>
      <c r="C2033">
        <v>28</v>
      </c>
      <c r="D2033">
        <v>70</v>
      </c>
      <c r="E2033">
        <v>450</v>
      </c>
      <c r="F2033">
        <v>4</v>
      </c>
      <c r="K2033" s="1">
        <f t="shared" si="197"/>
        <v>450</v>
      </c>
      <c r="L2033" s="1" t="str">
        <f t="shared" si="192"/>
        <v>Normal</v>
      </c>
      <c r="M2033" s="2">
        <f t="shared" si="193"/>
        <v>37.5</v>
      </c>
      <c r="N2033" s="1" t="str">
        <f t="shared" si="194"/>
        <v>Lembab</v>
      </c>
      <c r="O2033" t="str">
        <f t="shared" si="195"/>
        <v>Fuzzy</v>
      </c>
      <c r="P2033" t="str">
        <f t="shared" si="196"/>
        <v>Fuzzy</v>
      </c>
    </row>
    <row r="2034" spans="1:16" x14ac:dyDescent="0.35">
      <c r="A2034" t="s">
        <v>2037</v>
      </c>
      <c r="B2034">
        <v>6247</v>
      </c>
      <c r="C2034">
        <v>28</v>
      </c>
      <c r="D2034">
        <v>70</v>
      </c>
      <c r="E2034">
        <v>427</v>
      </c>
      <c r="F2034">
        <v>4</v>
      </c>
      <c r="K2034" s="1">
        <f t="shared" si="197"/>
        <v>427</v>
      </c>
      <c r="L2034" s="1" t="str">
        <f t="shared" si="192"/>
        <v>Normal</v>
      </c>
      <c r="M2034" s="2">
        <f t="shared" si="193"/>
        <v>31.75</v>
      </c>
      <c r="N2034" s="1" t="str">
        <f t="shared" si="194"/>
        <v>Lembab</v>
      </c>
      <c r="O2034" t="str">
        <f t="shared" si="195"/>
        <v>Fuzzy</v>
      </c>
      <c r="P2034" t="str">
        <f t="shared" si="196"/>
        <v>Fuzzy</v>
      </c>
    </row>
    <row r="2035" spans="1:16" x14ac:dyDescent="0.35">
      <c r="A2035" t="s">
        <v>2038</v>
      </c>
      <c r="B2035">
        <v>6248</v>
      </c>
      <c r="C2035">
        <v>28</v>
      </c>
      <c r="D2035">
        <v>71</v>
      </c>
      <c r="E2035">
        <v>421</v>
      </c>
      <c r="F2035">
        <v>4</v>
      </c>
      <c r="K2035" s="1">
        <f t="shared" si="197"/>
        <v>421</v>
      </c>
      <c r="L2035" s="1" t="str">
        <f t="shared" si="192"/>
        <v>Normal</v>
      </c>
      <c r="M2035" s="2">
        <f t="shared" si="193"/>
        <v>30.25</v>
      </c>
      <c r="N2035" s="1" t="str">
        <f t="shared" si="194"/>
        <v>Lembab</v>
      </c>
      <c r="O2035" t="str">
        <f t="shared" si="195"/>
        <v>Fuzzy</v>
      </c>
      <c r="P2035" t="str">
        <f t="shared" si="196"/>
        <v>Fuzzy</v>
      </c>
    </row>
    <row r="2036" spans="1:16" x14ac:dyDescent="0.35">
      <c r="A2036" t="s">
        <v>2039</v>
      </c>
      <c r="B2036">
        <v>6249</v>
      </c>
      <c r="C2036">
        <v>28</v>
      </c>
      <c r="D2036">
        <v>71</v>
      </c>
      <c r="E2036">
        <v>679</v>
      </c>
      <c r="F2036">
        <v>4</v>
      </c>
      <c r="K2036" s="1">
        <f t="shared" si="197"/>
        <v>679</v>
      </c>
      <c r="L2036" s="1" t="str">
        <f t="shared" si="192"/>
        <v>Normal</v>
      </c>
      <c r="M2036" s="2">
        <f t="shared" si="193"/>
        <v>94.75</v>
      </c>
      <c r="N2036" s="1" t="str">
        <f t="shared" si="194"/>
        <v>Basah</v>
      </c>
      <c r="O2036" t="str">
        <f t="shared" si="195"/>
        <v>Fuzzy</v>
      </c>
      <c r="P2036" t="str">
        <f t="shared" si="196"/>
        <v>Fuzzy</v>
      </c>
    </row>
    <row r="2037" spans="1:16" x14ac:dyDescent="0.35">
      <c r="A2037" t="s">
        <v>2040</v>
      </c>
      <c r="B2037">
        <v>6250</v>
      </c>
      <c r="C2037">
        <v>28</v>
      </c>
      <c r="D2037">
        <v>71</v>
      </c>
      <c r="E2037">
        <v>458</v>
      </c>
      <c r="F2037">
        <v>4</v>
      </c>
      <c r="K2037" s="1">
        <f t="shared" si="197"/>
        <v>458</v>
      </c>
      <c r="L2037" s="1" t="str">
        <f t="shared" si="192"/>
        <v>Normal</v>
      </c>
      <c r="M2037" s="2">
        <f t="shared" si="193"/>
        <v>39.5</v>
      </c>
      <c r="N2037" s="1" t="str">
        <f t="shared" si="194"/>
        <v>Lembab</v>
      </c>
      <c r="O2037" t="str">
        <f t="shared" si="195"/>
        <v>Fuzzy</v>
      </c>
      <c r="P2037" t="str">
        <f t="shared" si="196"/>
        <v>Fuzzy</v>
      </c>
    </row>
    <row r="2038" spans="1:16" x14ac:dyDescent="0.35">
      <c r="A2038" t="s">
        <v>2041</v>
      </c>
      <c r="B2038">
        <v>6251</v>
      </c>
      <c r="C2038">
        <v>28</v>
      </c>
      <c r="D2038">
        <v>71</v>
      </c>
      <c r="E2038">
        <v>391</v>
      </c>
      <c r="F2038">
        <v>4</v>
      </c>
      <c r="K2038" s="1">
        <f t="shared" si="197"/>
        <v>391</v>
      </c>
      <c r="L2038" s="1" t="str">
        <f t="shared" si="192"/>
        <v>Normal</v>
      </c>
      <c r="M2038" s="2">
        <f t="shared" si="193"/>
        <v>22.75</v>
      </c>
      <c r="N2038" s="1" t="str">
        <f t="shared" si="194"/>
        <v>Kering</v>
      </c>
      <c r="O2038" t="str">
        <f t="shared" si="195"/>
        <v>Fuzzy</v>
      </c>
      <c r="P2038" t="str">
        <f t="shared" si="196"/>
        <v>Fuzzy</v>
      </c>
    </row>
    <row r="2039" spans="1:16" x14ac:dyDescent="0.35">
      <c r="A2039" t="s">
        <v>2042</v>
      </c>
      <c r="B2039">
        <v>6252</v>
      </c>
      <c r="C2039">
        <v>28</v>
      </c>
      <c r="D2039">
        <v>71</v>
      </c>
      <c r="E2039">
        <v>426</v>
      </c>
      <c r="F2039">
        <v>4</v>
      </c>
      <c r="K2039" s="1">
        <f t="shared" si="197"/>
        <v>426</v>
      </c>
      <c r="L2039" s="1" t="str">
        <f t="shared" si="192"/>
        <v>Normal</v>
      </c>
      <c r="M2039" s="2">
        <f t="shared" si="193"/>
        <v>31.5</v>
      </c>
      <c r="N2039" s="1" t="str">
        <f t="shared" si="194"/>
        <v>Lembab</v>
      </c>
      <c r="O2039" t="str">
        <f t="shared" si="195"/>
        <v>Fuzzy</v>
      </c>
      <c r="P2039" t="str">
        <f t="shared" si="196"/>
        <v>Fuzzy</v>
      </c>
    </row>
    <row r="2040" spans="1:16" x14ac:dyDescent="0.35">
      <c r="A2040" t="s">
        <v>2043</v>
      </c>
      <c r="B2040">
        <v>6253</v>
      </c>
      <c r="C2040">
        <v>28</v>
      </c>
      <c r="D2040">
        <v>71</v>
      </c>
      <c r="E2040">
        <v>378</v>
      </c>
      <c r="F2040">
        <v>4</v>
      </c>
      <c r="K2040" s="1">
        <f t="shared" si="197"/>
        <v>378</v>
      </c>
      <c r="L2040" s="1" t="str">
        <f t="shared" si="192"/>
        <v>Normal</v>
      </c>
      <c r="M2040" s="2">
        <f t="shared" si="193"/>
        <v>19.5</v>
      </c>
      <c r="N2040" s="1" t="str">
        <f t="shared" si="194"/>
        <v>Kering</v>
      </c>
      <c r="O2040" t="str">
        <f t="shared" si="195"/>
        <v>Fuzzy</v>
      </c>
      <c r="P2040" t="str">
        <f t="shared" si="196"/>
        <v>Fuzzy</v>
      </c>
    </row>
    <row r="2041" spans="1:16" x14ac:dyDescent="0.35">
      <c r="A2041" t="s">
        <v>2044</v>
      </c>
      <c r="B2041">
        <v>6254</v>
      </c>
      <c r="C2041">
        <v>28</v>
      </c>
      <c r="D2041">
        <v>71</v>
      </c>
      <c r="E2041">
        <v>434</v>
      </c>
      <c r="F2041">
        <v>4</v>
      </c>
      <c r="K2041" s="1">
        <f t="shared" si="197"/>
        <v>434</v>
      </c>
      <c r="L2041" s="1" t="str">
        <f t="shared" si="192"/>
        <v>Normal</v>
      </c>
      <c r="M2041" s="2">
        <f t="shared" si="193"/>
        <v>33.5</v>
      </c>
      <c r="N2041" s="1" t="str">
        <f t="shared" si="194"/>
        <v>Lembab</v>
      </c>
      <c r="O2041" t="str">
        <f t="shared" si="195"/>
        <v>Fuzzy</v>
      </c>
      <c r="P2041" t="str">
        <f t="shared" si="196"/>
        <v>Fuzzy</v>
      </c>
    </row>
    <row r="2042" spans="1:16" x14ac:dyDescent="0.35">
      <c r="A2042" t="s">
        <v>2045</v>
      </c>
      <c r="B2042">
        <v>6255</v>
      </c>
      <c r="C2042">
        <v>28</v>
      </c>
      <c r="D2042">
        <v>71</v>
      </c>
      <c r="E2042">
        <v>455</v>
      </c>
      <c r="F2042">
        <v>4</v>
      </c>
      <c r="K2042" s="1">
        <f t="shared" si="197"/>
        <v>455</v>
      </c>
      <c r="L2042" s="1" t="str">
        <f t="shared" si="192"/>
        <v>Normal</v>
      </c>
      <c r="M2042" s="2">
        <f t="shared" si="193"/>
        <v>38.75</v>
      </c>
      <c r="N2042" s="1" t="str">
        <f t="shared" si="194"/>
        <v>Lembab</v>
      </c>
      <c r="O2042" t="str">
        <f t="shared" si="195"/>
        <v>Fuzzy</v>
      </c>
      <c r="P2042" t="str">
        <f t="shared" si="196"/>
        <v>Fuzzy</v>
      </c>
    </row>
    <row r="2043" spans="1:16" x14ac:dyDescent="0.35">
      <c r="A2043" t="s">
        <v>2046</v>
      </c>
      <c r="B2043">
        <v>6256</v>
      </c>
      <c r="C2043">
        <v>28</v>
      </c>
      <c r="D2043">
        <v>71</v>
      </c>
      <c r="E2043">
        <v>442</v>
      </c>
      <c r="F2043">
        <v>4</v>
      </c>
      <c r="K2043" s="1">
        <f t="shared" si="197"/>
        <v>442</v>
      </c>
      <c r="L2043" s="1" t="str">
        <f t="shared" si="192"/>
        <v>Normal</v>
      </c>
      <c r="M2043" s="2">
        <f t="shared" si="193"/>
        <v>35.5</v>
      </c>
      <c r="N2043" s="1" t="str">
        <f t="shared" si="194"/>
        <v>Lembab</v>
      </c>
      <c r="O2043" t="str">
        <f t="shared" si="195"/>
        <v>Fuzzy</v>
      </c>
      <c r="P2043" t="str">
        <f t="shared" si="196"/>
        <v>Fuzzy</v>
      </c>
    </row>
    <row r="2044" spans="1:16" x14ac:dyDescent="0.35">
      <c r="A2044" t="s">
        <v>2047</v>
      </c>
      <c r="B2044">
        <v>6257</v>
      </c>
      <c r="C2044">
        <v>28</v>
      </c>
      <c r="D2044">
        <v>71</v>
      </c>
      <c r="E2044">
        <v>385</v>
      </c>
      <c r="F2044">
        <v>4</v>
      </c>
      <c r="K2044" s="1">
        <f t="shared" si="197"/>
        <v>385</v>
      </c>
      <c r="L2044" s="1" t="str">
        <f t="shared" si="192"/>
        <v>Normal</v>
      </c>
      <c r="M2044" s="2">
        <f t="shared" si="193"/>
        <v>21.25</v>
      </c>
      <c r="N2044" s="1" t="str">
        <f t="shared" si="194"/>
        <v>Kering</v>
      </c>
      <c r="O2044" t="str">
        <f t="shared" si="195"/>
        <v>Fuzzy</v>
      </c>
      <c r="P2044" t="str">
        <f t="shared" si="196"/>
        <v>Fuzzy</v>
      </c>
    </row>
    <row r="2045" spans="1:16" x14ac:dyDescent="0.35">
      <c r="A2045" t="s">
        <v>2048</v>
      </c>
      <c r="B2045">
        <v>6258</v>
      </c>
      <c r="C2045">
        <v>28</v>
      </c>
      <c r="D2045">
        <v>71</v>
      </c>
      <c r="E2045">
        <v>443</v>
      </c>
      <c r="F2045">
        <v>4</v>
      </c>
      <c r="K2045" s="1">
        <f t="shared" si="197"/>
        <v>443</v>
      </c>
      <c r="L2045" s="1" t="str">
        <f t="shared" si="192"/>
        <v>Normal</v>
      </c>
      <c r="M2045" s="2">
        <f t="shared" si="193"/>
        <v>35.75</v>
      </c>
      <c r="N2045" s="1" t="str">
        <f t="shared" si="194"/>
        <v>Lembab</v>
      </c>
      <c r="O2045" t="str">
        <f t="shared" si="195"/>
        <v>Fuzzy</v>
      </c>
      <c r="P2045" t="str">
        <f t="shared" si="196"/>
        <v>Fuzzy</v>
      </c>
    </row>
    <row r="2046" spans="1:16" x14ac:dyDescent="0.35">
      <c r="A2046" t="s">
        <v>2049</v>
      </c>
      <c r="B2046">
        <v>6259</v>
      </c>
      <c r="C2046">
        <v>28</v>
      </c>
      <c r="D2046">
        <v>71</v>
      </c>
      <c r="E2046">
        <v>437</v>
      </c>
      <c r="F2046">
        <v>4</v>
      </c>
      <c r="K2046" s="1">
        <f t="shared" si="197"/>
        <v>437</v>
      </c>
      <c r="L2046" s="1" t="str">
        <f t="shared" si="192"/>
        <v>Normal</v>
      </c>
      <c r="M2046" s="2">
        <f t="shared" si="193"/>
        <v>34.25</v>
      </c>
      <c r="N2046" s="1" t="str">
        <f t="shared" si="194"/>
        <v>Lembab</v>
      </c>
      <c r="O2046" t="str">
        <f t="shared" si="195"/>
        <v>Fuzzy</v>
      </c>
      <c r="P2046" t="str">
        <f t="shared" si="196"/>
        <v>Fuzzy</v>
      </c>
    </row>
    <row r="2047" spans="1:16" x14ac:dyDescent="0.35">
      <c r="A2047" t="s">
        <v>2050</v>
      </c>
      <c r="B2047">
        <v>6260</v>
      </c>
      <c r="C2047">
        <v>28</v>
      </c>
      <c r="D2047">
        <v>71</v>
      </c>
      <c r="E2047">
        <v>433</v>
      </c>
      <c r="F2047">
        <v>4</v>
      </c>
      <c r="K2047" s="1">
        <f t="shared" si="197"/>
        <v>433</v>
      </c>
      <c r="L2047" s="1" t="str">
        <f t="shared" si="192"/>
        <v>Normal</v>
      </c>
      <c r="M2047" s="2">
        <f t="shared" si="193"/>
        <v>33.25</v>
      </c>
      <c r="N2047" s="1" t="str">
        <f t="shared" si="194"/>
        <v>Lembab</v>
      </c>
      <c r="O2047" t="str">
        <f t="shared" si="195"/>
        <v>Fuzzy</v>
      </c>
      <c r="P2047" t="str">
        <f t="shared" si="196"/>
        <v>Fuzzy</v>
      </c>
    </row>
    <row r="2048" spans="1:16" x14ac:dyDescent="0.35">
      <c r="A2048" t="s">
        <v>2051</v>
      </c>
      <c r="B2048">
        <v>6261</v>
      </c>
      <c r="C2048">
        <v>28</v>
      </c>
      <c r="D2048">
        <v>71</v>
      </c>
      <c r="E2048">
        <v>395</v>
      </c>
      <c r="F2048">
        <v>4</v>
      </c>
      <c r="K2048" s="1">
        <f t="shared" si="197"/>
        <v>395</v>
      </c>
      <c r="L2048" s="1" t="str">
        <f t="shared" si="192"/>
        <v>Normal</v>
      </c>
      <c r="M2048" s="2">
        <f t="shared" si="193"/>
        <v>23.75</v>
      </c>
      <c r="N2048" s="1" t="str">
        <f t="shared" si="194"/>
        <v>Kering</v>
      </c>
      <c r="O2048" t="str">
        <f t="shared" si="195"/>
        <v>Fuzzy</v>
      </c>
      <c r="P2048" t="str">
        <f t="shared" si="196"/>
        <v>Fuzzy</v>
      </c>
    </row>
    <row r="2049" spans="1:16" x14ac:dyDescent="0.35">
      <c r="A2049" t="s">
        <v>2052</v>
      </c>
      <c r="B2049">
        <v>6262</v>
      </c>
      <c r="C2049">
        <v>28</v>
      </c>
      <c r="D2049">
        <v>71</v>
      </c>
      <c r="E2049">
        <v>644</v>
      </c>
      <c r="F2049">
        <v>4</v>
      </c>
      <c r="K2049" s="1">
        <f t="shared" si="197"/>
        <v>644</v>
      </c>
      <c r="L2049" s="1" t="str">
        <f t="shared" si="192"/>
        <v>Normal</v>
      </c>
      <c r="M2049" s="2">
        <f t="shared" si="193"/>
        <v>86</v>
      </c>
      <c r="N2049" s="1" t="str">
        <f t="shared" si="194"/>
        <v>Basah</v>
      </c>
      <c r="O2049" t="str">
        <f t="shared" si="195"/>
        <v>Fuzzy</v>
      </c>
      <c r="P2049" t="str">
        <f t="shared" si="196"/>
        <v>Fuzzy</v>
      </c>
    </row>
    <row r="2050" spans="1:16" x14ac:dyDescent="0.35">
      <c r="A2050" t="s">
        <v>2053</v>
      </c>
      <c r="B2050">
        <v>6263</v>
      </c>
      <c r="C2050">
        <v>28</v>
      </c>
      <c r="D2050">
        <v>71</v>
      </c>
      <c r="E2050">
        <v>431</v>
      </c>
      <c r="F2050">
        <v>4</v>
      </c>
      <c r="K2050" s="1">
        <f t="shared" si="197"/>
        <v>431</v>
      </c>
      <c r="L2050" s="1" t="str">
        <f t="shared" si="192"/>
        <v>Normal</v>
      </c>
      <c r="M2050" s="2">
        <f t="shared" si="193"/>
        <v>32.75</v>
      </c>
      <c r="N2050" s="1" t="str">
        <f t="shared" si="194"/>
        <v>Lembab</v>
      </c>
      <c r="O2050" t="str">
        <f t="shared" si="195"/>
        <v>Fuzzy</v>
      </c>
      <c r="P2050" t="str">
        <f t="shared" si="196"/>
        <v>Fuzzy</v>
      </c>
    </row>
    <row r="2051" spans="1:16" x14ac:dyDescent="0.35">
      <c r="A2051" t="s">
        <v>2054</v>
      </c>
      <c r="B2051">
        <v>6264</v>
      </c>
      <c r="C2051">
        <v>28</v>
      </c>
      <c r="D2051">
        <v>71</v>
      </c>
      <c r="E2051">
        <v>522</v>
      </c>
      <c r="F2051">
        <v>4</v>
      </c>
      <c r="K2051" s="1">
        <f t="shared" si="197"/>
        <v>522</v>
      </c>
      <c r="L2051" s="1" t="str">
        <f t="shared" ref="L2051:L2114" si="198">IF(A2050 &lt;= 10, "Dingin", IF(OR(A2050 &gt;= 10, A2050 &lt; 35), "Normal", "Panas"))</f>
        <v>Normal</v>
      </c>
      <c r="M2051" s="2">
        <f t="shared" ref="M2051:M2114" si="199">IF(K2051&lt;=300, K2051/1023*100, IF(K2051&lt;=700, (K2051-300)/(700-301+1)*100, (K2051-700)/(1023-701+1)*100))</f>
        <v>55.500000000000007</v>
      </c>
      <c r="N2051" s="1" t="str">
        <f t="shared" ref="N2051:N2114" si="200">IF(M2051&lt;=29.32, "Kering", IF(M2051&lt;=68.53, "Lembab", "Basah"))</f>
        <v>Lembab</v>
      </c>
      <c r="O2051" t="str">
        <f t="shared" ref="O2051:O2114" si="201">IF(OR(AND(C2051 &gt; 10, C2051 &lt; 22.5), AND(C2051 &gt;= 22.5, C2051 &lt; 35)), "Fuzzy", "")</f>
        <v>Fuzzy</v>
      </c>
      <c r="P2051" t="str">
        <f t="shared" ref="P2051:P2114" si="202">IF(OR(AND(M2051 &gt;= 0, M2051 &lt; 50), AND(M2051 &gt;= 50, M2051 &lt; 100)), "Fuzzy", "")</f>
        <v>Fuzzy</v>
      </c>
    </row>
    <row r="2052" spans="1:16" x14ac:dyDescent="0.35">
      <c r="A2052" t="s">
        <v>2055</v>
      </c>
      <c r="B2052">
        <v>6265</v>
      </c>
      <c r="C2052">
        <v>28</v>
      </c>
      <c r="D2052">
        <v>72</v>
      </c>
      <c r="E2052">
        <v>452</v>
      </c>
      <c r="F2052">
        <v>4</v>
      </c>
      <c r="K2052" s="1">
        <f t="shared" si="197"/>
        <v>452</v>
      </c>
      <c r="L2052" s="1" t="str">
        <f t="shared" si="198"/>
        <v>Normal</v>
      </c>
      <c r="M2052" s="2">
        <f t="shared" si="199"/>
        <v>38</v>
      </c>
      <c r="N2052" s="1" t="str">
        <f t="shared" si="200"/>
        <v>Lembab</v>
      </c>
      <c r="O2052" t="str">
        <f t="shared" si="201"/>
        <v>Fuzzy</v>
      </c>
      <c r="P2052" t="str">
        <f t="shared" si="202"/>
        <v>Fuzzy</v>
      </c>
    </row>
    <row r="2053" spans="1:16" x14ac:dyDescent="0.35">
      <c r="A2053" t="s">
        <v>2056</v>
      </c>
      <c r="B2053">
        <v>6266</v>
      </c>
      <c r="C2053">
        <v>28</v>
      </c>
      <c r="D2053">
        <v>71</v>
      </c>
      <c r="E2053">
        <v>362</v>
      </c>
      <c r="F2053">
        <v>5</v>
      </c>
      <c r="K2053" s="1">
        <f t="shared" si="197"/>
        <v>362</v>
      </c>
      <c r="L2053" s="1" t="str">
        <f t="shared" si="198"/>
        <v>Normal</v>
      </c>
      <c r="M2053" s="2">
        <f t="shared" si="199"/>
        <v>15.5</v>
      </c>
      <c r="N2053" s="1" t="str">
        <f t="shared" si="200"/>
        <v>Kering</v>
      </c>
      <c r="O2053" t="str">
        <f t="shared" si="201"/>
        <v>Fuzzy</v>
      </c>
      <c r="P2053" t="str">
        <f t="shared" si="202"/>
        <v>Fuzzy</v>
      </c>
    </row>
    <row r="2054" spans="1:16" x14ac:dyDescent="0.35">
      <c r="A2054" t="s">
        <v>2057</v>
      </c>
      <c r="B2054">
        <v>6267</v>
      </c>
      <c r="C2054">
        <v>28</v>
      </c>
      <c r="D2054">
        <v>70</v>
      </c>
      <c r="E2054">
        <v>405</v>
      </c>
      <c r="F2054">
        <v>4</v>
      </c>
      <c r="K2054" s="1">
        <f t="shared" si="197"/>
        <v>405</v>
      </c>
      <c r="L2054" s="1" t="str">
        <f t="shared" si="198"/>
        <v>Normal</v>
      </c>
      <c r="M2054" s="2">
        <f t="shared" si="199"/>
        <v>26.25</v>
      </c>
      <c r="N2054" s="1" t="str">
        <f t="shared" si="200"/>
        <v>Kering</v>
      </c>
      <c r="O2054" t="str">
        <f t="shared" si="201"/>
        <v>Fuzzy</v>
      </c>
      <c r="P2054" t="str">
        <f t="shared" si="202"/>
        <v>Fuzzy</v>
      </c>
    </row>
    <row r="2055" spans="1:16" x14ac:dyDescent="0.35">
      <c r="A2055" t="s">
        <v>2058</v>
      </c>
      <c r="B2055">
        <v>6268</v>
      </c>
      <c r="C2055">
        <v>28</v>
      </c>
      <c r="D2055">
        <v>69</v>
      </c>
      <c r="E2055">
        <v>294</v>
      </c>
      <c r="F2055">
        <v>4</v>
      </c>
      <c r="K2055" s="1">
        <f t="shared" si="197"/>
        <v>294</v>
      </c>
      <c r="L2055" s="1" t="str">
        <f t="shared" si="198"/>
        <v>Normal</v>
      </c>
      <c r="M2055" s="2">
        <f t="shared" si="199"/>
        <v>28.739002932551323</v>
      </c>
      <c r="N2055" s="1" t="str">
        <f t="shared" si="200"/>
        <v>Kering</v>
      </c>
      <c r="O2055" t="str">
        <f t="shared" si="201"/>
        <v>Fuzzy</v>
      </c>
      <c r="P2055" t="str">
        <f t="shared" si="202"/>
        <v>Fuzzy</v>
      </c>
    </row>
    <row r="2056" spans="1:16" x14ac:dyDescent="0.35">
      <c r="A2056" t="s">
        <v>2059</v>
      </c>
      <c r="B2056">
        <v>6269</v>
      </c>
      <c r="C2056">
        <v>28</v>
      </c>
      <c r="D2056">
        <v>70</v>
      </c>
      <c r="E2056">
        <v>519</v>
      </c>
      <c r="F2056">
        <v>4</v>
      </c>
      <c r="K2056" s="1">
        <f t="shared" si="197"/>
        <v>519</v>
      </c>
      <c r="L2056" s="1" t="str">
        <f t="shared" si="198"/>
        <v>Normal</v>
      </c>
      <c r="M2056" s="2">
        <f t="shared" si="199"/>
        <v>54.75</v>
      </c>
      <c r="N2056" s="1" t="str">
        <f t="shared" si="200"/>
        <v>Lembab</v>
      </c>
      <c r="O2056" t="str">
        <f t="shared" si="201"/>
        <v>Fuzzy</v>
      </c>
      <c r="P2056" t="str">
        <f t="shared" si="202"/>
        <v>Fuzzy</v>
      </c>
    </row>
    <row r="2057" spans="1:16" x14ac:dyDescent="0.35">
      <c r="A2057" t="s">
        <v>2060</v>
      </c>
      <c r="B2057">
        <v>6270</v>
      </c>
      <c r="C2057">
        <v>28</v>
      </c>
      <c r="D2057">
        <v>70</v>
      </c>
      <c r="E2057">
        <v>412</v>
      </c>
      <c r="F2057">
        <v>4</v>
      </c>
      <c r="K2057" s="1">
        <f t="shared" si="197"/>
        <v>412</v>
      </c>
      <c r="L2057" s="1" t="str">
        <f t="shared" si="198"/>
        <v>Normal</v>
      </c>
      <c r="M2057" s="2">
        <f t="shared" si="199"/>
        <v>28.000000000000004</v>
      </c>
      <c r="N2057" s="1" t="str">
        <f t="shared" si="200"/>
        <v>Kering</v>
      </c>
      <c r="O2057" t="str">
        <f t="shared" si="201"/>
        <v>Fuzzy</v>
      </c>
      <c r="P2057" t="str">
        <f t="shared" si="202"/>
        <v>Fuzzy</v>
      </c>
    </row>
    <row r="2058" spans="1:16" x14ac:dyDescent="0.35">
      <c r="A2058" t="s">
        <v>2061</v>
      </c>
      <c r="B2058">
        <v>6271</v>
      </c>
      <c r="C2058">
        <v>28</v>
      </c>
      <c r="D2058">
        <v>71</v>
      </c>
      <c r="E2058">
        <v>368</v>
      </c>
      <c r="F2058">
        <v>4</v>
      </c>
      <c r="K2058" s="1">
        <f t="shared" si="197"/>
        <v>368</v>
      </c>
      <c r="L2058" s="1" t="str">
        <f t="shared" si="198"/>
        <v>Normal</v>
      </c>
      <c r="M2058" s="2">
        <f t="shared" si="199"/>
        <v>17</v>
      </c>
      <c r="N2058" s="1" t="str">
        <f t="shared" si="200"/>
        <v>Kering</v>
      </c>
      <c r="O2058" t="str">
        <f t="shared" si="201"/>
        <v>Fuzzy</v>
      </c>
      <c r="P2058" t="str">
        <f t="shared" si="202"/>
        <v>Fuzzy</v>
      </c>
    </row>
    <row r="2059" spans="1:16" x14ac:dyDescent="0.35">
      <c r="A2059" t="s">
        <v>2062</v>
      </c>
      <c r="B2059">
        <v>6272</v>
      </c>
      <c r="C2059">
        <v>28</v>
      </c>
      <c r="D2059">
        <v>71</v>
      </c>
      <c r="E2059">
        <v>397</v>
      </c>
      <c r="F2059">
        <v>4</v>
      </c>
      <c r="K2059" s="1">
        <f t="shared" si="197"/>
        <v>397</v>
      </c>
      <c r="L2059" s="1" t="str">
        <f t="shared" si="198"/>
        <v>Normal</v>
      </c>
      <c r="M2059" s="2">
        <f t="shared" si="199"/>
        <v>24.25</v>
      </c>
      <c r="N2059" s="1" t="str">
        <f t="shared" si="200"/>
        <v>Kering</v>
      </c>
      <c r="O2059" t="str">
        <f t="shared" si="201"/>
        <v>Fuzzy</v>
      </c>
      <c r="P2059" t="str">
        <f t="shared" si="202"/>
        <v>Fuzzy</v>
      </c>
    </row>
    <row r="2060" spans="1:16" x14ac:dyDescent="0.35">
      <c r="A2060" t="s">
        <v>2063</v>
      </c>
      <c r="B2060">
        <v>6273</v>
      </c>
      <c r="C2060">
        <v>28</v>
      </c>
      <c r="D2060">
        <v>71</v>
      </c>
      <c r="E2060">
        <v>402</v>
      </c>
      <c r="F2060">
        <v>4</v>
      </c>
      <c r="K2060" s="1">
        <f t="shared" si="197"/>
        <v>402</v>
      </c>
      <c r="L2060" s="1" t="str">
        <f t="shared" si="198"/>
        <v>Normal</v>
      </c>
      <c r="M2060" s="2">
        <f t="shared" si="199"/>
        <v>25.5</v>
      </c>
      <c r="N2060" s="1" t="str">
        <f t="shared" si="200"/>
        <v>Kering</v>
      </c>
      <c r="O2060" t="str">
        <f t="shared" si="201"/>
        <v>Fuzzy</v>
      </c>
      <c r="P2060" t="str">
        <f t="shared" si="202"/>
        <v>Fuzzy</v>
      </c>
    </row>
    <row r="2061" spans="1:16" x14ac:dyDescent="0.35">
      <c r="A2061" t="s">
        <v>2064</v>
      </c>
      <c r="B2061">
        <v>6274</v>
      </c>
      <c r="C2061">
        <v>28</v>
      </c>
      <c r="D2061">
        <v>71</v>
      </c>
      <c r="E2061">
        <v>688</v>
      </c>
      <c r="F2061">
        <v>5</v>
      </c>
      <c r="K2061" s="1">
        <f t="shared" ref="K2061:K2124" si="203">IF(E2061&lt;=1023, E2061, "")</f>
        <v>688</v>
      </c>
      <c r="L2061" s="1" t="str">
        <f t="shared" si="198"/>
        <v>Normal</v>
      </c>
      <c r="M2061" s="2">
        <f t="shared" si="199"/>
        <v>97</v>
      </c>
      <c r="N2061" s="1" t="str">
        <f t="shared" si="200"/>
        <v>Basah</v>
      </c>
      <c r="O2061" t="str">
        <f t="shared" si="201"/>
        <v>Fuzzy</v>
      </c>
      <c r="P2061" t="str">
        <f t="shared" si="202"/>
        <v>Fuzzy</v>
      </c>
    </row>
    <row r="2062" spans="1:16" x14ac:dyDescent="0.35">
      <c r="A2062" t="s">
        <v>2065</v>
      </c>
      <c r="B2062">
        <v>6275</v>
      </c>
      <c r="C2062">
        <v>28</v>
      </c>
      <c r="D2062">
        <v>71</v>
      </c>
      <c r="E2062">
        <v>480</v>
      </c>
      <c r="F2062">
        <v>4</v>
      </c>
      <c r="K2062" s="1">
        <f t="shared" si="203"/>
        <v>480</v>
      </c>
      <c r="L2062" s="1" t="str">
        <f t="shared" si="198"/>
        <v>Normal</v>
      </c>
      <c r="M2062" s="2">
        <f t="shared" si="199"/>
        <v>45</v>
      </c>
      <c r="N2062" s="1" t="str">
        <f t="shared" si="200"/>
        <v>Lembab</v>
      </c>
      <c r="O2062" t="str">
        <f t="shared" si="201"/>
        <v>Fuzzy</v>
      </c>
      <c r="P2062" t="str">
        <f t="shared" si="202"/>
        <v>Fuzzy</v>
      </c>
    </row>
    <row r="2063" spans="1:16" x14ac:dyDescent="0.35">
      <c r="A2063" t="s">
        <v>2066</v>
      </c>
      <c r="B2063">
        <v>6276</v>
      </c>
      <c r="C2063">
        <v>28</v>
      </c>
      <c r="D2063">
        <v>71</v>
      </c>
      <c r="E2063">
        <v>408</v>
      </c>
      <c r="F2063">
        <v>3</v>
      </c>
      <c r="K2063" s="1">
        <f t="shared" si="203"/>
        <v>408</v>
      </c>
      <c r="L2063" s="1" t="str">
        <f t="shared" si="198"/>
        <v>Normal</v>
      </c>
      <c r="M2063" s="2">
        <f t="shared" si="199"/>
        <v>27</v>
      </c>
      <c r="N2063" s="1" t="str">
        <f t="shared" si="200"/>
        <v>Kering</v>
      </c>
      <c r="O2063" t="str">
        <f t="shared" si="201"/>
        <v>Fuzzy</v>
      </c>
      <c r="P2063" t="str">
        <f t="shared" si="202"/>
        <v>Fuzzy</v>
      </c>
    </row>
    <row r="2064" spans="1:16" x14ac:dyDescent="0.35">
      <c r="A2064" t="s">
        <v>2067</v>
      </c>
      <c r="B2064">
        <v>6277</v>
      </c>
      <c r="C2064">
        <v>28</v>
      </c>
      <c r="D2064">
        <v>72</v>
      </c>
      <c r="E2064">
        <v>636</v>
      </c>
      <c r="F2064">
        <v>4</v>
      </c>
      <c r="K2064" s="1">
        <f t="shared" si="203"/>
        <v>636</v>
      </c>
      <c r="L2064" s="1" t="str">
        <f t="shared" si="198"/>
        <v>Normal</v>
      </c>
      <c r="M2064" s="2">
        <f t="shared" si="199"/>
        <v>84</v>
      </c>
      <c r="N2064" s="1" t="str">
        <f t="shared" si="200"/>
        <v>Basah</v>
      </c>
      <c r="O2064" t="str">
        <f t="shared" si="201"/>
        <v>Fuzzy</v>
      </c>
      <c r="P2064" t="str">
        <f t="shared" si="202"/>
        <v>Fuzzy</v>
      </c>
    </row>
    <row r="2065" spans="1:16" x14ac:dyDescent="0.35">
      <c r="A2065" t="s">
        <v>2068</v>
      </c>
      <c r="B2065">
        <v>6278</v>
      </c>
      <c r="C2065">
        <v>28</v>
      </c>
      <c r="D2065">
        <v>71</v>
      </c>
      <c r="E2065">
        <v>454</v>
      </c>
      <c r="F2065">
        <v>4</v>
      </c>
      <c r="K2065" s="1">
        <f t="shared" si="203"/>
        <v>454</v>
      </c>
      <c r="L2065" s="1" t="str">
        <f t="shared" si="198"/>
        <v>Normal</v>
      </c>
      <c r="M2065" s="2">
        <f t="shared" si="199"/>
        <v>38.5</v>
      </c>
      <c r="N2065" s="1" t="str">
        <f t="shared" si="200"/>
        <v>Lembab</v>
      </c>
      <c r="O2065" t="str">
        <f t="shared" si="201"/>
        <v>Fuzzy</v>
      </c>
      <c r="P2065" t="str">
        <f t="shared" si="202"/>
        <v>Fuzzy</v>
      </c>
    </row>
    <row r="2066" spans="1:16" x14ac:dyDescent="0.35">
      <c r="A2066" t="s">
        <v>2069</v>
      </c>
      <c r="B2066">
        <v>6279</v>
      </c>
      <c r="C2066">
        <v>28</v>
      </c>
      <c r="D2066">
        <v>72</v>
      </c>
      <c r="E2066">
        <v>451</v>
      </c>
      <c r="F2066">
        <v>4</v>
      </c>
      <c r="K2066" s="1">
        <f t="shared" si="203"/>
        <v>451</v>
      </c>
      <c r="L2066" s="1" t="str">
        <f t="shared" si="198"/>
        <v>Normal</v>
      </c>
      <c r="M2066" s="2">
        <f t="shared" si="199"/>
        <v>37.75</v>
      </c>
      <c r="N2066" s="1" t="str">
        <f t="shared" si="200"/>
        <v>Lembab</v>
      </c>
      <c r="O2066" t="str">
        <f t="shared" si="201"/>
        <v>Fuzzy</v>
      </c>
      <c r="P2066" t="str">
        <f t="shared" si="202"/>
        <v>Fuzzy</v>
      </c>
    </row>
    <row r="2067" spans="1:16" x14ac:dyDescent="0.35">
      <c r="A2067" t="s">
        <v>2070</v>
      </c>
      <c r="B2067">
        <v>6280</v>
      </c>
      <c r="C2067">
        <v>28</v>
      </c>
      <c r="D2067">
        <v>72</v>
      </c>
      <c r="E2067">
        <v>464</v>
      </c>
      <c r="F2067">
        <v>4</v>
      </c>
      <c r="K2067" s="1">
        <f t="shared" si="203"/>
        <v>464</v>
      </c>
      <c r="L2067" s="1" t="str">
        <f t="shared" si="198"/>
        <v>Normal</v>
      </c>
      <c r="M2067" s="2">
        <f t="shared" si="199"/>
        <v>41</v>
      </c>
      <c r="N2067" s="1" t="str">
        <f t="shared" si="200"/>
        <v>Lembab</v>
      </c>
      <c r="O2067" t="str">
        <f t="shared" si="201"/>
        <v>Fuzzy</v>
      </c>
      <c r="P2067" t="str">
        <f t="shared" si="202"/>
        <v>Fuzzy</v>
      </c>
    </row>
    <row r="2068" spans="1:16" x14ac:dyDescent="0.35">
      <c r="A2068" t="s">
        <v>2071</v>
      </c>
      <c r="B2068">
        <v>6281</v>
      </c>
      <c r="C2068">
        <v>28</v>
      </c>
      <c r="D2068">
        <v>72</v>
      </c>
      <c r="E2068">
        <v>468</v>
      </c>
      <c r="F2068">
        <v>4</v>
      </c>
      <c r="K2068" s="1">
        <f t="shared" si="203"/>
        <v>468</v>
      </c>
      <c r="L2068" s="1" t="str">
        <f t="shared" si="198"/>
        <v>Normal</v>
      </c>
      <c r="M2068" s="2">
        <f t="shared" si="199"/>
        <v>42</v>
      </c>
      <c r="N2068" s="1" t="str">
        <f t="shared" si="200"/>
        <v>Lembab</v>
      </c>
      <c r="O2068" t="str">
        <f t="shared" si="201"/>
        <v>Fuzzy</v>
      </c>
      <c r="P2068" t="str">
        <f t="shared" si="202"/>
        <v>Fuzzy</v>
      </c>
    </row>
    <row r="2069" spans="1:16" x14ac:dyDescent="0.35">
      <c r="A2069" t="s">
        <v>2072</v>
      </c>
      <c r="B2069">
        <v>6282</v>
      </c>
      <c r="C2069">
        <v>28</v>
      </c>
      <c r="D2069">
        <v>72</v>
      </c>
      <c r="E2069">
        <v>531</v>
      </c>
      <c r="F2069">
        <v>3</v>
      </c>
      <c r="K2069" s="1">
        <f t="shared" si="203"/>
        <v>531</v>
      </c>
      <c r="L2069" s="1" t="str">
        <f t="shared" si="198"/>
        <v>Normal</v>
      </c>
      <c r="M2069" s="2">
        <f t="shared" si="199"/>
        <v>57.75</v>
      </c>
      <c r="N2069" s="1" t="str">
        <f t="shared" si="200"/>
        <v>Lembab</v>
      </c>
      <c r="O2069" t="str">
        <f t="shared" si="201"/>
        <v>Fuzzy</v>
      </c>
      <c r="P2069" t="str">
        <f t="shared" si="202"/>
        <v>Fuzzy</v>
      </c>
    </row>
    <row r="2070" spans="1:16" x14ac:dyDescent="0.35">
      <c r="A2070" t="s">
        <v>2073</v>
      </c>
      <c r="B2070">
        <v>6283</v>
      </c>
      <c r="C2070">
        <v>28</v>
      </c>
      <c r="D2070">
        <v>72</v>
      </c>
      <c r="E2070">
        <v>436</v>
      </c>
      <c r="F2070">
        <v>4</v>
      </c>
      <c r="K2070" s="1">
        <f t="shared" si="203"/>
        <v>436</v>
      </c>
      <c r="L2070" s="1" t="str">
        <f t="shared" si="198"/>
        <v>Normal</v>
      </c>
      <c r="M2070" s="2">
        <f t="shared" si="199"/>
        <v>34</v>
      </c>
      <c r="N2070" s="1" t="str">
        <f t="shared" si="200"/>
        <v>Lembab</v>
      </c>
      <c r="O2070" t="str">
        <f t="shared" si="201"/>
        <v>Fuzzy</v>
      </c>
      <c r="P2070" t="str">
        <f t="shared" si="202"/>
        <v>Fuzzy</v>
      </c>
    </row>
    <row r="2071" spans="1:16" x14ac:dyDescent="0.35">
      <c r="A2071" t="s">
        <v>2074</v>
      </c>
      <c r="B2071">
        <v>6284</v>
      </c>
      <c r="C2071">
        <v>28</v>
      </c>
      <c r="D2071">
        <v>72</v>
      </c>
      <c r="E2071">
        <v>443</v>
      </c>
      <c r="F2071">
        <v>5</v>
      </c>
      <c r="K2071" s="1">
        <f t="shared" si="203"/>
        <v>443</v>
      </c>
      <c r="L2071" s="1" t="str">
        <f t="shared" si="198"/>
        <v>Normal</v>
      </c>
      <c r="M2071" s="2">
        <f t="shared" si="199"/>
        <v>35.75</v>
      </c>
      <c r="N2071" s="1" t="str">
        <f t="shared" si="200"/>
        <v>Lembab</v>
      </c>
      <c r="O2071" t="str">
        <f t="shared" si="201"/>
        <v>Fuzzy</v>
      </c>
      <c r="P2071" t="str">
        <f t="shared" si="202"/>
        <v>Fuzzy</v>
      </c>
    </row>
    <row r="2072" spans="1:16" x14ac:dyDescent="0.35">
      <c r="A2072" t="s">
        <v>2075</v>
      </c>
      <c r="B2072">
        <v>6285</v>
      </c>
      <c r="C2072">
        <v>28</v>
      </c>
      <c r="D2072">
        <v>72</v>
      </c>
      <c r="E2072">
        <v>393</v>
      </c>
      <c r="F2072">
        <v>5</v>
      </c>
      <c r="K2072" s="1">
        <f t="shared" si="203"/>
        <v>393</v>
      </c>
      <c r="L2072" s="1" t="str">
        <f t="shared" si="198"/>
        <v>Normal</v>
      </c>
      <c r="M2072" s="2">
        <f t="shared" si="199"/>
        <v>23.25</v>
      </c>
      <c r="N2072" s="1" t="str">
        <f t="shared" si="200"/>
        <v>Kering</v>
      </c>
      <c r="O2072" t="str">
        <f t="shared" si="201"/>
        <v>Fuzzy</v>
      </c>
      <c r="P2072" t="str">
        <f t="shared" si="202"/>
        <v>Fuzzy</v>
      </c>
    </row>
    <row r="2073" spans="1:16" x14ac:dyDescent="0.35">
      <c r="A2073" t="s">
        <v>2076</v>
      </c>
      <c r="B2073">
        <v>6286</v>
      </c>
      <c r="C2073">
        <v>28</v>
      </c>
      <c r="D2073">
        <v>71</v>
      </c>
      <c r="E2073">
        <v>458</v>
      </c>
      <c r="F2073">
        <v>5</v>
      </c>
      <c r="K2073" s="1">
        <f t="shared" si="203"/>
        <v>458</v>
      </c>
      <c r="L2073" s="1" t="str">
        <f t="shared" si="198"/>
        <v>Normal</v>
      </c>
      <c r="M2073" s="2">
        <f t="shared" si="199"/>
        <v>39.5</v>
      </c>
      <c r="N2073" s="1" t="str">
        <f t="shared" si="200"/>
        <v>Lembab</v>
      </c>
      <c r="O2073" t="str">
        <f t="shared" si="201"/>
        <v>Fuzzy</v>
      </c>
      <c r="P2073" t="str">
        <f t="shared" si="202"/>
        <v>Fuzzy</v>
      </c>
    </row>
    <row r="2074" spans="1:16" x14ac:dyDescent="0.35">
      <c r="A2074" t="s">
        <v>2077</v>
      </c>
      <c r="B2074">
        <v>6287</v>
      </c>
      <c r="C2074">
        <v>28</v>
      </c>
      <c r="D2074">
        <v>71</v>
      </c>
      <c r="E2074">
        <v>269</v>
      </c>
      <c r="F2074">
        <v>5</v>
      </c>
      <c r="K2074" s="1">
        <f t="shared" si="203"/>
        <v>269</v>
      </c>
      <c r="L2074" s="1" t="str">
        <f t="shared" si="198"/>
        <v>Normal</v>
      </c>
      <c r="M2074" s="2">
        <f t="shared" si="199"/>
        <v>26.295210166177906</v>
      </c>
      <c r="N2074" s="1" t="str">
        <f t="shared" si="200"/>
        <v>Kering</v>
      </c>
      <c r="O2074" t="str">
        <f t="shared" si="201"/>
        <v>Fuzzy</v>
      </c>
      <c r="P2074" t="str">
        <f t="shared" si="202"/>
        <v>Fuzzy</v>
      </c>
    </row>
    <row r="2075" spans="1:16" x14ac:dyDescent="0.35">
      <c r="A2075" t="s">
        <v>2078</v>
      </c>
      <c r="B2075">
        <v>6288</v>
      </c>
      <c r="C2075">
        <v>28</v>
      </c>
      <c r="D2075">
        <v>71</v>
      </c>
      <c r="E2075">
        <v>418</v>
      </c>
      <c r="F2075">
        <v>4</v>
      </c>
      <c r="K2075" s="1">
        <f t="shared" si="203"/>
        <v>418</v>
      </c>
      <c r="L2075" s="1" t="str">
        <f t="shared" si="198"/>
        <v>Normal</v>
      </c>
      <c r="M2075" s="2">
        <f t="shared" si="199"/>
        <v>29.5</v>
      </c>
      <c r="N2075" s="1" t="str">
        <f t="shared" si="200"/>
        <v>Lembab</v>
      </c>
      <c r="O2075" t="str">
        <f t="shared" si="201"/>
        <v>Fuzzy</v>
      </c>
      <c r="P2075" t="str">
        <f t="shared" si="202"/>
        <v>Fuzzy</v>
      </c>
    </row>
    <row r="2076" spans="1:16" x14ac:dyDescent="0.35">
      <c r="A2076" t="s">
        <v>2079</v>
      </c>
      <c r="B2076">
        <v>6289</v>
      </c>
      <c r="C2076">
        <v>28</v>
      </c>
      <c r="D2076">
        <v>71</v>
      </c>
      <c r="E2076">
        <v>406</v>
      </c>
      <c r="F2076">
        <v>5</v>
      </c>
      <c r="K2076" s="1">
        <f t="shared" si="203"/>
        <v>406</v>
      </c>
      <c r="L2076" s="1" t="str">
        <f t="shared" si="198"/>
        <v>Normal</v>
      </c>
      <c r="M2076" s="2">
        <f t="shared" si="199"/>
        <v>26.5</v>
      </c>
      <c r="N2076" s="1" t="str">
        <f t="shared" si="200"/>
        <v>Kering</v>
      </c>
      <c r="O2076" t="str">
        <f t="shared" si="201"/>
        <v>Fuzzy</v>
      </c>
      <c r="P2076" t="str">
        <f t="shared" si="202"/>
        <v>Fuzzy</v>
      </c>
    </row>
    <row r="2077" spans="1:16" x14ac:dyDescent="0.35">
      <c r="A2077" t="s">
        <v>2080</v>
      </c>
      <c r="B2077">
        <v>6290</v>
      </c>
      <c r="C2077">
        <v>28</v>
      </c>
      <c r="D2077">
        <v>71</v>
      </c>
      <c r="E2077">
        <v>453</v>
      </c>
      <c r="F2077">
        <v>6</v>
      </c>
      <c r="K2077" s="1">
        <f t="shared" si="203"/>
        <v>453</v>
      </c>
      <c r="L2077" s="1" t="str">
        <f t="shared" si="198"/>
        <v>Normal</v>
      </c>
      <c r="M2077" s="2">
        <f t="shared" si="199"/>
        <v>38.25</v>
      </c>
      <c r="N2077" s="1" t="str">
        <f t="shared" si="200"/>
        <v>Lembab</v>
      </c>
      <c r="O2077" t="str">
        <f t="shared" si="201"/>
        <v>Fuzzy</v>
      </c>
      <c r="P2077" t="str">
        <f t="shared" si="202"/>
        <v>Fuzzy</v>
      </c>
    </row>
    <row r="2078" spans="1:16" x14ac:dyDescent="0.35">
      <c r="A2078" t="s">
        <v>2081</v>
      </c>
      <c r="B2078">
        <v>6291</v>
      </c>
      <c r="C2078">
        <v>28</v>
      </c>
      <c r="D2078">
        <v>71</v>
      </c>
      <c r="E2078">
        <v>404</v>
      </c>
      <c r="F2078">
        <v>5</v>
      </c>
      <c r="K2078" s="1">
        <f t="shared" si="203"/>
        <v>404</v>
      </c>
      <c r="L2078" s="1" t="str">
        <f t="shared" si="198"/>
        <v>Normal</v>
      </c>
      <c r="M2078" s="2">
        <f t="shared" si="199"/>
        <v>26</v>
      </c>
      <c r="N2078" s="1" t="str">
        <f t="shared" si="200"/>
        <v>Kering</v>
      </c>
      <c r="O2078" t="str">
        <f t="shared" si="201"/>
        <v>Fuzzy</v>
      </c>
      <c r="P2078" t="str">
        <f t="shared" si="202"/>
        <v>Fuzzy</v>
      </c>
    </row>
    <row r="2079" spans="1:16" x14ac:dyDescent="0.35">
      <c r="A2079" t="s">
        <v>2082</v>
      </c>
      <c r="B2079">
        <v>6292</v>
      </c>
      <c r="C2079">
        <v>28</v>
      </c>
      <c r="D2079">
        <v>70</v>
      </c>
      <c r="E2079">
        <v>476</v>
      </c>
      <c r="F2079">
        <v>4</v>
      </c>
      <c r="K2079" s="1">
        <f t="shared" si="203"/>
        <v>476</v>
      </c>
      <c r="L2079" s="1" t="str">
        <f t="shared" si="198"/>
        <v>Normal</v>
      </c>
      <c r="M2079" s="2">
        <f t="shared" si="199"/>
        <v>44</v>
      </c>
      <c r="N2079" s="1" t="str">
        <f t="shared" si="200"/>
        <v>Lembab</v>
      </c>
      <c r="O2079" t="str">
        <f t="shared" si="201"/>
        <v>Fuzzy</v>
      </c>
      <c r="P2079" t="str">
        <f t="shared" si="202"/>
        <v>Fuzzy</v>
      </c>
    </row>
    <row r="2080" spans="1:16" x14ac:dyDescent="0.35">
      <c r="A2080" t="s">
        <v>2083</v>
      </c>
      <c r="B2080">
        <v>6293</v>
      </c>
      <c r="C2080">
        <v>28</v>
      </c>
      <c r="D2080">
        <v>69</v>
      </c>
      <c r="E2080">
        <v>459</v>
      </c>
      <c r="F2080">
        <v>4</v>
      </c>
      <c r="K2080" s="1">
        <f t="shared" si="203"/>
        <v>459</v>
      </c>
      <c r="L2080" s="1" t="str">
        <f t="shared" si="198"/>
        <v>Normal</v>
      </c>
      <c r="M2080" s="2">
        <f t="shared" si="199"/>
        <v>39.75</v>
      </c>
      <c r="N2080" s="1" t="str">
        <f t="shared" si="200"/>
        <v>Lembab</v>
      </c>
      <c r="O2080" t="str">
        <f t="shared" si="201"/>
        <v>Fuzzy</v>
      </c>
      <c r="P2080" t="str">
        <f t="shared" si="202"/>
        <v>Fuzzy</v>
      </c>
    </row>
    <row r="2081" spans="1:16" x14ac:dyDescent="0.35">
      <c r="A2081" t="s">
        <v>2084</v>
      </c>
      <c r="B2081">
        <v>6294</v>
      </c>
      <c r="C2081">
        <v>28</v>
      </c>
      <c r="D2081">
        <v>69</v>
      </c>
      <c r="E2081">
        <v>494</v>
      </c>
      <c r="F2081">
        <v>4</v>
      </c>
      <c r="K2081" s="1">
        <f t="shared" si="203"/>
        <v>494</v>
      </c>
      <c r="L2081" s="1" t="str">
        <f t="shared" si="198"/>
        <v>Normal</v>
      </c>
      <c r="M2081" s="2">
        <f t="shared" si="199"/>
        <v>48.5</v>
      </c>
      <c r="N2081" s="1" t="str">
        <f t="shared" si="200"/>
        <v>Lembab</v>
      </c>
      <c r="O2081" t="str">
        <f t="shared" si="201"/>
        <v>Fuzzy</v>
      </c>
      <c r="P2081" t="str">
        <f t="shared" si="202"/>
        <v>Fuzzy</v>
      </c>
    </row>
    <row r="2082" spans="1:16" x14ac:dyDescent="0.35">
      <c r="A2082" t="s">
        <v>2085</v>
      </c>
      <c r="B2082">
        <v>6295</v>
      </c>
      <c r="C2082">
        <v>28</v>
      </c>
      <c r="D2082">
        <v>70</v>
      </c>
      <c r="E2082">
        <v>403</v>
      </c>
      <c r="F2082">
        <v>4</v>
      </c>
      <c r="K2082" s="1">
        <f t="shared" si="203"/>
        <v>403</v>
      </c>
      <c r="L2082" s="1" t="str">
        <f t="shared" si="198"/>
        <v>Normal</v>
      </c>
      <c r="M2082" s="2">
        <f t="shared" si="199"/>
        <v>25.75</v>
      </c>
      <c r="N2082" s="1" t="str">
        <f t="shared" si="200"/>
        <v>Kering</v>
      </c>
      <c r="O2082" t="str">
        <f t="shared" si="201"/>
        <v>Fuzzy</v>
      </c>
      <c r="P2082" t="str">
        <f t="shared" si="202"/>
        <v>Fuzzy</v>
      </c>
    </row>
    <row r="2083" spans="1:16" x14ac:dyDescent="0.35">
      <c r="A2083" t="s">
        <v>2086</v>
      </c>
      <c r="B2083">
        <v>6296</v>
      </c>
      <c r="C2083">
        <v>28</v>
      </c>
      <c r="D2083">
        <v>70</v>
      </c>
      <c r="E2083">
        <v>427</v>
      </c>
      <c r="F2083">
        <v>5</v>
      </c>
      <c r="K2083" s="1">
        <f t="shared" si="203"/>
        <v>427</v>
      </c>
      <c r="L2083" s="1" t="str">
        <f t="shared" si="198"/>
        <v>Normal</v>
      </c>
      <c r="M2083" s="2">
        <f t="shared" si="199"/>
        <v>31.75</v>
      </c>
      <c r="N2083" s="1" t="str">
        <f t="shared" si="200"/>
        <v>Lembab</v>
      </c>
      <c r="O2083" t="str">
        <f t="shared" si="201"/>
        <v>Fuzzy</v>
      </c>
      <c r="P2083" t="str">
        <f t="shared" si="202"/>
        <v>Fuzzy</v>
      </c>
    </row>
    <row r="2084" spans="1:16" x14ac:dyDescent="0.35">
      <c r="A2084" t="s">
        <v>2087</v>
      </c>
      <c r="B2084">
        <v>6297</v>
      </c>
      <c r="C2084">
        <v>28</v>
      </c>
      <c r="D2084">
        <v>70</v>
      </c>
      <c r="E2084">
        <v>435</v>
      </c>
      <c r="F2084">
        <v>5</v>
      </c>
      <c r="K2084" s="1">
        <f t="shared" si="203"/>
        <v>435</v>
      </c>
      <c r="L2084" s="1" t="str">
        <f t="shared" si="198"/>
        <v>Normal</v>
      </c>
      <c r="M2084" s="2">
        <f t="shared" si="199"/>
        <v>33.75</v>
      </c>
      <c r="N2084" s="1" t="str">
        <f t="shared" si="200"/>
        <v>Lembab</v>
      </c>
      <c r="O2084" t="str">
        <f t="shared" si="201"/>
        <v>Fuzzy</v>
      </c>
      <c r="P2084" t="str">
        <f t="shared" si="202"/>
        <v>Fuzzy</v>
      </c>
    </row>
    <row r="2085" spans="1:16" x14ac:dyDescent="0.35">
      <c r="A2085" t="s">
        <v>2088</v>
      </c>
      <c r="B2085">
        <v>6298</v>
      </c>
      <c r="C2085">
        <v>28</v>
      </c>
      <c r="D2085">
        <v>71</v>
      </c>
      <c r="E2085">
        <v>478</v>
      </c>
      <c r="F2085">
        <v>4</v>
      </c>
      <c r="K2085" s="1">
        <f t="shared" si="203"/>
        <v>478</v>
      </c>
      <c r="L2085" s="1" t="str">
        <f t="shared" si="198"/>
        <v>Normal</v>
      </c>
      <c r="M2085" s="2">
        <f t="shared" si="199"/>
        <v>44.5</v>
      </c>
      <c r="N2085" s="1" t="str">
        <f t="shared" si="200"/>
        <v>Lembab</v>
      </c>
      <c r="O2085" t="str">
        <f t="shared" si="201"/>
        <v>Fuzzy</v>
      </c>
      <c r="P2085" t="str">
        <f t="shared" si="202"/>
        <v>Fuzzy</v>
      </c>
    </row>
    <row r="2086" spans="1:16" x14ac:dyDescent="0.35">
      <c r="A2086" t="s">
        <v>2089</v>
      </c>
      <c r="B2086">
        <v>6299</v>
      </c>
      <c r="C2086">
        <v>28</v>
      </c>
      <c r="D2086">
        <v>70</v>
      </c>
      <c r="E2086">
        <v>429</v>
      </c>
      <c r="F2086">
        <v>3</v>
      </c>
      <c r="K2086" s="1">
        <f t="shared" si="203"/>
        <v>429</v>
      </c>
      <c r="L2086" s="1" t="str">
        <f t="shared" si="198"/>
        <v>Normal</v>
      </c>
      <c r="M2086" s="2">
        <f t="shared" si="199"/>
        <v>32.25</v>
      </c>
      <c r="N2086" s="1" t="str">
        <f t="shared" si="200"/>
        <v>Lembab</v>
      </c>
      <c r="O2086" t="str">
        <f t="shared" si="201"/>
        <v>Fuzzy</v>
      </c>
      <c r="P2086" t="str">
        <f t="shared" si="202"/>
        <v>Fuzzy</v>
      </c>
    </row>
    <row r="2087" spans="1:16" x14ac:dyDescent="0.35">
      <c r="A2087" t="s">
        <v>2090</v>
      </c>
      <c r="B2087">
        <v>6300</v>
      </c>
      <c r="C2087">
        <v>28</v>
      </c>
      <c r="D2087">
        <v>71</v>
      </c>
      <c r="E2087">
        <v>381</v>
      </c>
      <c r="F2087">
        <v>163</v>
      </c>
      <c r="K2087" s="1">
        <f t="shared" si="203"/>
        <v>381</v>
      </c>
      <c r="L2087" s="1" t="str">
        <f t="shared" si="198"/>
        <v>Normal</v>
      </c>
      <c r="M2087" s="2">
        <f t="shared" si="199"/>
        <v>20.25</v>
      </c>
      <c r="N2087" s="1" t="str">
        <f t="shared" si="200"/>
        <v>Kering</v>
      </c>
      <c r="O2087" t="str">
        <f t="shared" si="201"/>
        <v>Fuzzy</v>
      </c>
      <c r="P2087" t="str">
        <f t="shared" si="202"/>
        <v>Fuzzy</v>
      </c>
    </row>
    <row r="2088" spans="1:16" x14ac:dyDescent="0.35">
      <c r="A2088" t="s">
        <v>2091</v>
      </c>
      <c r="B2088">
        <v>6301</v>
      </c>
      <c r="C2088">
        <v>28</v>
      </c>
      <c r="D2088">
        <v>72</v>
      </c>
      <c r="E2088">
        <v>290</v>
      </c>
      <c r="F2088">
        <v>4</v>
      </c>
      <c r="K2088" s="1">
        <f t="shared" si="203"/>
        <v>290</v>
      </c>
      <c r="L2088" s="1" t="str">
        <f t="shared" si="198"/>
        <v>Normal</v>
      </c>
      <c r="M2088" s="2">
        <f t="shared" si="199"/>
        <v>28.347996089931577</v>
      </c>
      <c r="N2088" s="1" t="str">
        <f t="shared" si="200"/>
        <v>Kering</v>
      </c>
      <c r="O2088" t="str">
        <f t="shared" si="201"/>
        <v>Fuzzy</v>
      </c>
      <c r="P2088" t="str">
        <f t="shared" si="202"/>
        <v>Fuzzy</v>
      </c>
    </row>
    <row r="2089" spans="1:16" x14ac:dyDescent="0.35">
      <c r="A2089" t="s">
        <v>2092</v>
      </c>
      <c r="B2089">
        <v>6302</v>
      </c>
      <c r="C2089">
        <v>28</v>
      </c>
      <c r="D2089">
        <v>72</v>
      </c>
      <c r="E2089">
        <v>456</v>
      </c>
      <c r="F2089">
        <v>5</v>
      </c>
      <c r="K2089" s="1">
        <f t="shared" si="203"/>
        <v>456</v>
      </c>
      <c r="L2089" s="1" t="str">
        <f t="shared" si="198"/>
        <v>Normal</v>
      </c>
      <c r="M2089" s="2">
        <f t="shared" si="199"/>
        <v>39</v>
      </c>
      <c r="N2089" s="1" t="str">
        <f t="shared" si="200"/>
        <v>Lembab</v>
      </c>
      <c r="O2089" t="str">
        <f t="shared" si="201"/>
        <v>Fuzzy</v>
      </c>
      <c r="P2089" t="str">
        <f t="shared" si="202"/>
        <v>Fuzzy</v>
      </c>
    </row>
    <row r="2090" spans="1:16" x14ac:dyDescent="0.35">
      <c r="A2090" t="s">
        <v>2093</v>
      </c>
      <c r="B2090">
        <v>6303</v>
      </c>
      <c r="C2090">
        <v>28</v>
      </c>
      <c r="D2090">
        <v>72</v>
      </c>
      <c r="E2090">
        <v>359</v>
      </c>
      <c r="F2090">
        <v>5</v>
      </c>
      <c r="K2090" s="1">
        <f t="shared" si="203"/>
        <v>359</v>
      </c>
      <c r="L2090" s="1" t="str">
        <f t="shared" si="198"/>
        <v>Normal</v>
      </c>
      <c r="M2090" s="2">
        <f t="shared" si="199"/>
        <v>14.75</v>
      </c>
      <c r="N2090" s="1" t="str">
        <f t="shared" si="200"/>
        <v>Kering</v>
      </c>
      <c r="O2090" t="str">
        <f t="shared" si="201"/>
        <v>Fuzzy</v>
      </c>
      <c r="P2090" t="str">
        <f t="shared" si="202"/>
        <v>Fuzzy</v>
      </c>
    </row>
    <row r="2091" spans="1:16" x14ac:dyDescent="0.35">
      <c r="A2091" t="s">
        <v>2094</v>
      </c>
      <c r="B2091">
        <v>6304</v>
      </c>
      <c r="C2091">
        <v>28</v>
      </c>
      <c r="D2091">
        <v>72</v>
      </c>
      <c r="E2091">
        <v>366</v>
      </c>
      <c r="F2091">
        <v>4</v>
      </c>
      <c r="K2091" s="1">
        <f t="shared" si="203"/>
        <v>366</v>
      </c>
      <c r="L2091" s="1" t="str">
        <f t="shared" si="198"/>
        <v>Normal</v>
      </c>
      <c r="M2091" s="2">
        <f t="shared" si="199"/>
        <v>16.5</v>
      </c>
      <c r="N2091" s="1" t="str">
        <f t="shared" si="200"/>
        <v>Kering</v>
      </c>
      <c r="O2091" t="str">
        <f t="shared" si="201"/>
        <v>Fuzzy</v>
      </c>
      <c r="P2091" t="str">
        <f t="shared" si="202"/>
        <v>Fuzzy</v>
      </c>
    </row>
    <row r="2092" spans="1:16" x14ac:dyDescent="0.35">
      <c r="A2092" t="s">
        <v>2095</v>
      </c>
      <c r="B2092">
        <v>6305</v>
      </c>
      <c r="C2092">
        <v>28</v>
      </c>
      <c r="D2092">
        <v>72</v>
      </c>
      <c r="E2092">
        <v>437</v>
      </c>
      <c r="F2092">
        <v>5</v>
      </c>
      <c r="K2092" s="1">
        <f t="shared" si="203"/>
        <v>437</v>
      </c>
      <c r="L2092" s="1" t="str">
        <f t="shared" si="198"/>
        <v>Normal</v>
      </c>
      <c r="M2092" s="2">
        <f t="shared" si="199"/>
        <v>34.25</v>
      </c>
      <c r="N2092" s="1" t="str">
        <f t="shared" si="200"/>
        <v>Lembab</v>
      </c>
      <c r="O2092" t="str">
        <f t="shared" si="201"/>
        <v>Fuzzy</v>
      </c>
      <c r="P2092" t="str">
        <f t="shared" si="202"/>
        <v>Fuzzy</v>
      </c>
    </row>
    <row r="2093" spans="1:16" x14ac:dyDescent="0.35">
      <c r="A2093" t="s">
        <v>2096</v>
      </c>
      <c r="B2093">
        <v>6306</v>
      </c>
      <c r="C2093">
        <v>28</v>
      </c>
      <c r="D2093">
        <v>72</v>
      </c>
      <c r="E2093">
        <v>435</v>
      </c>
      <c r="F2093">
        <v>5</v>
      </c>
      <c r="K2093" s="1">
        <f t="shared" si="203"/>
        <v>435</v>
      </c>
      <c r="L2093" s="1" t="str">
        <f t="shared" si="198"/>
        <v>Normal</v>
      </c>
      <c r="M2093" s="2">
        <f t="shared" si="199"/>
        <v>33.75</v>
      </c>
      <c r="N2093" s="1" t="str">
        <f t="shared" si="200"/>
        <v>Lembab</v>
      </c>
      <c r="O2093" t="str">
        <f t="shared" si="201"/>
        <v>Fuzzy</v>
      </c>
      <c r="P2093" t="str">
        <f t="shared" si="202"/>
        <v>Fuzzy</v>
      </c>
    </row>
    <row r="2094" spans="1:16" x14ac:dyDescent="0.35">
      <c r="A2094" t="s">
        <v>2097</v>
      </c>
      <c r="B2094">
        <v>6307</v>
      </c>
      <c r="C2094">
        <v>28</v>
      </c>
      <c r="D2094">
        <v>72</v>
      </c>
      <c r="E2094">
        <v>472</v>
      </c>
      <c r="F2094">
        <v>5</v>
      </c>
      <c r="K2094" s="1">
        <f t="shared" si="203"/>
        <v>472</v>
      </c>
      <c r="L2094" s="1" t="str">
        <f t="shared" si="198"/>
        <v>Normal</v>
      </c>
      <c r="M2094" s="2">
        <f t="shared" si="199"/>
        <v>43</v>
      </c>
      <c r="N2094" s="1" t="str">
        <f t="shared" si="200"/>
        <v>Lembab</v>
      </c>
      <c r="O2094" t="str">
        <f t="shared" si="201"/>
        <v>Fuzzy</v>
      </c>
      <c r="P2094" t="str">
        <f t="shared" si="202"/>
        <v>Fuzzy</v>
      </c>
    </row>
    <row r="2095" spans="1:16" x14ac:dyDescent="0.35">
      <c r="A2095" t="s">
        <v>2098</v>
      </c>
      <c r="B2095">
        <v>6308</v>
      </c>
      <c r="C2095">
        <v>28</v>
      </c>
      <c r="D2095">
        <v>72</v>
      </c>
      <c r="E2095">
        <v>275</v>
      </c>
      <c r="F2095">
        <v>5</v>
      </c>
      <c r="K2095" s="1">
        <f t="shared" si="203"/>
        <v>275</v>
      </c>
      <c r="L2095" s="1" t="str">
        <f t="shared" si="198"/>
        <v>Normal</v>
      </c>
      <c r="M2095" s="2">
        <f t="shared" si="199"/>
        <v>26.881720430107524</v>
      </c>
      <c r="N2095" s="1" t="str">
        <f t="shared" si="200"/>
        <v>Kering</v>
      </c>
      <c r="O2095" t="str">
        <f t="shared" si="201"/>
        <v>Fuzzy</v>
      </c>
      <c r="P2095" t="str">
        <f t="shared" si="202"/>
        <v>Fuzzy</v>
      </c>
    </row>
    <row r="2096" spans="1:16" x14ac:dyDescent="0.35">
      <c r="A2096" t="s">
        <v>2099</v>
      </c>
      <c r="B2096">
        <v>6309</v>
      </c>
      <c r="C2096">
        <v>28</v>
      </c>
      <c r="D2096">
        <v>72</v>
      </c>
      <c r="E2096">
        <v>447</v>
      </c>
      <c r="F2096">
        <v>5</v>
      </c>
      <c r="K2096" s="1">
        <f t="shared" si="203"/>
        <v>447</v>
      </c>
      <c r="L2096" s="1" t="str">
        <f t="shared" si="198"/>
        <v>Normal</v>
      </c>
      <c r="M2096" s="2">
        <f t="shared" si="199"/>
        <v>36.75</v>
      </c>
      <c r="N2096" s="1" t="str">
        <f t="shared" si="200"/>
        <v>Lembab</v>
      </c>
      <c r="O2096" t="str">
        <f t="shared" si="201"/>
        <v>Fuzzy</v>
      </c>
      <c r="P2096" t="str">
        <f t="shared" si="202"/>
        <v>Fuzzy</v>
      </c>
    </row>
    <row r="2097" spans="1:16" x14ac:dyDescent="0.35">
      <c r="A2097" t="s">
        <v>2100</v>
      </c>
      <c r="B2097">
        <v>6310</v>
      </c>
      <c r="C2097">
        <v>28</v>
      </c>
      <c r="D2097">
        <v>72</v>
      </c>
      <c r="E2097">
        <v>419</v>
      </c>
      <c r="F2097">
        <v>4</v>
      </c>
      <c r="K2097" s="1">
        <f t="shared" si="203"/>
        <v>419</v>
      </c>
      <c r="L2097" s="1" t="str">
        <f t="shared" si="198"/>
        <v>Normal</v>
      </c>
      <c r="M2097" s="2">
        <f t="shared" si="199"/>
        <v>29.75</v>
      </c>
      <c r="N2097" s="1" t="str">
        <f t="shared" si="200"/>
        <v>Lembab</v>
      </c>
      <c r="O2097" t="str">
        <f t="shared" si="201"/>
        <v>Fuzzy</v>
      </c>
      <c r="P2097" t="str">
        <f t="shared" si="202"/>
        <v>Fuzzy</v>
      </c>
    </row>
    <row r="2098" spans="1:16" x14ac:dyDescent="0.35">
      <c r="A2098" t="s">
        <v>2101</v>
      </c>
      <c r="B2098">
        <v>6311</v>
      </c>
      <c r="C2098">
        <v>28</v>
      </c>
      <c r="D2098">
        <v>72</v>
      </c>
      <c r="E2098">
        <v>371</v>
      </c>
      <c r="F2098">
        <v>4</v>
      </c>
      <c r="K2098" s="1">
        <f t="shared" si="203"/>
        <v>371</v>
      </c>
      <c r="L2098" s="1" t="str">
        <f t="shared" si="198"/>
        <v>Normal</v>
      </c>
      <c r="M2098" s="2">
        <f t="shared" si="199"/>
        <v>17.75</v>
      </c>
      <c r="N2098" s="1" t="str">
        <f t="shared" si="200"/>
        <v>Kering</v>
      </c>
      <c r="O2098" t="str">
        <f t="shared" si="201"/>
        <v>Fuzzy</v>
      </c>
      <c r="P2098" t="str">
        <f t="shared" si="202"/>
        <v>Fuzzy</v>
      </c>
    </row>
    <row r="2099" spans="1:16" x14ac:dyDescent="0.35">
      <c r="A2099" t="s">
        <v>2102</v>
      </c>
      <c r="B2099">
        <v>6312</v>
      </c>
      <c r="C2099">
        <v>28</v>
      </c>
      <c r="D2099">
        <v>71</v>
      </c>
      <c r="E2099">
        <v>339</v>
      </c>
      <c r="F2099">
        <v>5</v>
      </c>
      <c r="K2099" s="1">
        <f t="shared" si="203"/>
        <v>339</v>
      </c>
      <c r="L2099" s="1" t="str">
        <f t="shared" si="198"/>
        <v>Normal</v>
      </c>
      <c r="M2099" s="2">
        <f t="shared" si="199"/>
        <v>9.75</v>
      </c>
      <c r="N2099" s="1" t="str">
        <f t="shared" si="200"/>
        <v>Kering</v>
      </c>
      <c r="O2099" t="str">
        <f t="shared" si="201"/>
        <v>Fuzzy</v>
      </c>
      <c r="P2099" t="str">
        <f t="shared" si="202"/>
        <v>Fuzzy</v>
      </c>
    </row>
    <row r="2100" spans="1:16" x14ac:dyDescent="0.35">
      <c r="A2100" t="s">
        <v>2103</v>
      </c>
      <c r="B2100">
        <v>6313</v>
      </c>
      <c r="C2100">
        <v>28</v>
      </c>
      <c r="D2100">
        <v>71</v>
      </c>
      <c r="E2100">
        <v>364</v>
      </c>
      <c r="F2100">
        <v>4</v>
      </c>
      <c r="K2100" s="1">
        <f t="shared" si="203"/>
        <v>364</v>
      </c>
      <c r="L2100" s="1" t="str">
        <f t="shared" si="198"/>
        <v>Normal</v>
      </c>
      <c r="M2100" s="2">
        <f t="shared" si="199"/>
        <v>16</v>
      </c>
      <c r="N2100" s="1" t="str">
        <f t="shared" si="200"/>
        <v>Kering</v>
      </c>
      <c r="O2100" t="str">
        <f t="shared" si="201"/>
        <v>Fuzzy</v>
      </c>
      <c r="P2100" t="str">
        <f t="shared" si="202"/>
        <v>Fuzzy</v>
      </c>
    </row>
    <row r="2101" spans="1:16" x14ac:dyDescent="0.35">
      <c r="A2101" t="s">
        <v>2104</v>
      </c>
      <c r="B2101">
        <v>6314</v>
      </c>
      <c r="C2101">
        <v>28</v>
      </c>
      <c r="D2101">
        <v>72</v>
      </c>
      <c r="E2101">
        <v>411</v>
      </c>
      <c r="F2101">
        <v>4</v>
      </c>
      <c r="K2101" s="1">
        <f t="shared" si="203"/>
        <v>411</v>
      </c>
      <c r="L2101" s="1" t="str">
        <f t="shared" si="198"/>
        <v>Normal</v>
      </c>
      <c r="M2101" s="2">
        <f t="shared" si="199"/>
        <v>27.750000000000004</v>
      </c>
      <c r="N2101" s="1" t="str">
        <f t="shared" si="200"/>
        <v>Kering</v>
      </c>
      <c r="O2101" t="str">
        <f t="shared" si="201"/>
        <v>Fuzzy</v>
      </c>
      <c r="P2101" t="str">
        <f t="shared" si="202"/>
        <v>Fuzzy</v>
      </c>
    </row>
    <row r="2102" spans="1:16" x14ac:dyDescent="0.35">
      <c r="A2102" t="s">
        <v>2105</v>
      </c>
      <c r="B2102">
        <v>6315</v>
      </c>
      <c r="C2102">
        <v>28</v>
      </c>
      <c r="D2102">
        <v>72</v>
      </c>
      <c r="E2102">
        <v>449</v>
      </c>
      <c r="F2102">
        <v>5</v>
      </c>
      <c r="K2102" s="1">
        <f t="shared" si="203"/>
        <v>449</v>
      </c>
      <c r="L2102" s="1" t="str">
        <f t="shared" si="198"/>
        <v>Normal</v>
      </c>
      <c r="M2102" s="2">
        <f t="shared" si="199"/>
        <v>37.25</v>
      </c>
      <c r="N2102" s="1" t="str">
        <f t="shared" si="200"/>
        <v>Lembab</v>
      </c>
      <c r="O2102" t="str">
        <f t="shared" si="201"/>
        <v>Fuzzy</v>
      </c>
      <c r="P2102" t="str">
        <f t="shared" si="202"/>
        <v>Fuzzy</v>
      </c>
    </row>
    <row r="2103" spans="1:16" x14ac:dyDescent="0.35">
      <c r="A2103" t="s">
        <v>2106</v>
      </c>
      <c r="B2103">
        <v>6316</v>
      </c>
      <c r="C2103">
        <v>28</v>
      </c>
      <c r="D2103">
        <v>72</v>
      </c>
      <c r="E2103">
        <v>395</v>
      </c>
      <c r="F2103">
        <v>4</v>
      </c>
      <c r="K2103" s="1">
        <f t="shared" si="203"/>
        <v>395</v>
      </c>
      <c r="L2103" s="1" t="str">
        <f t="shared" si="198"/>
        <v>Normal</v>
      </c>
      <c r="M2103" s="2">
        <f t="shared" si="199"/>
        <v>23.75</v>
      </c>
      <c r="N2103" s="1" t="str">
        <f t="shared" si="200"/>
        <v>Kering</v>
      </c>
      <c r="O2103" t="str">
        <f t="shared" si="201"/>
        <v>Fuzzy</v>
      </c>
      <c r="P2103" t="str">
        <f t="shared" si="202"/>
        <v>Fuzzy</v>
      </c>
    </row>
    <row r="2104" spans="1:16" x14ac:dyDescent="0.35">
      <c r="A2104" t="s">
        <v>2107</v>
      </c>
      <c r="B2104">
        <v>6317</v>
      </c>
      <c r="C2104">
        <v>28</v>
      </c>
      <c r="D2104">
        <v>71</v>
      </c>
      <c r="E2104">
        <v>446</v>
      </c>
      <c r="F2104">
        <v>5</v>
      </c>
      <c r="K2104" s="1">
        <f t="shared" si="203"/>
        <v>446</v>
      </c>
      <c r="L2104" s="1" t="str">
        <f t="shared" si="198"/>
        <v>Normal</v>
      </c>
      <c r="M2104" s="2">
        <f t="shared" si="199"/>
        <v>36.5</v>
      </c>
      <c r="N2104" s="1" t="str">
        <f t="shared" si="200"/>
        <v>Lembab</v>
      </c>
      <c r="O2104" t="str">
        <f t="shared" si="201"/>
        <v>Fuzzy</v>
      </c>
      <c r="P2104" t="str">
        <f t="shared" si="202"/>
        <v>Fuzzy</v>
      </c>
    </row>
    <row r="2105" spans="1:16" x14ac:dyDescent="0.35">
      <c r="A2105" t="s">
        <v>2108</v>
      </c>
      <c r="B2105">
        <v>6318</v>
      </c>
      <c r="C2105">
        <v>28</v>
      </c>
      <c r="D2105">
        <v>69</v>
      </c>
      <c r="E2105">
        <v>406</v>
      </c>
      <c r="F2105">
        <v>5</v>
      </c>
      <c r="K2105" s="1">
        <f t="shared" si="203"/>
        <v>406</v>
      </c>
      <c r="L2105" s="1" t="str">
        <f t="shared" si="198"/>
        <v>Normal</v>
      </c>
      <c r="M2105" s="2">
        <f t="shared" si="199"/>
        <v>26.5</v>
      </c>
      <c r="N2105" s="1" t="str">
        <f t="shared" si="200"/>
        <v>Kering</v>
      </c>
      <c r="O2105" t="str">
        <f t="shared" si="201"/>
        <v>Fuzzy</v>
      </c>
      <c r="P2105" t="str">
        <f t="shared" si="202"/>
        <v>Fuzzy</v>
      </c>
    </row>
    <row r="2106" spans="1:16" x14ac:dyDescent="0.35">
      <c r="A2106" t="s">
        <v>2109</v>
      </c>
      <c r="B2106">
        <v>6319</v>
      </c>
      <c r="C2106">
        <v>28</v>
      </c>
      <c r="D2106">
        <v>69</v>
      </c>
      <c r="E2106">
        <v>443</v>
      </c>
      <c r="F2106">
        <v>5</v>
      </c>
      <c r="K2106" s="1">
        <f t="shared" si="203"/>
        <v>443</v>
      </c>
      <c r="L2106" s="1" t="str">
        <f t="shared" si="198"/>
        <v>Normal</v>
      </c>
      <c r="M2106" s="2">
        <f t="shared" si="199"/>
        <v>35.75</v>
      </c>
      <c r="N2106" s="1" t="str">
        <f t="shared" si="200"/>
        <v>Lembab</v>
      </c>
      <c r="O2106" t="str">
        <f t="shared" si="201"/>
        <v>Fuzzy</v>
      </c>
      <c r="P2106" t="str">
        <f t="shared" si="202"/>
        <v>Fuzzy</v>
      </c>
    </row>
    <row r="2107" spans="1:16" x14ac:dyDescent="0.35">
      <c r="A2107" t="s">
        <v>2110</v>
      </c>
      <c r="B2107">
        <v>6320</v>
      </c>
      <c r="C2107">
        <v>28</v>
      </c>
      <c r="D2107">
        <v>69</v>
      </c>
      <c r="E2107">
        <v>472</v>
      </c>
      <c r="F2107">
        <v>5</v>
      </c>
      <c r="K2107" s="1">
        <f t="shared" si="203"/>
        <v>472</v>
      </c>
      <c r="L2107" s="1" t="str">
        <f t="shared" si="198"/>
        <v>Normal</v>
      </c>
      <c r="M2107" s="2">
        <f t="shared" si="199"/>
        <v>43</v>
      </c>
      <c r="N2107" s="1" t="str">
        <f t="shared" si="200"/>
        <v>Lembab</v>
      </c>
      <c r="O2107" t="str">
        <f t="shared" si="201"/>
        <v>Fuzzy</v>
      </c>
      <c r="P2107" t="str">
        <f t="shared" si="202"/>
        <v>Fuzzy</v>
      </c>
    </row>
    <row r="2108" spans="1:16" x14ac:dyDescent="0.35">
      <c r="A2108" t="s">
        <v>2111</v>
      </c>
      <c r="B2108">
        <v>6321</v>
      </c>
      <c r="C2108">
        <v>28</v>
      </c>
      <c r="D2108">
        <v>69</v>
      </c>
      <c r="E2108">
        <v>472</v>
      </c>
      <c r="F2108">
        <v>5</v>
      </c>
      <c r="K2108" s="1">
        <f t="shared" si="203"/>
        <v>472</v>
      </c>
      <c r="L2108" s="1" t="str">
        <f t="shared" si="198"/>
        <v>Normal</v>
      </c>
      <c r="M2108" s="2">
        <f t="shared" si="199"/>
        <v>43</v>
      </c>
      <c r="N2108" s="1" t="str">
        <f t="shared" si="200"/>
        <v>Lembab</v>
      </c>
      <c r="O2108" t="str">
        <f t="shared" si="201"/>
        <v>Fuzzy</v>
      </c>
      <c r="P2108" t="str">
        <f t="shared" si="202"/>
        <v>Fuzzy</v>
      </c>
    </row>
    <row r="2109" spans="1:16" x14ac:dyDescent="0.35">
      <c r="A2109" t="s">
        <v>2112</v>
      </c>
      <c r="B2109">
        <v>6322</v>
      </c>
      <c r="C2109">
        <v>28</v>
      </c>
      <c r="D2109">
        <v>69</v>
      </c>
      <c r="E2109">
        <v>451</v>
      </c>
      <c r="F2109">
        <v>5</v>
      </c>
      <c r="K2109" s="1">
        <f t="shared" si="203"/>
        <v>451</v>
      </c>
      <c r="L2109" s="1" t="str">
        <f t="shared" si="198"/>
        <v>Normal</v>
      </c>
      <c r="M2109" s="2">
        <f t="shared" si="199"/>
        <v>37.75</v>
      </c>
      <c r="N2109" s="1" t="str">
        <f t="shared" si="200"/>
        <v>Lembab</v>
      </c>
      <c r="O2109" t="str">
        <f t="shared" si="201"/>
        <v>Fuzzy</v>
      </c>
      <c r="P2109" t="str">
        <f t="shared" si="202"/>
        <v>Fuzzy</v>
      </c>
    </row>
    <row r="2110" spans="1:16" x14ac:dyDescent="0.35">
      <c r="A2110" t="s">
        <v>2113</v>
      </c>
      <c r="B2110">
        <v>6323</v>
      </c>
      <c r="C2110">
        <v>28</v>
      </c>
      <c r="D2110">
        <v>70</v>
      </c>
      <c r="E2110">
        <v>458</v>
      </c>
      <c r="F2110">
        <v>340</v>
      </c>
      <c r="K2110" s="1">
        <f t="shared" si="203"/>
        <v>458</v>
      </c>
      <c r="L2110" s="1" t="str">
        <f t="shared" si="198"/>
        <v>Normal</v>
      </c>
      <c r="M2110" s="2">
        <f t="shared" si="199"/>
        <v>39.5</v>
      </c>
      <c r="N2110" s="1" t="str">
        <f t="shared" si="200"/>
        <v>Lembab</v>
      </c>
      <c r="O2110" t="str">
        <f t="shared" si="201"/>
        <v>Fuzzy</v>
      </c>
      <c r="P2110" t="str">
        <f t="shared" si="202"/>
        <v>Fuzzy</v>
      </c>
    </row>
    <row r="2111" spans="1:16" x14ac:dyDescent="0.35">
      <c r="A2111" t="s">
        <v>2114</v>
      </c>
      <c r="B2111">
        <v>6324</v>
      </c>
      <c r="C2111">
        <v>28</v>
      </c>
      <c r="D2111">
        <v>72</v>
      </c>
      <c r="E2111">
        <v>530</v>
      </c>
      <c r="F2111">
        <v>347</v>
      </c>
      <c r="K2111" s="1">
        <f t="shared" si="203"/>
        <v>530</v>
      </c>
      <c r="L2111" s="1" t="str">
        <f t="shared" si="198"/>
        <v>Normal</v>
      </c>
      <c r="M2111" s="2">
        <f t="shared" si="199"/>
        <v>57.499999999999993</v>
      </c>
      <c r="N2111" s="1" t="str">
        <f t="shared" si="200"/>
        <v>Lembab</v>
      </c>
      <c r="O2111" t="str">
        <f t="shared" si="201"/>
        <v>Fuzzy</v>
      </c>
      <c r="P2111" t="str">
        <f t="shared" si="202"/>
        <v>Fuzzy</v>
      </c>
    </row>
    <row r="2112" spans="1:16" x14ac:dyDescent="0.35">
      <c r="A2112" t="s">
        <v>2115</v>
      </c>
      <c r="B2112">
        <v>6325</v>
      </c>
      <c r="C2112">
        <v>28</v>
      </c>
      <c r="D2112">
        <v>73</v>
      </c>
      <c r="E2112">
        <v>479</v>
      </c>
      <c r="F2112">
        <v>356</v>
      </c>
      <c r="K2112" s="1">
        <f t="shared" si="203"/>
        <v>479</v>
      </c>
      <c r="L2112" s="1" t="str">
        <f t="shared" si="198"/>
        <v>Normal</v>
      </c>
      <c r="M2112" s="2">
        <f t="shared" si="199"/>
        <v>44.75</v>
      </c>
      <c r="N2112" s="1" t="str">
        <f t="shared" si="200"/>
        <v>Lembab</v>
      </c>
      <c r="O2112" t="str">
        <f t="shared" si="201"/>
        <v>Fuzzy</v>
      </c>
      <c r="P2112" t="str">
        <f t="shared" si="202"/>
        <v>Fuzzy</v>
      </c>
    </row>
    <row r="2113" spans="1:16" x14ac:dyDescent="0.35">
      <c r="A2113" t="s">
        <v>2116</v>
      </c>
      <c r="B2113">
        <v>6326</v>
      </c>
      <c r="C2113">
        <v>27</v>
      </c>
      <c r="D2113">
        <v>73</v>
      </c>
      <c r="E2113">
        <v>447</v>
      </c>
      <c r="F2113">
        <v>364</v>
      </c>
      <c r="K2113" s="1">
        <f t="shared" si="203"/>
        <v>447</v>
      </c>
      <c r="L2113" s="1" t="str">
        <f t="shared" si="198"/>
        <v>Normal</v>
      </c>
      <c r="M2113" s="2">
        <f t="shared" si="199"/>
        <v>36.75</v>
      </c>
      <c r="N2113" s="1" t="str">
        <f t="shared" si="200"/>
        <v>Lembab</v>
      </c>
      <c r="O2113" t="str">
        <f t="shared" si="201"/>
        <v>Fuzzy</v>
      </c>
      <c r="P2113" t="str">
        <f t="shared" si="202"/>
        <v>Fuzzy</v>
      </c>
    </row>
    <row r="2114" spans="1:16" x14ac:dyDescent="0.35">
      <c r="A2114" t="s">
        <v>2117</v>
      </c>
      <c r="B2114">
        <v>6327</v>
      </c>
      <c r="C2114">
        <v>27</v>
      </c>
      <c r="D2114">
        <v>74</v>
      </c>
      <c r="E2114">
        <v>383</v>
      </c>
      <c r="F2114">
        <v>379</v>
      </c>
      <c r="K2114" s="1">
        <f t="shared" si="203"/>
        <v>383</v>
      </c>
      <c r="L2114" s="1" t="str">
        <f t="shared" si="198"/>
        <v>Normal</v>
      </c>
      <c r="M2114" s="2">
        <f t="shared" si="199"/>
        <v>20.75</v>
      </c>
      <c r="N2114" s="1" t="str">
        <f t="shared" si="200"/>
        <v>Kering</v>
      </c>
      <c r="O2114" t="str">
        <f t="shared" si="201"/>
        <v>Fuzzy</v>
      </c>
      <c r="P2114" t="str">
        <f t="shared" si="202"/>
        <v>Fuzzy</v>
      </c>
    </row>
    <row r="2115" spans="1:16" x14ac:dyDescent="0.35">
      <c r="A2115" t="s">
        <v>2118</v>
      </c>
      <c r="B2115">
        <v>6328</v>
      </c>
      <c r="C2115">
        <v>27</v>
      </c>
      <c r="D2115">
        <v>75</v>
      </c>
      <c r="E2115">
        <v>165</v>
      </c>
      <c r="F2115">
        <v>186</v>
      </c>
      <c r="K2115" s="1">
        <f t="shared" si="203"/>
        <v>165</v>
      </c>
      <c r="L2115" s="1" t="str">
        <f t="shared" ref="L2115:L2178" si="204">IF(A2114 &lt;= 10, "Dingin", IF(OR(A2114 &gt;= 10, A2114 &lt; 35), "Normal", "Panas"))</f>
        <v>Normal</v>
      </c>
      <c r="M2115" s="2">
        <f t="shared" ref="M2115:M2178" si="205">IF(K2115&lt;=300, K2115/1023*100, IF(K2115&lt;=700, (K2115-300)/(700-301+1)*100, (K2115-700)/(1023-701+1)*100))</f>
        <v>16.129032258064516</v>
      </c>
      <c r="N2115" s="1" t="str">
        <f t="shared" ref="N2115:N2178" si="206">IF(M2115&lt;=29.32, "Kering", IF(M2115&lt;=68.53, "Lembab", "Basah"))</f>
        <v>Kering</v>
      </c>
      <c r="O2115" t="str">
        <f t="shared" ref="O2115:O2178" si="207">IF(OR(AND(C2115 &gt; 10, C2115 &lt; 22.5), AND(C2115 &gt;= 22.5, C2115 &lt; 35)), "Fuzzy", "")</f>
        <v>Fuzzy</v>
      </c>
      <c r="P2115" t="str">
        <f t="shared" ref="P2115:P2178" si="208">IF(OR(AND(M2115 &gt;= 0, M2115 &lt; 50), AND(M2115 &gt;= 50, M2115 &lt; 100)), "Fuzzy", "")</f>
        <v>Fuzzy</v>
      </c>
    </row>
    <row r="2116" spans="1:16" x14ac:dyDescent="0.35">
      <c r="A2116" t="s">
        <v>2119</v>
      </c>
      <c r="B2116">
        <v>6329</v>
      </c>
      <c r="C2116">
        <v>27</v>
      </c>
      <c r="D2116">
        <v>75</v>
      </c>
      <c r="E2116">
        <v>447</v>
      </c>
      <c r="F2116">
        <v>405</v>
      </c>
      <c r="K2116" s="1">
        <f t="shared" si="203"/>
        <v>447</v>
      </c>
      <c r="L2116" s="1" t="str">
        <f t="shared" si="204"/>
        <v>Normal</v>
      </c>
      <c r="M2116" s="2">
        <f t="shared" si="205"/>
        <v>36.75</v>
      </c>
      <c r="N2116" s="1" t="str">
        <f t="shared" si="206"/>
        <v>Lembab</v>
      </c>
      <c r="O2116" t="str">
        <f t="shared" si="207"/>
        <v>Fuzzy</v>
      </c>
      <c r="P2116" t="str">
        <f t="shared" si="208"/>
        <v>Fuzzy</v>
      </c>
    </row>
    <row r="2117" spans="1:16" x14ac:dyDescent="0.35">
      <c r="A2117" t="s">
        <v>2120</v>
      </c>
      <c r="B2117">
        <v>6330</v>
      </c>
      <c r="C2117">
        <v>27</v>
      </c>
      <c r="D2117">
        <v>76</v>
      </c>
      <c r="E2117">
        <v>372</v>
      </c>
      <c r="F2117">
        <v>408</v>
      </c>
      <c r="K2117" s="1">
        <f t="shared" si="203"/>
        <v>372</v>
      </c>
      <c r="L2117" s="1" t="str">
        <f t="shared" si="204"/>
        <v>Normal</v>
      </c>
      <c r="M2117" s="2">
        <f t="shared" si="205"/>
        <v>18</v>
      </c>
      <c r="N2117" s="1" t="str">
        <f t="shared" si="206"/>
        <v>Kering</v>
      </c>
      <c r="O2117" t="str">
        <f t="shared" si="207"/>
        <v>Fuzzy</v>
      </c>
      <c r="P2117" t="str">
        <f t="shared" si="208"/>
        <v>Fuzzy</v>
      </c>
    </row>
    <row r="2118" spans="1:16" x14ac:dyDescent="0.35">
      <c r="A2118" t="s">
        <v>2121</v>
      </c>
      <c r="B2118">
        <v>6331</v>
      </c>
      <c r="C2118">
        <v>27</v>
      </c>
      <c r="D2118">
        <v>77</v>
      </c>
      <c r="E2118">
        <v>418</v>
      </c>
      <c r="F2118">
        <v>230</v>
      </c>
      <c r="K2118" s="1">
        <f t="shared" si="203"/>
        <v>418</v>
      </c>
      <c r="L2118" s="1" t="str">
        <f t="shared" si="204"/>
        <v>Normal</v>
      </c>
      <c r="M2118" s="2">
        <f t="shared" si="205"/>
        <v>29.5</v>
      </c>
      <c r="N2118" s="1" t="str">
        <f t="shared" si="206"/>
        <v>Lembab</v>
      </c>
      <c r="O2118" t="str">
        <f t="shared" si="207"/>
        <v>Fuzzy</v>
      </c>
      <c r="P2118" t="str">
        <f t="shared" si="208"/>
        <v>Fuzzy</v>
      </c>
    </row>
    <row r="2119" spans="1:16" x14ac:dyDescent="0.35">
      <c r="A2119" t="s">
        <v>2122</v>
      </c>
      <c r="B2119">
        <v>6332</v>
      </c>
      <c r="C2119">
        <v>27</v>
      </c>
      <c r="D2119">
        <v>76</v>
      </c>
      <c r="E2119">
        <v>339</v>
      </c>
      <c r="F2119">
        <v>5</v>
      </c>
      <c r="K2119" s="1">
        <f t="shared" si="203"/>
        <v>339</v>
      </c>
      <c r="L2119" s="1" t="str">
        <f t="shared" si="204"/>
        <v>Normal</v>
      </c>
      <c r="M2119" s="2">
        <f t="shared" si="205"/>
        <v>9.75</v>
      </c>
      <c r="N2119" s="1" t="str">
        <f t="shared" si="206"/>
        <v>Kering</v>
      </c>
      <c r="O2119" t="str">
        <f t="shared" si="207"/>
        <v>Fuzzy</v>
      </c>
      <c r="P2119" t="str">
        <f t="shared" si="208"/>
        <v>Fuzzy</v>
      </c>
    </row>
    <row r="2120" spans="1:16" x14ac:dyDescent="0.35">
      <c r="A2120" t="s">
        <v>2123</v>
      </c>
      <c r="B2120">
        <v>6333</v>
      </c>
      <c r="C2120">
        <v>27</v>
      </c>
      <c r="D2120">
        <v>76</v>
      </c>
      <c r="E2120">
        <v>399</v>
      </c>
      <c r="F2120">
        <v>5</v>
      </c>
      <c r="K2120" s="1">
        <f t="shared" si="203"/>
        <v>399</v>
      </c>
      <c r="L2120" s="1" t="str">
        <f t="shared" si="204"/>
        <v>Normal</v>
      </c>
      <c r="M2120" s="2">
        <f t="shared" si="205"/>
        <v>24.75</v>
      </c>
      <c r="N2120" s="1" t="str">
        <f t="shared" si="206"/>
        <v>Kering</v>
      </c>
      <c r="O2120" t="str">
        <f t="shared" si="207"/>
        <v>Fuzzy</v>
      </c>
      <c r="P2120" t="str">
        <f t="shared" si="208"/>
        <v>Fuzzy</v>
      </c>
    </row>
    <row r="2121" spans="1:16" x14ac:dyDescent="0.35">
      <c r="A2121" t="s">
        <v>2124</v>
      </c>
      <c r="B2121">
        <v>6334</v>
      </c>
      <c r="C2121">
        <v>27</v>
      </c>
      <c r="D2121">
        <v>76</v>
      </c>
      <c r="E2121">
        <v>374</v>
      </c>
      <c r="F2121">
        <v>6</v>
      </c>
      <c r="K2121" s="1">
        <f t="shared" si="203"/>
        <v>374</v>
      </c>
      <c r="L2121" s="1" t="str">
        <f t="shared" si="204"/>
        <v>Normal</v>
      </c>
      <c r="M2121" s="2">
        <f t="shared" si="205"/>
        <v>18.5</v>
      </c>
      <c r="N2121" s="1" t="str">
        <f t="shared" si="206"/>
        <v>Kering</v>
      </c>
      <c r="O2121" t="str">
        <f t="shared" si="207"/>
        <v>Fuzzy</v>
      </c>
      <c r="P2121" t="str">
        <f t="shared" si="208"/>
        <v>Fuzzy</v>
      </c>
    </row>
    <row r="2122" spans="1:16" x14ac:dyDescent="0.35">
      <c r="A2122" t="s">
        <v>2125</v>
      </c>
      <c r="B2122">
        <v>6335</v>
      </c>
      <c r="C2122">
        <v>27</v>
      </c>
      <c r="D2122">
        <v>76</v>
      </c>
      <c r="E2122">
        <v>407</v>
      </c>
      <c r="F2122">
        <v>6</v>
      </c>
      <c r="K2122" s="1">
        <f t="shared" si="203"/>
        <v>407</v>
      </c>
      <c r="L2122" s="1" t="str">
        <f t="shared" si="204"/>
        <v>Normal</v>
      </c>
      <c r="M2122" s="2">
        <f t="shared" si="205"/>
        <v>26.75</v>
      </c>
      <c r="N2122" s="1" t="str">
        <f t="shared" si="206"/>
        <v>Kering</v>
      </c>
      <c r="O2122" t="str">
        <f t="shared" si="207"/>
        <v>Fuzzy</v>
      </c>
      <c r="P2122" t="str">
        <f t="shared" si="208"/>
        <v>Fuzzy</v>
      </c>
    </row>
    <row r="2123" spans="1:16" x14ac:dyDescent="0.35">
      <c r="A2123" t="s">
        <v>2126</v>
      </c>
      <c r="B2123">
        <v>6336</v>
      </c>
      <c r="C2123">
        <v>27</v>
      </c>
      <c r="D2123">
        <v>76</v>
      </c>
      <c r="E2123">
        <v>479</v>
      </c>
      <c r="F2123">
        <v>5</v>
      </c>
      <c r="K2123" s="1">
        <f t="shared" si="203"/>
        <v>479</v>
      </c>
      <c r="L2123" s="1" t="str">
        <f t="shared" si="204"/>
        <v>Normal</v>
      </c>
      <c r="M2123" s="2">
        <f t="shared" si="205"/>
        <v>44.75</v>
      </c>
      <c r="N2123" s="1" t="str">
        <f t="shared" si="206"/>
        <v>Lembab</v>
      </c>
      <c r="O2123" t="str">
        <f t="shared" si="207"/>
        <v>Fuzzy</v>
      </c>
      <c r="P2123" t="str">
        <f t="shared" si="208"/>
        <v>Fuzzy</v>
      </c>
    </row>
    <row r="2124" spans="1:16" x14ac:dyDescent="0.35">
      <c r="A2124" t="s">
        <v>2127</v>
      </c>
      <c r="B2124">
        <v>6337</v>
      </c>
      <c r="C2124">
        <v>27</v>
      </c>
      <c r="D2124">
        <v>75</v>
      </c>
      <c r="E2124">
        <v>404</v>
      </c>
      <c r="F2124">
        <v>5</v>
      </c>
      <c r="K2124" s="1">
        <f t="shared" si="203"/>
        <v>404</v>
      </c>
      <c r="L2124" s="1" t="str">
        <f t="shared" si="204"/>
        <v>Normal</v>
      </c>
      <c r="M2124" s="2">
        <f t="shared" si="205"/>
        <v>26</v>
      </c>
      <c r="N2124" s="1" t="str">
        <f t="shared" si="206"/>
        <v>Kering</v>
      </c>
      <c r="O2124" t="str">
        <f t="shared" si="207"/>
        <v>Fuzzy</v>
      </c>
      <c r="P2124" t="str">
        <f t="shared" si="208"/>
        <v>Fuzzy</v>
      </c>
    </row>
    <row r="2125" spans="1:16" x14ac:dyDescent="0.35">
      <c r="A2125" t="s">
        <v>2128</v>
      </c>
      <c r="B2125">
        <v>6338</v>
      </c>
      <c r="C2125">
        <v>27</v>
      </c>
      <c r="D2125">
        <v>75</v>
      </c>
      <c r="E2125">
        <v>371</v>
      </c>
      <c r="F2125">
        <v>5</v>
      </c>
      <c r="K2125" s="1">
        <f t="shared" ref="K2125:K2188" si="209">IF(E2125&lt;=1023, E2125, "")</f>
        <v>371</v>
      </c>
      <c r="L2125" s="1" t="str">
        <f t="shared" si="204"/>
        <v>Normal</v>
      </c>
      <c r="M2125" s="2">
        <f t="shared" si="205"/>
        <v>17.75</v>
      </c>
      <c r="N2125" s="1" t="str">
        <f t="shared" si="206"/>
        <v>Kering</v>
      </c>
      <c r="O2125" t="str">
        <f t="shared" si="207"/>
        <v>Fuzzy</v>
      </c>
      <c r="P2125" t="str">
        <f t="shared" si="208"/>
        <v>Fuzzy</v>
      </c>
    </row>
    <row r="2126" spans="1:16" x14ac:dyDescent="0.35">
      <c r="A2126" t="s">
        <v>2129</v>
      </c>
      <c r="B2126">
        <v>6339</v>
      </c>
      <c r="C2126">
        <v>27</v>
      </c>
      <c r="D2126">
        <v>75</v>
      </c>
      <c r="E2126">
        <v>437</v>
      </c>
      <c r="F2126">
        <v>5</v>
      </c>
      <c r="K2126" s="1">
        <f t="shared" si="209"/>
        <v>437</v>
      </c>
      <c r="L2126" s="1" t="str">
        <f t="shared" si="204"/>
        <v>Normal</v>
      </c>
      <c r="M2126" s="2">
        <f t="shared" si="205"/>
        <v>34.25</v>
      </c>
      <c r="N2126" s="1" t="str">
        <f t="shared" si="206"/>
        <v>Lembab</v>
      </c>
      <c r="O2126" t="str">
        <f t="shared" si="207"/>
        <v>Fuzzy</v>
      </c>
      <c r="P2126" t="str">
        <f t="shared" si="208"/>
        <v>Fuzzy</v>
      </c>
    </row>
    <row r="2127" spans="1:16" x14ac:dyDescent="0.35">
      <c r="A2127" t="s">
        <v>2130</v>
      </c>
      <c r="B2127">
        <v>6340</v>
      </c>
      <c r="C2127">
        <v>27</v>
      </c>
      <c r="D2127">
        <v>75</v>
      </c>
      <c r="E2127">
        <v>380</v>
      </c>
      <c r="F2127">
        <v>5</v>
      </c>
      <c r="K2127" s="1">
        <f t="shared" si="209"/>
        <v>380</v>
      </c>
      <c r="L2127" s="1" t="str">
        <f t="shared" si="204"/>
        <v>Normal</v>
      </c>
      <c r="M2127" s="2">
        <f t="shared" si="205"/>
        <v>20</v>
      </c>
      <c r="N2127" s="1" t="str">
        <f t="shared" si="206"/>
        <v>Kering</v>
      </c>
      <c r="O2127" t="str">
        <f t="shared" si="207"/>
        <v>Fuzzy</v>
      </c>
      <c r="P2127" t="str">
        <f t="shared" si="208"/>
        <v>Fuzzy</v>
      </c>
    </row>
    <row r="2128" spans="1:16" x14ac:dyDescent="0.35">
      <c r="A2128" t="s">
        <v>2131</v>
      </c>
      <c r="B2128">
        <v>6341</v>
      </c>
      <c r="C2128">
        <v>27</v>
      </c>
      <c r="D2128">
        <v>74</v>
      </c>
      <c r="E2128">
        <v>609</v>
      </c>
      <c r="F2128">
        <v>5</v>
      </c>
      <c r="K2128" s="1">
        <f t="shared" si="209"/>
        <v>609</v>
      </c>
      <c r="L2128" s="1" t="str">
        <f t="shared" si="204"/>
        <v>Normal</v>
      </c>
      <c r="M2128" s="2">
        <f t="shared" si="205"/>
        <v>77.25</v>
      </c>
      <c r="N2128" s="1" t="str">
        <f t="shared" si="206"/>
        <v>Basah</v>
      </c>
      <c r="O2128" t="str">
        <f t="shared" si="207"/>
        <v>Fuzzy</v>
      </c>
      <c r="P2128" t="str">
        <f t="shared" si="208"/>
        <v>Fuzzy</v>
      </c>
    </row>
    <row r="2129" spans="1:16" x14ac:dyDescent="0.35">
      <c r="A2129" t="s">
        <v>2132</v>
      </c>
      <c r="B2129">
        <v>6342</v>
      </c>
      <c r="C2129">
        <v>27</v>
      </c>
      <c r="D2129">
        <v>74</v>
      </c>
      <c r="E2129">
        <v>410</v>
      </c>
      <c r="F2129">
        <v>5</v>
      </c>
      <c r="K2129" s="1">
        <f t="shared" si="209"/>
        <v>410</v>
      </c>
      <c r="L2129" s="1" t="str">
        <f t="shared" si="204"/>
        <v>Normal</v>
      </c>
      <c r="M2129" s="2">
        <f t="shared" si="205"/>
        <v>27.500000000000004</v>
      </c>
      <c r="N2129" s="1" t="str">
        <f t="shared" si="206"/>
        <v>Kering</v>
      </c>
      <c r="O2129" t="str">
        <f t="shared" si="207"/>
        <v>Fuzzy</v>
      </c>
      <c r="P2129" t="str">
        <f t="shared" si="208"/>
        <v>Fuzzy</v>
      </c>
    </row>
    <row r="2130" spans="1:16" x14ac:dyDescent="0.35">
      <c r="A2130" t="s">
        <v>2133</v>
      </c>
      <c r="B2130">
        <v>6343</v>
      </c>
      <c r="C2130">
        <v>27</v>
      </c>
      <c r="D2130">
        <v>72</v>
      </c>
      <c r="E2130">
        <v>373</v>
      </c>
      <c r="F2130">
        <v>6</v>
      </c>
      <c r="K2130" s="1">
        <f t="shared" si="209"/>
        <v>373</v>
      </c>
      <c r="L2130" s="1" t="str">
        <f t="shared" si="204"/>
        <v>Normal</v>
      </c>
      <c r="M2130" s="2">
        <f t="shared" si="205"/>
        <v>18.25</v>
      </c>
      <c r="N2130" s="1" t="str">
        <f t="shared" si="206"/>
        <v>Kering</v>
      </c>
      <c r="O2130" t="str">
        <f t="shared" si="207"/>
        <v>Fuzzy</v>
      </c>
      <c r="P2130" t="str">
        <f t="shared" si="208"/>
        <v>Fuzzy</v>
      </c>
    </row>
    <row r="2131" spans="1:16" x14ac:dyDescent="0.35">
      <c r="A2131" t="s">
        <v>2134</v>
      </c>
      <c r="B2131">
        <v>6344</v>
      </c>
      <c r="C2131">
        <v>27</v>
      </c>
      <c r="D2131">
        <v>72</v>
      </c>
      <c r="E2131">
        <v>486</v>
      </c>
      <c r="F2131">
        <v>5</v>
      </c>
      <c r="K2131" s="1">
        <f t="shared" si="209"/>
        <v>486</v>
      </c>
      <c r="L2131" s="1" t="str">
        <f t="shared" si="204"/>
        <v>Normal</v>
      </c>
      <c r="M2131" s="2">
        <f t="shared" si="205"/>
        <v>46.5</v>
      </c>
      <c r="N2131" s="1" t="str">
        <f t="shared" si="206"/>
        <v>Lembab</v>
      </c>
      <c r="O2131" t="str">
        <f t="shared" si="207"/>
        <v>Fuzzy</v>
      </c>
      <c r="P2131" t="str">
        <f t="shared" si="208"/>
        <v>Fuzzy</v>
      </c>
    </row>
    <row r="2132" spans="1:16" x14ac:dyDescent="0.35">
      <c r="A2132" t="s">
        <v>2135</v>
      </c>
      <c r="B2132">
        <v>6345</v>
      </c>
      <c r="C2132">
        <v>27</v>
      </c>
      <c r="D2132">
        <v>71</v>
      </c>
      <c r="E2132">
        <v>514</v>
      </c>
      <c r="F2132">
        <v>5</v>
      </c>
      <c r="K2132" s="1">
        <f t="shared" si="209"/>
        <v>514</v>
      </c>
      <c r="L2132" s="1" t="str">
        <f t="shared" si="204"/>
        <v>Normal</v>
      </c>
      <c r="M2132" s="2">
        <f t="shared" si="205"/>
        <v>53.5</v>
      </c>
      <c r="N2132" s="1" t="str">
        <f t="shared" si="206"/>
        <v>Lembab</v>
      </c>
      <c r="O2132" t="str">
        <f t="shared" si="207"/>
        <v>Fuzzy</v>
      </c>
      <c r="P2132" t="str">
        <f t="shared" si="208"/>
        <v>Fuzzy</v>
      </c>
    </row>
    <row r="2133" spans="1:16" x14ac:dyDescent="0.35">
      <c r="A2133" t="s">
        <v>2136</v>
      </c>
      <c r="B2133">
        <v>6346</v>
      </c>
      <c r="C2133">
        <v>27</v>
      </c>
      <c r="D2133">
        <v>72</v>
      </c>
      <c r="E2133">
        <v>380</v>
      </c>
      <c r="F2133">
        <v>6</v>
      </c>
      <c r="K2133" s="1">
        <f t="shared" si="209"/>
        <v>380</v>
      </c>
      <c r="L2133" s="1" t="str">
        <f t="shared" si="204"/>
        <v>Normal</v>
      </c>
      <c r="M2133" s="2">
        <f t="shared" si="205"/>
        <v>20</v>
      </c>
      <c r="N2133" s="1" t="str">
        <f t="shared" si="206"/>
        <v>Kering</v>
      </c>
      <c r="O2133" t="str">
        <f t="shared" si="207"/>
        <v>Fuzzy</v>
      </c>
      <c r="P2133" t="str">
        <f t="shared" si="208"/>
        <v>Fuzzy</v>
      </c>
    </row>
    <row r="2134" spans="1:16" x14ac:dyDescent="0.35">
      <c r="A2134" t="s">
        <v>2137</v>
      </c>
      <c r="B2134">
        <v>6347</v>
      </c>
      <c r="C2134">
        <v>27</v>
      </c>
      <c r="D2134">
        <v>72</v>
      </c>
      <c r="E2134">
        <v>348</v>
      </c>
      <c r="F2134">
        <v>5</v>
      </c>
      <c r="K2134" s="1">
        <f t="shared" si="209"/>
        <v>348</v>
      </c>
      <c r="L2134" s="1" t="str">
        <f t="shared" si="204"/>
        <v>Normal</v>
      </c>
      <c r="M2134" s="2">
        <f t="shared" si="205"/>
        <v>12</v>
      </c>
      <c r="N2134" s="1" t="str">
        <f t="shared" si="206"/>
        <v>Kering</v>
      </c>
      <c r="O2134" t="str">
        <f t="shared" si="207"/>
        <v>Fuzzy</v>
      </c>
      <c r="P2134" t="str">
        <f t="shared" si="208"/>
        <v>Fuzzy</v>
      </c>
    </row>
    <row r="2135" spans="1:16" x14ac:dyDescent="0.35">
      <c r="A2135" t="s">
        <v>2138</v>
      </c>
      <c r="B2135">
        <v>6348</v>
      </c>
      <c r="C2135">
        <v>27</v>
      </c>
      <c r="D2135">
        <v>72</v>
      </c>
      <c r="E2135">
        <v>422</v>
      </c>
      <c r="F2135">
        <v>441</v>
      </c>
      <c r="K2135" s="1">
        <f t="shared" si="209"/>
        <v>422</v>
      </c>
      <c r="L2135" s="1" t="str">
        <f t="shared" si="204"/>
        <v>Normal</v>
      </c>
      <c r="M2135" s="2">
        <f t="shared" si="205"/>
        <v>30.5</v>
      </c>
      <c r="N2135" s="1" t="str">
        <f t="shared" si="206"/>
        <v>Lembab</v>
      </c>
      <c r="O2135" t="str">
        <f t="shared" si="207"/>
        <v>Fuzzy</v>
      </c>
      <c r="P2135" t="str">
        <f t="shared" si="208"/>
        <v>Fuzzy</v>
      </c>
    </row>
    <row r="2136" spans="1:16" x14ac:dyDescent="0.35">
      <c r="A2136" t="s">
        <v>2139</v>
      </c>
      <c r="B2136">
        <v>6349</v>
      </c>
      <c r="C2136">
        <v>27</v>
      </c>
      <c r="D2136">
        <v>73</v>
      </c>
      <c r="E2136">
        <v>414</v>
      </c>
      <c r="F2136">
        <v>436</v>
      </c>
      <c r="K2136" s="1">
        <f t="shared" si="209"/>
        <v>414</v>
      </c>
      <c r="L2136" s="1" t="str">
        <f t="shared" si="204"/>
        <v>Normal</v>
      </c>
      <c r="M2136" s="2">
        <f t="shared" si="205"/>
        <v>28.499999999999996</v>
      </c>
      <c r="N2136" s="1" t="str">
        <f t="shared" si="206"/>
        <v>Kering</v>
      </c>
      <c r="O2136" t="str">
        <f t="shared" si="207"/>
        <v>Fuzzy</v>
      </c>
      <c r="P2136" t="str">
        <f t="shared" si="208"/>
        <v>Fuzzy</v>
      </c>
    </row>
    <row r="2137" spans="1:16" x14ac:dyDescent="0.35">
      <c r="A2137" t="s">
        <v>2140</v>
      </c>
      <c r="B2137">
        <v>6350</v>
      </c>
      <c r="C2137">
        <v>27</v>
      </c>
      <c r="D2137">
        <v>74</v>
      </c>
      <c r="E2137">
        <v>428</v>
      </c>
      <c r="F2137">
        <v>443</v>
      </c>
      <c r="K2137" s="1">
        <f t="shared" si="209"/>
        <v>428</v>
      </c>
      <c r="L2137" s="1" t="str">
        <f t="shared" si="204"/>
        <v>Normal</v>
      </c>
      <c r="M2137" s="2">
        <f t="shared" si="205"/>
        <v>32</v>
      </c>
      <c r="N2137" s="1" t="str">
        <f t="shared" si="206"/>
        <v>Lembab</v>
      </c>
      <c r="O2137" t="str">
        <f t="shared" si="207"/>
        <v>Fuzzy</v>
      </c>
      <c r="P2137" t="str">
        <f t="shared" si="208"/>
        <v>Fuzzy</v>
      </c>
    </row>
    <row r="2138" spans="1:16" x14ac:dyDescent="0.35">
      <c r="A2138" t="s">
        <v>2141</v>
      </c>
      <c r="B2138">
        <v>6351</v>
      </c>
      <c r="C2138">
        <v>27</v>
      </c>
      <c r="D2138">
        <v>74</v>
      </c>
      <c r="E2138">
        <v>375</v>
      </c>
      <c r="F2138">
        <v>447</v>
      </c>
      <c r="K2138" s="1">
        <f t="shared" si="209"/>
        <v>375</v>
      </c>
      <c r="L2138" s="1" t="str">
        <f t="shared" si="204"/>
        <v>Normal</v>
      </c>
      <c r="M2138" s="2">
        <f t="shared" si="205"/>
        <v>18.75</v>
      </c>
      <c r="N2138" s="1" t="str">
        <f t="shared" si="206"/>
        <v>Kering</v>
      </c>
      <c r="O2138" t="str">
        <f t="shared" si="207"/>
        <v>Fuzzy</v>
      </c>
      <c r="P2138" t="str">
        <f t="shared" si="208"/>
        <v>Fuzzy</v>
      </c>
    </row>
    <row r="2139" spans="1:16" x14ac:dyDescent="0.35">
      <c r="A2139" t="s">
        <v>2142</v>
      </c>
      <c r="B2139">
        <v>6352</v>
      </c>
      <c r="C2139">
        <v>27</v>
      </c>
      <c r="D2139">
        <v>76</v>
      </c>
      <c r="E2139">
        <v>431</v>
      </c>
      <c r="F2139">
        <v>451</v>
      </c>
      <c r="K2139" s="1">
        <f t="shared" si="209"/>
        <v>431</v>
      </c>
      <c r="L2139" s="1" t="str">
        <f t="shared" si="204"/>
        <v>Normal</v>
      </c>
      <c r="M2139" s="2">
        <f t="shared" si="205"/>
        <v>32.75</v>
      </c>
      <c r="N2139" s="1" t="str">
        <f t="shared" si="206"/>
        <v>Lembab</v>
      </c>
      <c r="O2139" t="str">
        <f t="shared" si="207"/>
        <v>Fuzzy</v>
      </c>
      <c r="P2139" t="str">
        <f t="shared" si="208"/>
        <v>Fuzzy</v>
      </c>
    </row>
    <row r="2140" spans="1:16" x14ac:dyDescent="0.35">
      <c r="A2140" t="s">
        <v>2143</v>
      </c>
      <c r="B2140">
        <v>6353</v>
      </c>
      <c r="C2140">
        <v>27</v>
      </c>
      <c r="D2140">
        <v>76</v>
      </c>
      <c r="E2140">
        <v>461</v>
      </c>
      <c r="F2140">
        <v>263</v>
      </c>
      <c r="K2140" s="1">
        <f t="shared" si="209"/>
        <v>461</v>
      </c>
      <c r="L2140" s="1" t="str">
        <f t="shared" si="204"/>
        <v>Normal</v>
      </c>
      <c r="M2140" s="2">
        <f t="shared" si="205"/>
        <v>40.25</v>
      </c>
      <c r="N2140" s="1" t="str">
        <f t="shared" si="206"/>
        <v>Lembab</v>
      </c>
      <c r="O2140" t="str">
        <f t="shared" si="207"/>
        <v>Fuzzy</v>
      </c>
      <c r="P2140" t="str">
        <f t="shared" si="208"/>
        <v>Fuzzy</v>
      </c>
    </row>
    <row r="2141" spans="1:16" x14ac:dyDescent="0.35">
      <c r="A2141" t="s">
        <v>2144</v>
      </c>
      <c r="B2141">
        <v>6354</v>
      </c>
      <c r="C2141">
        <v>27</v>
      </c>
      <c r="D2141">
        <v>76</v>
      </c>
      <c r="E2141">
        <v>351</v>
      </c>
      <c r="F2141">
        <v>450</v>
      </c>
      <c r="K2141" s="1">
        <f t="shared" si="209"/>
        <v>351</v>
      </c>
      <c r="L2141" s="1" t="str">
        <f t="shared" si="204"/>
        <v>Normal</v>
      </c>
      <c r="M2141" s="2">
        <f t="shared" si="205"/>
        <v>12.75</v>
      </c>
      <c r="N2141" s="1" t="str">
        <f t="shared" si="206"/>
        <v>Kering</v>
      </c>
      <c r="O2141" t="str">
        <f t="shared" si="207"/>
        <v>Fuzzy</v>
      </c>
      <c r="P2141" t="str">
        <f t="shared" si="208"/>
        <v>Fuzzy</v>
      </c>
    </row>
    <row r="2142" spans="1:16" x14ac:dyDescent="0.35">
      <c r="A2142" t="s">
        <v>2145</v>
      </c>
      <c r="B2142">
        <v>6355</v>
      </c>
      <c r="C2142">
        <v>27</v>
      </c>
      <c r="D2142">
        <v>76</v>
      </c>
      <c r="E2142">
        <v>474</v>
      </c>
      <c r="F2142">
        <v>443</v>
      </c>
      <c r="K2142" s="1">
        <f t="shared" si="209"/>
        <v>474</v>
      </c>
      <c r="L2142" s="1" t="str">
        <f t="shared" si="204"/>
        <v>Normal</v>
      </c>
      <c r="M2142" s="2">
        <f t="shared" si="205"/>
        <v>43.5</v>
      </c>
      <c r="N2142" s="1" t="str">
        <f t="shared" si="206"/>
        <v>Lembab</v>
      </c>
      <c r="O2142" t="str">
        <f t="shared" si="207"/>
        <v>Fuzzy</v>
      </c>
      <c r="P2142" t="str">
        <f t="shared" si="208"/>
        <v>Fuzzy</v>
      </c>
    </row>
    <row r="2143" spans="1:16" x14ac:dyDescent="0.35">
      <c r="A2143" t="s">
        <v>2146</v>
      </c>
      <c r="B2143">
        <v>6356</v>
      </c>
      <c r="C2143">
        <v>26</v>
      </c>
      <c r="D2143">
        <v>78</v>
      </c>
      <c r="E2143">
        <v>426</v>
      </c>
      <c r="F2143">
        <v>437</v>
      </c>
      <c r="K2143" s="1">
        <f t="shared" si="209"/>
        <v>426</v>
      </c>
      <c r="L2143" s="1" t="str">
        <f t="shared" si="204"/>
        <v>Normal</v>
      </c>
      <c r="M2143" s="2">
        <f t="shared" si="205"/>
        <v>31.5</v>
      </c>
      <c r="N2143" s="1" t="str">
        <f t="shared" si="206"/>
        <v>Lembab</v>
      </c>
      <c r="O2143" t="str">
        <f t="shared" si="207"/>
        <v>Fuzzy</v>
      </c>
      <c r="P2143" t="str">
        <f t="shared" si="208"/>
        <v>Fuzzy</v>
      </c>
    </row>
    <row r="2144" spans="1:16" x14ac:dyDescent="0.35">
      <c r="A2144" t="s">
        <v>2147</v>
      </c>
      <c r="B2144">
        <v>6357</v>
      </c>
      <c r="C2144">
        <v>26</v>
      </c>
      <c r="D2144">
        <v>78</v>
      </c>
      <c r="E2144">
        <v>420</v>
      </c>
      <c r="F2144">
        <v>432</v>
      </c>
      <c r="K2144" s="1">
        <f t="shared" si="209"/>
        <v>420</v>
      </c>
      <c r="L2144" s="1" t="str">
        <f t="shared" si="204"/>
        <v>Normal</v>
      </c>
      <c r="M2144" s="2">
        <f t="shared" si="205"/>
        <v>30</v>
      </c>
      <c r="N2144" s="1" t="str">
        <f t="shared" si="206"/>
        <v>Lembab</v>
      </c>
      <c r="O2144" t="str">
        <f t="shared" si="207"/>
        <v>Fuzzy</v>
      </c>
      <c r="P2144" t="str">
        <f t="shared" si="208"/>
        <v>Fuzzy</v>
      </c>
    </row>
    <row r="2145" spans="1:16" x14ac:dyDescent="0.35">
      <c r="A2145" t="s">
        <v>2148</v>
      </c>
      <c r="B2145">
        <v>6358</v>
      </c>
      <c r="C2145">
        <v>26</v>
      </c>
      <c r="D2145">
        <v>78</v>
      </c>
      <c r="E2145">
        <v>427</v>
      </c>
      <c r="F2145">
        <v>426</v>
      </c>
      <c r="K2145" s="1">
        <f t="shared" si="209"/>
        <v>427</v>
      </c>
      <c r="L2145" s="1" t="str">
        <f t="shared" si="204"/>
        <v>Normal</v>
      </c>
      <c r="M2145" s="2">
        <f t="shared" si="205"/>
        <v>31.75</v>
      </c>
      <c r="N2145" s="1" t="str">
        <f t="shared" si="206"/>
        <v>Lembab</v>
      </c>
      <c r="O2145" t="str">
        <f t="shared" si="207"/>
        <v>Fuzzy</v>
      </c>
      <c r="P2145" t="str">
        <f t="shared" si="208"/>
        <v>Fuzzy</v>
      </c>
    </row>
    <row r="2146" spans="1:16" x14ac:dyDescent="0.35">
      <c r="A2146" t="s">
        <v>2149</v>
      </c>
      <c r="B2146">
        <v>6359</v>
      </c>
      <c r="C2146">
        <v>26</v>
      </c>
      <c r="D2146">
        <v>79</v>
      </c>
      <c r="E2146">
        <v>390</v>
      </c>
      <c r="F2146">
        <v>422</v>
      </c>
      <c r="K2146" s="1">
        <f t="shared" si="209"/>
        <v>390</v>
      </c>
      <c r="L2146" s="1" t="str">
        <f t="shared" si="204"/>
        <v>Normal</v>
      </c>
      <c r="M2146" s="2">
        <f t="shared" si="205"/>
        <v>22.5</v>
      </c>
      <c r="N2146" s="1" t="str">
        <f t="shared" si="206"/>
        <v>Kering</v>
      </c>
      <c r="O2146" t="str">
        <f t="shared" si="207"/>
        <v>Fuzzy</v>
      </c>
      <c r="P2146" t="str">
        <f t="shared" si="208"/>
        <v>Fuzzy</v>
      </c>
    </row>
    <row r="2147" spans="1:16" x14ac:dyDescent="0.35">
      <c r="A2147" t="s">
        <v>2150</v>
      </c>
      <c r="B2147">
        <v>6360</v>
      </c>
      <c r="C2147">
        <v>26</v>
      </c>
      <c r="D2147">
        <v>79</v>
      </c>
      <c r="E2147">
        <v>607</v>
      </c>
      <c r="F2147">
        <v>419</v>
      </c>
      <c r="K2147" s="1">
        <f t="shared" si="209"/>
        <v>607</v>
      </c>
      <c r="L2147" s="1" t="str">
        <f t="shared" si="204"/>
        <v>Normal</v>
      </c>
      <c r="M2147" s="2">
        <f t="shared" si="205"/>
        <v>76.75</v>
      </c>
      <c r="N2147" s="1" t="str">
        <f t="shared" si="206"/>
        <v>Basah</v>
      </c>
      <c r="O2147" t="str">
        <f t="shared" si="207"/>
        <v>Fuzzy</v>
      </c>
      <c r="P2147" t="str">
        <f t="shared" si="208"/>
        <v>Fuzzy</v>
      </c>
    </row>
    <row r="2148" spans="1:16" x14ac:dyDescent="0.35">
      <c r="A2148" t="s">
        <v>2151</v>
      </c>
      <c r="B2148">
        <v>6361</v>
      </c>
      <c r="C2148">
        <v>26</v>
      </c>
      <c r="D2148">
        <v>80</v>
      </c>
      <c r="E2148">
        <v>609</v>
      </c>
      <c r="F2148">
        <v>415</v>
      </c>
      <c r="K2148" s="1">
        <f t="shared" si="209"/>
        <v>609</v>
      </c>
      <c r="L2148" s="1" t="str">
        <f t="shared" si="204"/>
        <v>Normal</v>
      </c>
      <c r="M2148" s="2">
        <f t="shared" si="205"/>
        <v>77.25</v>
      </c>
      <c r="N2148" s="1" t="str">
        <f t="shared" si="206"/>
        <v>Basah</v>
      </c>
      <c r="O2148" t="str">
        <f t="shared" si="207"/>
        <v>Fuzzy</v>
      </c>
      <c r="P2148" t="str">
        <f t="shared" si="208"/>
        <v>Fuzzy</v>
      </c>
    </row>
    <row r="2149" spans="1:16" x14ac:dyDescent="0.35">
      <c r="A2149" t="s">
        <v>2152</v>
      </c>
      <c r="B2149">
        <v>6362</v>
      </c>
      <c r="C2149">
        <v>26</v>
      </c>
      <c r="D2149">
        <v>80</v>
      </c>
      <c r="E2149">
        <v>427</v>
      </c>
      <c r="F2149">
        <v>412</v>
      </c>
      <c r="K2149" s="1">
        <f t="shared" si="209"/>
        <v>427</v>
      </c>
      <c r="L2149" s="1" t="str">
        <f t="shared" si="204"/>
        <v>Normal</v>
      </c>
      <c r="M2149" s="2">
        <f t="shared" si="205"/>
        <v>31.75</v>
      </c>
      <c r="N2149" s="1" t="str">
        <f t="shared" si="206"/>
        <v>Lembab</v>
      </c>
      <c r="O2149" t="str">
        <f t="shared" si="207"/>
        <v>Fuzzy</v>
      </c>
      <c r="P2149" t="str">
        <f t="shared" si="208"/>
        <v>Fuzzy</v>
      </c>
    </row>
    <row r="2150" spans="1:16" x14ac:dyDescent="0.35">
      <c r="A2150" t="s">
        <v>2153</v>
      </c>
      <c r="B2150">
        <v>6363</v>
      </c>
      <c r="C2150">
        <v>26</v>
      </c>
      <c r="D2150">
        <v>80</v>
      </c>
      <c r="E2150">
        <v>433</v>
      </c>
      <c r="F2150">
        <v>410</v>
      </c>
      <c r="K2150" s="1">
        <f t="shared" si="209"/>
        <v>433</v>
      </c>
      <c r="L2150" s="1" t="str">
        <f t="shared" si="204"/>
        <v>Normal</v>
      </c>
      <c r="M2150" s="2">
        <f t="shared" si="205"/>
        <v>33.25</v>
      </c>
      <c r="N2150" s="1" t="str">
        <f t="shared" si="206"/>
        <v>Lembab</v>
      </c>
      <c r="O2150" t="str">
        <f t="shared" si="207"/>
        <v>Fuzzy</v>
      </c>
      <c r="P2150" t="str">
        <f t="shared" si="208"/>
        <v>Fuzzy</v>
      </c>
    </row>
    <row r="2151" spans="1:16" x14ac:dyDescent="0.35">
      <c r="A2151" t="s">
        <v>2154</v>
      </c>
      <c r="B2151">
        <v>6364</v>
      </c>
      <c r="C2151">
        <v>26</v>
      </c>
      <c r="D2151">
        <v>80</v>
      </c>
      <c r="E2151">
        <v>416</v>
      </c>
      <c r="F2151">
        <v>411</v>
      </c>
      <c r="K2151" s="1">
        <f t="shared" si="209"/>
        <v>416</v>
      </c>
      <c r="L2151" s="1" t="str">
        <f t="shared" si="204"/>
        <v>Normal</v>
      </c>
      <c r="M2151" s="2">
        <f t="shared" si="205"/>
        <v>28.999999999999996</v>
      </c>
      <c r="N2151" s="1" t="str">
        <f t="shared" si="206"/>
        <v>Kering</v>
      </c>
      <c r="O2151" t="str">
        <f t="shared" si="207"/>
        <v>Fuzzy</v>
      </c>
      <c r="P2151" t="str">
        <f t="shared" si="208"/>
        <v>Fuzzy</v>
      </c>
    </row>
    <row r="2152" spans="1:16" x14ac:dyDescent="0.35">
      <c r="A2152" t="s">
        <v>2155</v>
      </c>
      <c r="B2152">
        <v>6365</v>
      </c>
      <c r="C2152">
        <v>26</v>
      </c>
      <c r="D2152">
        <v>80</v>
      </c>
      <c r="E2152">
        <v>356</v>
      </c>
      <c r="F2152">
        <v>411</v>
      </c>
      <c r="K2152" s="1">
        <f t="shared" si="209"/>
        <v>356</v>
      </c>
      <c r="L2152" s="1" t="str">
        <f t="shared" si="204"/>
        <v>Normal</v>
      </c>
      <c r="M2152" s="2">
        <f t="shared" si="205"/>
        <v>14.000000000000002</v>
      </c>
      <c r="N2152" s="1" t="str">
        <f t="shared" si="206"/>
        <v>Kering</v>
      </c>
      <c r="O2152" t="str">
        <f t="shared" si="207"/>
        <v>Fuzzy</v>
      </c>
      <c r="P2152" t="str">
        <f t="shared" si="208"/>
        <v>Fuzzy</v>
      </c>
    </row>
    <row r="2153" spans="1:16" x14ac:dyDescent="0.35">
      <c r="A2153" t="s">
        <v>2156</v>
      </c>
      <c r="B2153">
        <v>6366</v>
      </c>
      <c r="C2153">
        <v>26</v>
      </c>
      <c r="D2153">
        <v>81</v>
      </c>
      <c r="E2153">
        <v>446</v>
      </c>
      <c r="F2153">
        <v>412</v>
      </c>
      <c r="K2153" s="1">
        <f t="shared" si="209"/>
        <v>446</v>
      </c>
      <c r="L2153" s="1" t="str">
        <f t="shared" si="204"/>
        <v>Normal</v>
      </c>
      <c r="M2153" s="2">
        <f t="shared" si="205"/>
        <v>36.5</v>
      </c>
      <c r="N2153" s="1" t="str">
        <f t="shared" si="206"/>
        <v>Lembab</v>
      </c>
      <c r="O2153" t="str">
        <f t="shared" si="207"/>
        <v>Fuzzy</v>
      </c>
      <c r="P2153" t="str">
        <f t="shared" si="208"/>
        <v>Fuzzy</v>
      </c>
    </row>
    <row r="2154" spans="1:16" x14ac:dyDescent="0.35">
      <c r="A2154" t="s">
        <v>2157</v>
      </c>
      <c r="B2154">
        <v>6367</v>
      </c>
      <c r="C2154">
        <v>26</v>
      </c>
      <c r="D2154">
        <v>81</v>
      </c>
      <c r="E2154">
        <v>359</v>
      </c>
      <c r="F2154">
        <v>416</v>
      </c>
      <c r="K2154" s="1">
        <f t="shared" si="209"/>
        <v>359</v>
      </c>
      <c r="L2154" s="1" t="str">
        <f t="shared" si="204"/>
        <v>Normal</v>
      </c>
      <c r="M2154" s="2">
        <f t="shared" si="205"/>
        <v>14.75</v>
      </c>
      <c r="N2154" s="1" t="str">
        <f t="shared" si="206"/>
        <v>Kering</v>
      </c>
      <c r="O2154" t="str">
        <f t="shared" si="207"/>
        <v>Fuzzy</v>
      </c>
      <c r="P2154" t="str">
        <f t="shared" si="208"/>
        <v>Fuzzy</v>
      </c>
    </row>
    <row r="2155" spans="1:16" x14ac:dyDescent="0.35">
      <c r="A2155" t="s">
        <v>2158</v>
      </c>
      <c r="B2155">
        <v>6368</v>
      </c>
      <c r="C2155">
        <v>26</v>
      </c>
      <c r="D2155">
        <v>81</v>
      </c>
      <c r="E2155">
        <v>435</v>
      </c>
      <c r="F2155">
        <v>419</v>
      </c>
      <c r="K2155" s="1">
        <f t="shared" si="209"/>
        <v>435</v>
      </c>
      <c r="L2155" s="1" t="str">
        <f t="shared" si="204"/>
        <v>Normal</v>
      </c>
      <c r="M2155" s="2">
        <f t="shared" si="205"/>
        <v>33.75</v>
      </c>
      <c r="N2155" s="1" t="str">
        <f t="shared" si="206"/>
        <v>Lembab</v>
      </c>
      <c r="O2155" t="str">
        <f t="shared" si="207"/>
        <v>Fuzzy</v>
      </c>
      <c r="P2155" t="str">
        <f t="shared" si="208"/>
        <v>Fuzzy</v>
      </c>
    </row>
    <row r="2156" spans="1:16" x14ac:dyDescent="0.35">
      <c r="A2156" t="s">
        <v>2159</v>
      </c>
      <c r="B2156">
        <v>6369</v>
      </c>
      <c r="C2156">
        <v>26</v>
      </c>
      <c r="D2156">
        <v>81</v>
      </c>
      <c r="E2156">
        <v>382</v>
      </c>
      <c r="F2156">
        <v>419</v>
      </c>
      <c r="K2156" s="1">
        <f t="shared" si="209"/>
        <v>382</v>
      </c>
      <c r="L2156" s="1" t="str">
        <f t="shared" si="204"/>
        <v>Normal</v>
      </c>
      <c r="M2156" s="2">
        <f t="shared" si="205"/>
        <v>20.5</v>
      </c>
      <c r="N2156" s="1" t="str">
        <f t="shared" si="206"/>
        <v>Kering</v>
      </c>
      <c r="O2156" t="str">
        <f t="shared" si="207"/>
        <v>Fuzzy</v>
      </c>
      <c r="P2156" t="str">
        <f t="shared" si="208"/>
        <v>Fuzzy</v>
      </c>
    </row>
    <row r="2157" spans="1:16" x14ac:dyDescent="0.35">
      <c r="A2157" t="s">
        <v>2160</v>
      </c>
      <c r="B2157">
        <v>6370</v>
      </c>
      <c r="C2157">
        <v>26</v>
      </c>
      <c r="D2157">
        <v>81</v>
      </c>
      <c r="E2157">
        <v>433</v>
      </c>
      <c r="F2157">
        <v>420</v>
      </c>
      <c r="K2157" s="1">
        <f t="shared" si="209"/>
        <v>433</v>
      </c>
      <c r="L2157" s="1" t="str">
        <f t="shared" si="204"/>
        <v>Normal</v>
      </c>
      <c r="M2157" s="2">
        <f t="shared" si="205"/>
        <v>33.25</v>
      </c>
      <c r="N2157" s="1" t="str">
        <f t="shared" si="206"/>
        <v>Lembab</v>
      </c>
      <c r="O2157" t="str">
        <f t="shared" si="207"/>
        <v>Fuzzy</v>
      </c>
      <c r="P2157" t="str">
        <f t="shared" si="208"/>
        <v>Fuzzy</v>
      </c>
    </row>
    <row r="2158" spans="1:16" x14ac:dyDescent="0.35">
      <c r="A2158" t="s">
        <v>2161</v>
      </c>
      <c r="B2158">
        <v>6371</v>
      </c>
      <c r="C2158">
        <v>26</v>
      </c>
      <c r="D2158">
        <v>81</v>
      </c>
      <c r="E2158">
        <v>440</v>
      </c>
      <c r="F2158">
        <v>418</v>
      </c>
      <c r="K2158" s="1">
        <f t="shared" si="209"/>
        <v>440</v>
      </c>
      <c r="L2158" s="1" t="str">
        <f t="shared" si="204"/>
        <v>Normal</v>
      </c>
      <c r="M2158" s="2">
        <f t="shared" si="205"/>
        <v>35</v>
      </c>
      <c r="N2158" s="1" t="str">
        <f t="shared" si="206"/>
        <v>Lembab</v>
      </c>
      <c r="O2158" t="str">
        <f t="shared" si="207"/>
        <v>Fuzzy</v>
      </c>
      <c r="P2158" t="str">
        <f t="shared" si="208"/>
        <v>Fuzzy</v>
      </c>
    </row>
    <row r="2159" spans="1:16" x14ac:dyDescent="0.35">
      <c r="A2159" t="s">
        <v>2162</v>
      </c>
      <c r="B2159">
        <v>6372</v>
      </c>
      <c r="C2159">
        <v>26</v>
      </c>
      <c r="D2159">
        <v>81</v>
      </c>
      <c r="E2159">
        <v>456</v>
      </c>
      <c r="F2159">
        <v>417</v>
      </c>
      <c r="K2159" s="1">
        <f t="shared" si="209"/>
        <v>456</v>
      </c>
      <c r="L2159" s="1" t="str">
        <f t="shared" si="204"/>
        <v>Normal</v>
      </c>
      <c r="M2159" s="2">
        <f t="shared" si="205"/>
        <v>39</v>
      </c>
      <c r="N2159" s="1" t="str">
        <f t="shared" si="206"/>
        <v>Lembab</v>
      </c>
      <c r="O2159" t="str">
        <f t="shared" si="207"/>
        <v>Fuzzy</v>
      </c>
      <c r="P2159" t="str">
        <f t="shared" si="208"/>
        <v>Fuzzy</v>
      </c>
    </row>
    <row r="2160" spans="1:16" x14ac:dyDescent="0.35">
      <c r="A2160" t="s">
        <v>2163</v>
      </c>
      <c r="B2160">
        <v>6373</v>
      </c>
      <c r="C2160">
        <v>26</v>
      </c>
      <c r="D2160">
        <v>81</v>
      </c>
      <c r="E2160">
        <v>379</v>
      </c>
      <c r="F2160">
        <v>416</v>
      </c>
      <c r="K2160" s="1">
        <f t="shared" si="209"/>
        <v>379</v>
      </c>
      <c r="L2160" s="1" t="str">
        <f t="shared" si="204"/>
        <v>Normal</v>
      </c>
      <c r="M2160" s="2">
        <f t="shared" si="205"/>
        <v>19.75</v>
      </c>
      <c r="N2160" s="1" t="str">
        <f t="shared" si="206"/>
        <v>Kering</v>
      </c>
      <c r="O2160" t="str">
        <f t="shared" si="207"/>
        <v>Fuzzy</v>
      </c>
      <c r="P2160" t="str">
        <f t="shared" si="208"/>
        <v>Fuzzy</v>
      </c>
    </row>
    <row r="2161" spans="1:16" x14ac:dyDescent="0.35">
      <c r="A2161" t="s">
        <v>2164</v>
      </c>
      <c r="B2161">
        <v>6374</v>
      </c>
      <c r="C2161">
        <v>26</v>
      </c>
      <c r="D2161">
        <v>82</v>
      </c>
      <c r="E2161">
        <v>411</v>
      </c>
      <c r="F2161">
        <v>423</v>
      </c>
      <c r="K2161" s="1">
        <f t="shared" si="209"/>
        <v>411</v>
      </c>
      <c r="L2161" s="1" t="str">
        <f t="shared" si="204"/>
        <v>Normal</v>
      </c>
      <c r="M2161" s="2">
        <f t="shared" si="205"/>
        <v>27.750000000000004</v>
      </c>
      <c r="N2161" s="1" t="str">
        <f t="shared" si="206"/>
        <v>Kering</v>
      </c>
      <c r="O2161" t="str">
        <f t="shared" si="207"/>
        <v>Fuzzy</v>
      </c>
      <c r="P2161" t="str">
        <f t="shared" si="208"/>
        <v>Fuzzy</v>
      </c>
    </row>
    <row r="2162" spans="1:16" x14ac:dyDescent="0.35">
      <c r="A2162" t="s">
        <v>2165</v>
      </c>
      <c r="B2162">
        <v>6375</v>
      </c>
      <c r="C2162">
        <v>26</v>
      </c>
      <c r="D2162">
        <v>82</v>
      </c>
      <c r="E2162">
        <v>427</v>
      </c>
      <c r="F2162">
        <v>433</v>
      </c>
      <c r="K2162" s="1">
        <f t="shared" si="209"/>
        <v>427</v>
      </c>
      <c r="L2162" s="1" t="str">
        <f t="shared" si="204"/>
        <v>Normal</v>
      </c>
      <c r="M2162" s="2">
        <f t="shared" si="205"/>
        <v>31.75</v>
      </c>
      <c r="N2162" s="1" t="str">
        <f t="shared" si="206"/>
        <v>Lembab</v>
      </c>
      <c r="O2162" t="str">
        <f t="shared" si="207"/>
        <v>Fuzzy</v>
      </c>
      <c r="P2162" t="str">
        <f t="shared" si="208"/>
        <v>Fuzzy</v>
      </c>
    </row>
    <row r="2163" spans="1:16" x14ac:dyDescent="0.35">
      <c r="A2163" t="s">
        <v>2166</v>
      </c>
      <c r="B2163">
        <v>6376</v>
      </c>
      <c r="C2163">
        <v>26</v>
      </c>
      <c r="D2163">
        <v>82</v>
      </c>
      <c r="E2163">
        <v>405</v>
      </c>
      <c r="F2163">
        <v>449</v>
      </c>
      <c r="K2163" s="1">
        <f t="shared" si="209"/>
        <v>405</v>
      </c>
      <c r="L2163" s="1" t="str">
        <f t="shared" si="204"/>
        <v>Normal</v>
      </c>
      <c r="M2163" s="2">
        <f t="shared" si="205"/>
        <v>26.25</v>
      </c>
      <c r="N2163" s="1" t="str">
        <f t="shared" si="206"/>
        <v>Kering</v>
      </c>
      <c r="O2163" t="str">
        <f t="shared" si="207"/>
        <v>Fuzzy</v>
      </c>
      <c r="P2163" t="str">
        <f t="shared" si="208"/>
        <v>Fuzzy</v>
      </c>
    </row>
    <row r="2164" spans="1:16" x14ac:dyDescent="0.35">
      <c r="A2164" t="s">
        <v>2167</v>
      </c>
      <c r="B2164">
        <v>6377</v>
      </c>
      <c r="C2164">
        <v>26</v>
      </c>
      <c r="D2164">
        <v>82</v>
      </c>
      <c r="E2164">
        <v>365</v>
      </c>
      <c r="F2164">
        <v>466</v>
      </c>
      <c r="K2164" s="1">
        <f t="shared" si="209"/>
        <v>365</v>
      </c>
      <c r="L2164" s="1" t="str">
        <f t="shared" si="204"/>
        <v>Normal</v>
      </c>
      <c r="M2164" s="2">
        <f t="shared" si="205"/>
        <v>16.25</v>
      </c>
      <c r="N2164" s="1" t="str">
        <f t="shared" si="206"/>
        <v>Kering</v>
      </c>
      <c r="O2164" t="str">
        <f t="shared" si="207"/>
        <v>Fuzzy</v>
      </c>
      <c r="P2164" t="str">
        <f t="shared" si="208"/>
        <v>Fuzzy</v>
      </c>
    </row>
    <row r="2165" spans="1:16" x14ac:dyDescent="0.35">
      <c r="A2165" t="s">
        <v>2168</v>
      </c>
      <c r="B2165">
        <v>6378</v>
      </c>
      <c r="C2165">
        <v>26</v>
      </c>
      <c r="D2165">
        <v>82</v>
      </c>
      <c r="E2165">
        <v>415</v>
      </c>
      <c r="F2165">
        <v>483</v>
      </c>
      <c r="K2165" s="1">
        <f t="shared" si="209"/>
        <v>415</v>
      </c>
      <c r="L2165" s="1" t="str">
        <f t="shared" si="204"/>
        <v>Normal</v>
      </c>
      <c r="M2165" s="2">
        <f t="shared" si="205"/>
        <v>28.749999999999996</v>
      </c>
      <c r="N2165" s="1" t="str">
        <f t="shared" si="206"/>
        <v>Kering</v>
      </c>
      <c r="O2165" t="str">
        <f t="shared" si="207"/>
        <v>Fuzzy</v>
      </c>
      <c r="P2165" t="str">
        <f t="shared" si="208"/>
        <v>Fuzzy</v>
      </c>
    </row>
    <row r="2166" spans="1:16" x14ac:dyDescent="0.35">
      <c r="A2166" t="s">
        <v>2169</v>
      </c>
      <c r="B2166">
        <v>6379</v>
      </c>
      <c r="C2166">
        <v>26</v>
      </c>
      <c r="D2166">
        <v>82</v>
      </c>
      <c r="E2166">
        <v>440</v>
      </c>
      <c r="F2166">
        <v>501</v>
      </c>
      <c r="K2166" s="1">
        <f t="shared" si="209"/>
        <v>440</v>
      </c>
      <c r="L2166" s="1" t="str">
        <f t="shared" si="204"/>
        <v>Normal</v>
      </c>
      <c r="M2166" s="2">
        <f t="shared" si="205"/>
        <v>35</v>
      </c>
      <c r="N2166" s="1" t="str">
        <f t="shared" si="206"/>
        <v>Lembab</v>
      </c>
      <c r="O2166" t="str">
        <f t="shared" si="207"/>
        <v>Fuzzy</v>
      </c>
      <c r="P2166" t="str">
        <f t="shared" si="208"/>
        <v>Fuzzy</v>
      </c>
    </row>
    <row r="2167" spans="1:16" x14ac:dyDescent="0.35">
      <c r="A2167" t="s">
        <v>2170</v>
      </c>
      <c r="B2167">
        <v>6380</v>
      </c>
      <c r="C2167">
        <v>26</v>
      </c>
      <c r="D2167">
        <v>82</v>
      </c>
      <c r="E2167">
        <v>410</v>
      </c>
      <c r="F2167">
        <v>310</v>
      </c>
      <c r="K2167" s="1">
        <f t="shared" si="209"/>
        <v>410</v>
      </c>
      <c r="L2167" s="1" t="str">
        <f t="shared" si="204"/>
        <v>Normal</v>
      </c>
      <c r="M2167" s="2">
        <f t="shared" si="205"/>
        <v>27.500000000000004</v>
      </c>
      <c r="N2167" s="1" t="str">
        <f t="shared" si="206"/>
        <v>Kering</v>
      </c>
      <c r="O2167" t="str">
        <f t="shared" si="207"/>
        <v>Fuzzy</v>
      </c>
      <c r="P2167" t="str">
        <f t="shared" si="208"/>
        <v>Fuzzy</v>
      </c>
    </row>
    <row r="2168" spans="1:16" x14ac:dyDescent="0.35">
      <c r="A2168" t="s">
        <v>2171</v>
      </c>
      <c r="B2168">
        <v>6381</v>
      </c>
      <c r="C2168">
        <v>26</v>
      </c>
      <c r="D2168">
        <v>82</v>
      </c>
      <c r="E2168">
        <v>713</v>
      </c>
      <c r="F2168">
        <v>516</v>
      </c>
      <c r="K2168" s="1">
        <f t="shared" si="209"/>
        <v>713</v>
      </c>
      <c r="L2168" s="1" t="str">
        <f t="shared" si="204"/>
        <v>Normal</v>
      </c>
      <c r="M2168" s="2">
        <f t="shared" si="205"/>
        <v>4.0247678018575854</v>
      </c>
      <c r="N2168" s="1" t="str">
        <f t="shared" si="206"/>
        <v>Kering</v>
      </c>
      <c r="O2168" t="str">
        <f t="shared" si="207"/>
        <v>Fuzzy</v>
      </c>
      <c r="P2168" t="str">
        <f t="shared" si="208"/>
        <v>Fuzzy</v>
      </c>
    </row>
    <row r="2169" spans="1:16" x14ac:dyDescent="0.35">
      <c r="A2169" t="s">
        <v>2172</v>
      </c>
      <c r="B2169">
        <v>6382</v>
      </c>
      <c r="C2169">
        <v>26</v>
      </c>
      <c r="D2169">
        <v>82</v>
      </c>
      <c r="E2169">
        <v>412</v>
      </c>
      <c r="F2169">
        <v>421</v>
      </c>
      <c r="K2169" s="1">
        <f t="shared" si="209"/>
        <v>412</v>
      </c>
      <c r="L2169" s="1" t="str">
        <f t="shared" si="204"/>
        <v>Normal</v>
      </c>
      <c r="M2169" s="2">
        <f t="shared" si="205"/>
        <v>28.000000000000004</v>
      </c>
      <c r="N2169" s="1" t="str">
        <f t="shared" si="206"/>
        <v>Kering</v>
      </c>
      <c r="O2169" t="str">
        <f t="shared" si="207"/>
        <v>Fuzzy</v>
      </c>
      <c r="P2169" t="str">
        <f t="shared" si="208"/>
        <v>Fuzzy</v>
      </c>
    </row>
    <row r="2170" spans="1:16" x14ac:dyDescent="0.35">
      <c r="A2170" t="s">
        <v>2173</v>
      </c>
      <c r="B2170">
        <v>6383</v>
      </c>
      <c r="C2170">
        <v>26</v>
      </c>
      <c r="D2170">
        <v>83</v>
      </c>
      <c r="E2170">
        <v>501</v>
      </c>
      <c r="F2170">
        <v>361</v>
      </c>
      <c r="K2170" s="1">
        <f t="shared" si="209"/>
        <v>501</v>
      </c>
      <c r="L2170" s="1" t="str">
        <f t="shared" si="204"/>
        <v>Normal</v>
      </c>
      <c r="M2170" s="2">
        <f t="shared" si="205"/>
        <v>50.249999999999993</v>
      </c>
      <c r="N2170" s="1" t="str">
        <f t="shared" si="206"/>
        <v>Lembab</v>
      </c>
      <c r="O2170" t="str">
        <f t="shared" si="207"/>
        <v>Fuzzy</v>
      </c>
      <c r="P2170" t="str">
        <f t="shared" si="208"/>
        <v>Fuzzy</v>
      </c>
    </row>
    <row r="2171" spans="1:16" x14ac:dyDescent="0.35">
      <c r="A2171" t="s">
        <v>2174</v>
      </c>
      <c r="B2171">
        <v>6384</v>
      </c>
      <c r="C2171">
        <v>26</v>
      </c>
      <c r="D2171">
        <v>83</v>
      </c>
      <c r="E2171">
        <v>428</v>
      </c>
      <c r="F2171">
        <v>522</v>
      </c>
      <c r="K2171" s="1">
        <f t="shared" si="209"/>
        <v>428</v>
      </c>
      <c r="L2171" s="1" t="str">
        <f t="shared" si="204"/>
        <v>Normal</v>
      </c>
      <c r="M2171" s="2">
        <f t="shared" si="205"/>
        <v>32</v>
      </c>
      <c r="N2171" s="1" t="str">
        <f t="shared" si="206"/>
        <v>Lembab</v>
      </c>
      <c r="O2171" t="str">
        <f t="shared" si="207"/>
        <v>Fuzzy</v>
      </c>
      <c r="P2171" t="str">
        <f t="shared" si="208"/>
        <v>Fuzzy</v>
      </c>
    </row>
    <row r="2172" spans="1:16" x14ac:dyDescent="0.35">
      <c r="A2172" t="s">
        <v>2175</v>
      </c>
      <c r="B2172">
        <v>6385</v>
      </c>
      <c r="C2172">
        <v>26</v>
      </c>
      <c r="D2172">
        <v>83</v>
      </c>
      <c r="E2172">
        <v>416</v>
      </c>
      <c r="F2172">
        <v>323</v>
      </c>
      <c r="K2172" s="1">
        <f t="shared" si="209"/>
        <v>416</v>
      </c>
      <c r="L2172" s="1" t="str">
        <f t="shared" si="204"/>
        <v>Normal</v>
      </c>
      <c r="M2172" s="2">
        <f t="shared" si="205"/>
        <v>28.999999999999996</v>
      </c>
      <c r="N2172" s="1" t="str">
        <f t="shared" si="206"/>
        <v>Kering</v>
      </c>
      <c r="O2172" t="str">
        <f t="shared" si="207"/>
        <v>Fuzzy</v>
      </c>
      <c r="P2172" t="str">
        <f t="shared" si="208"/>
        <v>Fuzzy</v>
      </c>
    </row>
    <row r="2173" spans="1:16" x14ac:dyDescent="0.35">
      <c r="A2173" t="s">
        <v>2176</v>
      </c>
      <c r="B2173">
        <v>6386</v>
      </c>
      <c r="C2173">
        <v>26</v>
      </c>
      <c r="D2173">
        <v>83</v>
      </c>
      <c r="E2173">
        <v>555</v>
      </c>
      <c r="F2173">
        <v>543</v>
      </c>
      <c r="K2173" s="1">
        <f t="shared" si="209"/>
        <v>555</v>
      </c>
      <c r="L2173" s="1" t="str">
        <f t="shared" si="204"/>
        <v>Normal</v>
      </c>
      <c r="M2173" s="2">
        <f t="shared" si="205"/>
        <v>63.749999999999993</v>
      </c>
      <c r="N2173" s="1" t="str">
        <f t="shared" si="206"/>
        <v>Lembab</v>
      </c>
      <c r="O2173" t="str">
        <f t="shared" si="207"/>
        <v>Fuzzy</v>
      </c>
      <c r="P2173" t="str">
        <f t="shared" si="208"/>
        <v>Fuzzy</v>
      </c>
    </row>
    <row r="2174" spans="1:16" x14ac:dyDescent="0.35">
      <c r="A2174" t="s">
        <v>2177</v>
      </c>
      <c r="B2174">
        <v>6387</v>
      </c>
      <c r="C2174">
        <v>26</v>
      </c>
      <c r="D2174">
        <v>83</v>
      </c>
      <c r="E2174">
        <v>421</v>
      </c>
      <c r="F2174">
        <v>537</v>
      </c>
      <c r="K2174" s="1">
        <f t="shared" si="209"/>
        <v>421</v>
      </c>
      <c r="L2174" s="1" t="str">
        <f t="shared" si="204"/>
        <v>Normal</v>
      </c>
      <c r="M2174" s="2">
        <f t="shared" si="205"/>
        <v>30.25</v>
      </c>
      <c r="N2174" s="1" t="str">
        <f t="shared" si="206"/>
        <v>Lembab</v>
      </c>
      <c r="O2174" t="str">
        <f t="shared" si="207"/>
        <v>Fuzzy</v>
      </c>
      <c r="P2174" t="str">
        <f t="shared" si="208"/>
        <v>Fuzzy</v>
      </c>
    </row>
    <row r="2175" spans="1:16" x14ac:dyDescent="0.35">
      <c r="A2175" t="s">
        <v>2178</v>
      </c>
      <c r="B2175">
        <v>6388</v>
      </c>
      <c r="C2175">
        <v>26</v>
      </c>
      <c r="D2175">
        <v>83</v>
      </c>
      <c r="E2175">
        <v>456</v>
      </c>
      <c r="F2175">
        <v>536</v>
      </c>
      <c r="K2175" s="1">
        <f t="shared" si="209"/>
        <v>456</v>
      </c>
      <c r="L2175" s="1" t="str">
        <f t="shared" si="204"/>
        <v>Normal</v>
      </c>
      <c r="M2175" s="2">
        <f t="shared" si="205"/>
        <v>39</v>
      </c>
      <c r="N2175" s="1" t="str">
        <f t="shared" si="206"/>
        <v>Lembab</v>
      </c>
      <c r="O2175" t="str">
        <f t="shared" si="207"/>
        <v>Fuzzy</v>
      </c>
      <c r="P2175" t="str">
        <f t="shared" si="208"/>
        <v>Fuzzy</v>
      </c>
    </row>
    <row r="2176" spans="1:16" x14ac:dyDescent="0.35">
      <c r="A2176" t="s">
        <v>2179</v>
      </c>
      <c r="B2176">
        <v>6389</v>
      </c>
      <c r="C2176">
        <v>26</v>
      </c>
      <c r="D2176">
        <v>83</v>
      </c>
      <c r="E2176">
        <v>402</v>
      </c>
      <c r="F2176">
        <v>533</v>
      </c>
      <c r="K2176" s="1">
        <f t="shared" si="209"/>
        <v>402</v>
      </c>
      <c r="L2176" s="1" t="str">
        <f t="shared" si="204"/>
        <v>Normal</v>
      </c>
      <c r="M2176" s="2">
        <f t="shared" si="205"/>
        <v>25.5</v>
      </c>
      <c r="N2176" s="1" t="str">
        <f t="shared" si="206"/>
        <v>Kering</v>
      </c>
      <c r="O2176" t="str">
        <f t="shared" si="207"/>
        <v>Fuzzy</v>
      </c>
      <c r="P2176" t="str">
        <f t="shared" si="208"/>
        <v>Fuzzy</v>
      </c>
    </row>
    <row r="2177" spans="1:16" x14ac:dyDescent="0.35">
      <c r="A2177" t="s">
        <v>2180</v>
      </c>
      <c r="B2177">
        <v>6390</v>
      </c>
      <c r="C2177">
        <v>26</v>
      </c>
      <c r="D2177">
        <v>83</v>
      </c>
      <c r="E2177">
        <v>412</v>
      </c>
      <c r="F2177">
        <v>534</v>
      </c>
      <c r="K2177" s="1">
        <f t="shared" si="209"/>
        <v>412</v>
      </c>
      <c r="L2177" s="1" t="str">
        <f t="shared" si="204"/>
        <v>Normal</v>
      </c>
      <c r="M2177" s="2">
        <f t="shared" si="205"/>
        <v>28.000000000000004</v>
      </c>
      <c r="N2177" s="1" t="str">
        <f t="shared" si="206"/>
        <v>Kering</v>
      </c>
      <c r="O2177" t="str">
        <f t="shared" si="207"/>
        <v>Fuzzy</v>
      </c>
      <c r="P2177" t="str">
        <f t="shared" si="208"/>
        <v>Fuzzy</v>
      </c>
    </row>
    <row r="2178" spans="1:16" x14ac:dyDescent="0.35">
      <c r="A2178" t="s">
        <v>2181</v>
      </c>
      <c r="B2178">
        <v>6391</v>
      </c>
      <c r="C2178">
        <v>26</v>
      </c>
      <c r="D2178">
        <v>83</v>
      </c>
      <c r="E2178">
        <v>391</v>
      </c>
      <c r="F2178">
        <v>540</v>
      </c>
      <c r="K2178" s="1">
        <f t="shared" si="209"/>
        <v>391</v>
      </c>
      <c r="L2178" s="1" t="str">
        <f t="shared" si="204"/>
        <v>Normal</v>
      </c>
      <c r="M2178" s="2">
        <f t="shared" si="205"/>
        <v>22.75</v>
      </c>
      <c r="N2178" s="1" t="str">
        <f t="shared" si="206"/>
        <v>Kering</v>
      </c>
      <c r="O2178" t="str">
        <f t="shared" si="207"/>
        <v>Fuzzy</v>
      </c>
      <c r="P2178" t="str">
        <f t="shared" si="208"/>
        <v>Fuzzy</v>
      </c>
    </row>
    <row r="2179" spans="1:16" x14ac:dyDescent="0.35">
      <c r="A2179" t="s">
        <v>2182</v>
      </c>
      <c r="B2179">
        <v>6392</v>
      </c>
      <c r="C2179">
        <v>26</v>
      </c>
      <c r="D2179">
        <v>83</v>
      </c>
      <c r="E2179">
        <v>381</v>
      </c>
      <c r="F2179">
        <v>549</v>
      </c>
      <c r="K2179" s="1">
        <f t="shared" si="209"/>
        <v>381</v>
      </c>
      <c r="L2179" s="1" t="str">
        <f t="shared" ref="L2179:L2242" si="210">IF(A2178 &lt;= 10, "Dingin", IF(OR(A2178 &gt;= 10, A2178 &lt; 35), "Normal", "Panas"))</f>
        <v>Normal</v>
      </c>
      <c r="M2179" s="2">
        <f t="shared" ref="M2179:M2242" si="211">IF(K2179&lt;=300, K2179/1023*100, IF(K2179&lt;=700, (K2179-300)/(700-301+1)*100, (K2179-700)/(1023-701+1)*100))</f>
        <v>20.25</v>
      </c>
      <c r="N2179" s="1" t="str">
        <f t="shared" ref="N2179:N2242" si="212">IF(M2179&lt;=29.32, "Kering", IF(M2179&lt;=68.53, "Lembab", "Basah"))</f>
        <v>Kering</v>
      </c>
      <c r="O2179" t="str">
        <f t="shared" ref="O2179:O2242" si="213">IF(OR(AND(C2179 &gt; 10, C2179 &lt; 22.5), AND(C2179 &gt;= 22.5, C2179 &lt; 35)), "Fuzzy", "")</f>
        <v>Fuzzy</v>
      </c>
      <c r="P2179" t="str">
        <f t="shared" ref="P2179:P2242" si="214">IF(OR(AND(M2179 &gt;= 0, M2179 &lt; 50), AND(M2179 &gt;= 50, M2179 &lt; 100)), "Fuzzy", "")</f>
        <v>Fuzzy</v>
      </c>
    </row>
    <row r="2180" spans="1:16" x14ac:dyDescent="0.35">
      <c r="A2180" t="s">
        <v>2183</v>
      </c>
      <c r="B2180">
        <v>6393</v>
      </c>
      <c r="C2180">
        <v>26</v>
      </c>
      <c r="D2180">
        <v>83</v>
      </c>
      <c r="E2180">
        <v>500</v>
      </c>
      <c r="F2180">
        <v>566</v>
      </c>
      <c r="K2180" s="1">
        <f t="shared" si="209"/>
        <v>500</v>
      </c>
      <c r="L2180" s="1" t="str">
        <f t="shared" si="210"/>
        <v>Normal</v>
      </c>
      <c r="M2180" s="2">
        <f t="shared" si="211"/>
        <v>50</v>
      </c>
      <c r="N2180" s="1" t="str">
        <f t="shared" si="212"/>
        <v>Lembab</v>
      </c>
      <c r="O2180" t="str">
        <f t="shared" si="213"/>
        <v>Fuzzy</v>
      </c>
      <c r="P2180" t="str">
        <f t="shared" si="214"/>
        <v>Fuzzy</v>
      </c>
    </row>
    <row r="2181" spans="1:16" x14ac:dyDescent="0.35">
      <c r="A2181" t="s">
        <v>2184</v>
      </c>
      <c r="B2181">
        <v>6394</v>
      </c>
      <c r="C2181">
        <v>26</v>
      </c>
      <c r="D2181">
        <v>82</v>
      </c>
      <c r="E2181">
        <v>406</v>
      </c>
      <c r="F2181">
        <v>581</v>
      </c>
      <c r="K2181" s="1">
        <f t="shared" si="209"/>
        <v>406</v>
      </c>
      <c r="L2181" s="1" t="str">
        <f t="shared" si="210"/>
        <v>Normal</v>
      </c>
      <c r="M2181" s="2">
        <f t="shared" si="211"/>
        <v>26.5</v>
      </c>
      <c r="N2181" s="1" t="str">
        <f t="shared" si="212"/>
        <v>Kering</v>
      </c>
      <c r="O2181" t="str">
        <f t="shared" si="213"/>
        <v>Fuzzy</v>
      </c>
      <c r="P2181" t="str">
        <f t="shared" si="214"/>
        <v>Fuzzy</v>
      </c>
    </row>
    <row r="2182" spans="1:16" x14ac:dyDescent="0.35">
      <c r="A2182" t="s">
        <v>2185</v>
      </c>
      <c r="B2182">
        <v>6395</v>
      </c>
      <c r="C2182">
        <v>26</v>
      </c>
      <c r="D2182">
        <v>83</v>
      </c>
      <c r="E2182">
        <v>414</v>
      </c>
      <c r="F2182">
        <v>603</v>
      </c>
      <c r="K2182" s="1">
        <f t="shared" si="209"/>
        <v>414</v>
      </c>
      <c r="L2182" s="1" t="str">
        <f t="shared" si="210"/>
        <v>Normal</v>
      </c>
      <c r="M2182" s="2">
        <f t="shared" si="211"/>
        <v>28.499999999999996</v>
      </c>
      <c r="N2182" s="1" t="str">
        <f t="shared" si="212"/>
        <v>Kering</v>
      </c>
      <c r="O2182" t="str">
        <f t="shared" si="213"/>
        <v>Fuzzy</v>
      </c>
      <c r="P2182" t="str">
        <f t="shared" si="214"/>
        <v>Fuzzy</v>
      </c>
    </row>
    <row r="2183" spans="1:16" x14ac:dyDescent="0.35">
      <c r="A2183" t="s">
        <v>2186</v>
      </c>
      <c r="B2183">
        <v>6396</v>
      </c>
      <c r="C2183">
        <v>26</v>
      </c>
      <c r="D2183">
        <v>83</v>
      </c>
      <c r="E2183">
        <v>424</v>
      </c>
      <c r="F2183">
        <v>615</v>
      </c>
      <c r="K2183" s="1">
        <f t="shared" si="209"/>
        <v>424</v>
      </c>
      <c r="L2183" s="1" t="str">
        <f t="shared" si="210"/>
        <v>Normal</v>
      </c>
      <c r="M2183" s="2">
        <f t="shared" si="211"/>
        <v>31</v>
      </c>
      <c r="N2183" s="1" t="str">
        <f t="shared" si="212"/>
        <v>Lembab</v>
      </c>
      <c r="O2183" t="str">
        <f t="shared" si="213"/>
        <v>Fuzzy</v>
      </c>
      <c r="P2183" t="str">
        <f t="shared" si="214"/>
        <v>Fuzzy</v>
      </c>
    </row>
    <row r="2184" spans="1:16" x14ac:dyDescent="0.35">
      <c r="A2184" t="s">
        <v>2187</v>
      </c>
      <c r="B2184">
        <v>6397</v>
      </c>
      <c r="C2184">
        <v>25</v>
      </c>
      <c r="D2184">
        <v>82</v>
      </c>
      <c r="E2184">
        <v>397</v>
      </c>
      <c r="F2184">
        <v>606</v>
      </c>
      <c r="K2184" s="1">
        <f t="shared" si="209"/>
        <v>397</v>
      </c>
      <c r="L2184" s="1" t="str">
        <f t="shared" si="210"/>
        <v>Normal</v>
      </c>
      <c r="M2184" s="2">
        <f t="shared" si="211"/>
        <v>24.25</v>
      </c>
      <c r="N2184" s="1" t="str">
        <f t="shared" si="212"/>
        <v>Kering</v>
      </c>
      <c r="O2184" t="str">
        <f t="shared" si="213"/>
        <v>Fuzzy</v>
      </c>
      <c r="P2184" t="str">
        <f t="shared" si="214"/>
        <v>Fuzzy</v>
      </c>
    </row>
    <row r="2185" spans="1:16" x14ac:dyDescent="0.35">
      <c r="A2185" t="s">
        <v>2188</v>
      </c>
      <c r="B2185">
        <v>6398</v>
      </c>
      <c r="C2185">
        <v>26</v>
      </c>
      <c r="D2185">
        <v>84</v>
      </c>
      <c r="E2185">
        <v>325</v>
      </c>
      <c r="F2185">
        <v>605</v>
      </c>
      <c r="K2185" s="1">
        <f t="shared" si="209"/>
        <v>325</v>
      </c>
      <c r="L2185" s="1" t="str">
        <f t="shared" si="210"/>
        <v>Normal</v>
      </c>
      <c r="M2185" s="2">
        <f t="shared" si="211"/>
        <v>6.25</v>
      </c>
      <c r="N2185" s="1" t="str">
        <f t="shared" si="212"/>
        <v>Kering</v>
      </c>
      <c r="O2185" t="str">
        <f t="shared" si="213"/>
        <v>Fuzzy</v>
      </c>
      <c r="P2185" t="str">
        <f t="shared" si="214"/>
        <v>Fuzzy</v>
      </c>
    </row>
    <row r="2186" spans="1:16" x14ac:dyDescent="0.35">
      <c r="A2186" t="s">
        <v>2189</v>
      </c>
      <c r="B2186">
        <v>6399</v>
      </c>
      <c r="C2186">
        <v>26</v>
      </c>
      <c r="D2186">
        <v>84</v>
      </c>
      <c r="E2186">
        <v>403</v>
      </c>
      <c r="F2186">
        <v>592</v>
      </c>
      <c r="K2186" s="1">
        <f t="shared" si="209"/>
        <v>403</v>
      </c>
      <c r="L2186" s="1" t="str">
        <f t="shared" si="210"/>
        <v>Normal</v>
      </c>
      <c r="M2186" s="2">
        <f t="shared" si="211"/>
        <v>25.75</v>
      </c>
      <c r="N2186" s="1" t="str">
        <f t="shared" si="212"/>
        <v>Kering</v>
      </c>
      <c r="O2186" t="str">
        <f t="shared" si="213"/>
        <v>Fuzzy</v>
      </c>
      <c r="P2186" t="str">
        <f t="shared" si="214"/>
        <v>Fuzzy</v>
      </c>
    </row>
    <row r="2187" spans="1:16" x14ac:dyDescent="0.35">
      <c r="A2187" t="s">
        <v>2190</v>
      </c>
      <c r="B2187">
        <v>6400</v>
      </c>
      <c r="C2187">
        <v>25</v>
      </c>
      <c r="D2187">
        <v>83</v>
      </c>
      <c r="E2187">
        <v>376</v>
      </c>
      <c r="F2187">
        <v>577</v>
      </c>
      <c r="K2187" s="1">
        <f t="shared" si="209"/>
        <v>376</v>
      </c>
      <c r="L2187" s="1" t="str">
        <f t="shared" si="210"/>
        <v>Normal</v>
      </c>
      <c r="M2187" s="2">
        <f t="shared" si="211"/>
        <v>19</v>
      </c>
      <c r="N2187" s="1" t="str">
        <f t="shared" si="212"/>
        <v>Kering</v>
      </c>
      <c r="O2187" t="str">
        <f t="shared" si="213"/>
        <v>Fuzzy</v>
      </c>
      <c r="P2187" t="str">
        <f t="shared" si="214"/>
        <v>Fuzzy</v>
      </c>
    </row>
    <row r="2188" spans="1:16" x14ac:dyDescent="0.35">
      <c r="A2188" t="s">
        <v>2191</v>
      </c>
      <c r="B2188">
        <v>6401</v>
      </c>
      <c r="C2188">
        <v>25</v>
      </c>
      <c r="D2188">
        <v>83</v>
      </c>
      <c r="E2188">
        <v>228</v>
      </c>
      <c r="F2188">
        <v>567</v>
      </c>
      <c r="K2188" s="1">
        <f t="shared" si="209"/>
        <v>228</v>
      </c>
      <c r="L2188" s="1" t="str">
        <f t="shared" si="210"/>
        <v>Normal</v>
      </c>
      <c r="M2188" s="2">
        <f t="shared" si="211"/>
        <v>22.287390029325511</v>
      </c>
      <c r="N2188" s="1" t="str">
        <f t="shared" si="212"/>
        <v>Kering</v>
      </c>
      <c r="O2188" t="str">
        <f t="shared" si="213"/>
        <v>Fuzzy</v>
      </c>
      <c r="P2188" t="str">
        <f t="shared" si="214"/>
        <v>Fuzzy</v>
      </c>
    </row>
    <row r="2189" spans="1:16" x14ac:dyDescent="0.35">
      <c r="A2189" t="s">
        <v>2192</v>
      </c>
      <c r="B2189">
        <v>6402</v>
      </c>
      <c r="C2189">
        <v>25</v>
      </c>
      <c r="D2189">
        <v>83</v>
      </c>
      <c r="E2189">
        <v>454</v>
      </c>
      <c r="F2189">
        <v>557</v>
      </c>
      <c r="K2189" s="1">
        <f t="shared" ref="K2189:K2252" si="215">IF(E2189&lt;=1023, E2189, "")</f>
        <v>454</v>
      </c>
      <c r="L2189" s="1" t="str">
        <f t="shared" si="210"/>
        <v>Normal</v>
      </c>
      <c r="M2189" s="2">
        <f t="shared" si="211"/>
        <v>38.5</v>
      </c>
      <c r="N2189" s="1" t="str">
        <f t="shared" si="212"/>
        <v>Lembab</v>
      </c>
      <c r="O2189" t="str">
        <f t="shared" si="213"/>
        <v>Fuzzy</v>
      </c>
      <c r="P2189" t="str">
        <f t="shared" si="214"/>
        <v>Fuzzy</v>
      </c>
    </row>
    <row r="2190" spans="1:16" x14ac:dyDescent="0.35">
      <c r="A2190" t="s">
        <v>2193</v>
      </c>
      <c r="B2190">
        <v>6403</v>
      </c>
      <c r="C2190">
        <v>25</v>
      </c>
      <c r="D2190">
        <v>83</v>
      </c>
      <c r="E2190">
        <v>414</v>
      </c>
      <c r="F2190">
        <v>547</v>
      </c>
      <c r="K2190" s="1">
        <f t="shared" si="215"/>
        <v>414</v>
      </c>
      <c r="L2190" s="1" t="str">
        <f t="shared" si="210"/>
        <v>Normal</v>
      </c>
      <c r="M2190" s="2">
        <f t="shared" si="211"/>
        <v>28.499999999999996</v>
      </c>
      <c r="N2190" s="1" t="str">
        <f t="shared" si="212"/>
        <v>Kering</v>
      </c>
      <c r="O2190" t="str">
        <f t="shared" si="213"/>
        <v>Fuzzy</v>
      </c>
      <c r="P2190" t="str">
        <f t="shared" si="214"/>
        <v>Fuzzy</v>
      </c>
    </row>
    <row r="2191" spans="1:16" x14ac:dyDescent="0.35">
      <c r="A2191" t="s">
        <v>2194</v>
      </c>
      <c r="B2191">
        <v>6404</v>
      </c>
      <c r="C2191">
        <v>25</v>
      </c>
      <c r="D2191">
        <v>83</v>
      </c>
      <c r="E2191">
        <v>410</v>
      </c>
      <c r="F2191">
        <v>537</v>
      </c>
      <c r="K2191" s="1">
        <f t="shared" si="215"/>
        <v>410</v>
      </c>
      <c r="L2191" s="1" t="str">
        <f t="shared" si="210"/>
        <v>Normal</v>
      </c>
      <c r="M2191" s="2">
        <f t="shared" si="211"/>
        <v>27.500000000000004</v>
      </c>
      <c r="N2191" s="1" t="str">
        <f t="shared" si="212"/>
        <v>Kering</v>
      </c>
      <c r="O2191" t="str">
        <f t="shared" si="213"/>
        <v>Fuzzy</v>
      </c>
      <c r="P2191" t="str">
        <f t="shared" si="214"/>
        <v>Fuzzy</v>
      </c>
    </row>
    <row r="2192" spans="1:16" x14ac:dyDescent="0.35">
      <c r="A2192" t="s">
        <v>2195</v>
      </c>
      <c r="B2192">
        <v>6405</v>
      </c>
      <c r="C2192">
        <v>25</v>
      </c>
      <c r="D2192">
        <v>83</v>
      </c>
      <c r="E2192">
        <v>420</v>
      </c>
      <c r="F2192">
        <v>527</v>
      </c>
      <c r="K2192" s="1">
        <f t="shared" si="215"/>
        <v>420</v>
      </c>
      <c r="L2192" s="1" t="str">
        <f t="shared" si="210"/>
        <v>Normal</v>
      </c>
      <c r="M2192" s="2">
        <f t="shared" si="211"/>
        <v>30</v>
      </c>
      <c r="N2192" s="1" t="str">
        <f t="shared" si="212"/>
        <v>Lembab</v>
      </c>
      <c r="O2192" t="str">
        <f t="shared" si="213"/>
        <v>Fuzzy</v>
      </c>
      <c r="P2192" t="str">
        <f t="shared" si="214"/>
        <v>Fuzzy</v>
      </c>
    </row>
    <row r="2193" spans="1:16" x14ac:dyDescent="0.35">
      <c r="A2193" t="s">
        <v>2196</v>
      </c>
      <c r="B2193">
        <v>6406</v>
      </c>
      <c r="C2193">
        <v>25</v>
      </c>
      <c r="D2193">
        <v>83</v>
      </c>
      <c r="E2193">
        <v>415</v>
      </c>
      <c r="F2193">
        <v>519</v>
      </c>
      <c r="K2193" s="1">
        <f t="shared" si="215"/>
        <v>415</v>
      </c>
      <c r="L2193" s="1" t="str">
        <f t="shared" si="210"/>
        <v>Normal</v>
      </c>
      <c r="M2193" s="2">
        <f t="shared" si="211"/>
        <v>28.749999999999996</v>
      </c>
      <c r="N2193" s="1" t="str">
        <f t="shared" si="212"/>
        <v>Kering</v>
      </c>
      <c r="O2193" t="str">
        <f t="shared" si="213"/>
        <v>Fuzzy</v>
      </c>
      <c r="P2193" t="str">
        <f t="shared" si="214"/>
        <v>Fuzzy</v>
      </c>
    </row>
    <row r="2194" spans="1:16" x14ac:dyDescent="0.35">
      <c r="A2194" t="s">
        <v>2197</v>
      </c>
      <c r="B2194">
        <v>6407</v>
      </c>
      <c r="C2194">
        <v>25</v>
      </c>
      <c r="D2194">
        <v>84</v>
      </c>
      <c r="E2194">
        <v>441</v>
      </c>
      <c r="F2194">
        <v>511</v>
      </c>
      <c r="K2194" s="1">
        <f t="shared" si="215"/>
        <v>441</v>
      </c>
      <c r="L2194" s="1" t="str">
        <f t="shared" si="210"/>
        <v>Normal</v>
      </c>
      <c r="M2194" s="2">
        <f t="shared" si="211"/>
        <v>35.25</v>
      </c>
      <c r="N2194" s="1" t="str">
        <f t="shared" si="212"/>
        <v>Lembab</v>
      </c>
      <c r="O2194" t="str">
        <f t="shared" si="213"/>
        <v>Fuzzy</v>
      </c>
      <c r="P2194" t="str">
        <f t="shared" si="214"/>
        <v>Fuzzy</v>
      </c>
    </row>
    <row r="2195" spans="1:16" x14ac:dyDescent="0.35">
      <c r="A2195" t="s">
        <v>2198</v>
      </c>
      <c r="B2195">
        <v>6408</v>
      </c>
      <c r="C2195">
        <v>26</v>
      </c>
      <c r="D2195">
        <v>84</v>
      </c>
      <c r="E2195">
        <v>457</v>
      </c>
      <c r="F2195">
        <v>507</v>
      </c>
      <c r="K2195" s="1">
        <f t="shared" si="215"/>
        <v>457</v>
      </c>
      <c r="L2195" s="1" t="str">
        <f t="shared" si="210"/>
        <v>Normal</v>
      </c>
      <c r="M2195" s="2">
        <f t="shared" si="211"/>
        <v>39.25</v>
      </c>
      <c r="N2195" s="1" t="str">
        <f t="shared" si="212"/>
        <v>Lembab</v>
      </c>
      <c r="O2195" t="str">
        <f t="shared" si="213"/>
        <v>Fuzzy</v>
      </c>
      <c r="P2195" t="str">
        <f t="shared" si="214"/>
        <v>Fuzzy</v>
      </c>
    </row>
    <row r="2196" spans="1:16" x14ac:dyDescent="0.35">
      <c r="A2196" t="s">
        <v>2199</v>
      </c>
      <c r="B2196">
        <v>6409</v>
      </c>
      <c r="C2196">
        <v>26</v>
      </c>
      <c r="D2196">
        <v>84</v>
      </c>
      <c r="E2196">
        <v>410</v>
      </c>
      <c r="F2196">
        <v>506</v>
      </c>
      <c r="K2196" s="1">
        <f t="shared" si="215"/>
        <v>410</v>
      </c>
      <c r="L2196" s="1" t="str">
        <f t="shared" si="210"/>
        <v>Normal</v>
      </c>
      <c r="M2196" s="2">
        <f t="shared" si="211"/>
        <v>27.500000000000004</v>
      </c>
      <c r="N2196" s="1" t="str">
        <f t="shared" si="212"/>
        <v>Kering</v>
      </c>
      <c r="O2196" t="str">
        <f t="shared" si="213"/>
        <v>Fuzzy</v>
      </c>
      <c r="P2196" t="str">
        <f t="shared" si="214"/>
        <v>Fuzzy</v>
      </c>
    </row>
    <row r="2197" spans="1:16" x14ac:dyDescent="0.35">
      <c r="A2197" t="s">
        <v>2200</v>
      </c>
      <c r="B2197">
        <v>6410</v>
      </c>
      <c r="C2197">
        <v>26</v>
      </c>
      <c r="D2197">
        <v>84</v>
      </c>
      <c r="E2197">
        <v>414</v>
      </c>
      <c r="F2197">
        <v>511</v>
      </c>
      <c r="K2197" s="1">
        <f t="shared" si="215"/>
        <v>414</v>
      </c>
      <c r="L2197" s="1" t="str">
        <f t="shared" si="210"/>
        <v>Normal</v>
      </c>
      <c r="M2197" s="2">
        <f t="shared" si="211"/>
        <v>28.499999999999996</v>
      </c>
      <c r="N2197" s="1" t="str">
        <f t="shared" si="212"/>
        <v>Kering</v>
      </c>
      <c r="O2197" t="str">
        <f t="shared" si="213"/>
        <v>Fuzzy</v>
      </c>
      <c r="P2197" t="str">
        <f t="shared" si="214"/>
        <v>Fuzzy</v>
      </c>
    </row>
    <row r="2198" spans="1:16" x14ac:dyDescent="0.35">
      <c r="A2198" t="s">
        <v>2201</v>
      </c>
      <c r="B2198">
        <v>6411</v>
      </c>
      <c r="C2198">
        <v>25</v>
      </c>
      <c r="D2198">
        <v>83</v>
      </c>
      <c r="E2198">
        <v>450</v>
      </c>
      <c r="F2198">
        <v>523</v>
      </c>
      <c r="K2198" s="1">
        <f t="shared" si="215"/>
        <v>450</v>
      </c>
      <c r="L2198" s="1" t="str">
        <f t="shared" si="210"/>
        <v>Normal</v>
      </c>
      <c r="M2198" s="2">
        <f t="shared" si="211"/>
        <v>37.5</v>
      </c>
      <c r="N2198" s="1" t="str">
        <f t="shared" si="212"/>
        <v>Lembab</v>
      </c>
      <c r="O2198" t="str">
        <f t="shared" si="213"/>
        <v>Fuzzy</v>
      </c>
      <c r="P2198" t="str">
        <f t="shared" si="214"/>
        <v>Fuzzy</v>
      </c>
    </row>
    <row r="2199" spans="1:16" x14ac:dyDescent="0.35">
      <c r="A2199" t="s">
        <v>2202</v>
      </c>
      <c r="B2199">
        <v>6412</v>
      </c>
      <c r="C2199">
        <v>26</v>
      </c>
      <c r="D2199">
        <v>84</v>
      </c>
      <c r="E2199">
        <v>406</v>
      </c>
      <c r="F2199">
        <v>542</v>
      </c>
      <c r="K2199" s="1">
        <f t="shared" si="215"/>
        <v>406</v>
      </c>
      <c r="L2199" s="1" t="str">
        <f t="shared" si="210"/>
        <v>Normal</v>
      </c>
      <c r="M2199" s="2">
        <f t="shared" si="211"/>
        <v>26.5</v>
      </c>
      <c r="N2199" s="1" t="str">
        <f t="shared" si="212"/>
        <v>Kering</v>
      </c>
      <c r="O2199" t="str">
        <f t="shared" si="213"/>
        <v>Fuzzy</v>
      </c>
      <c r="P2199" t="str">
        <f t="shared" si="214"/>
        <v>Fuzzy</v>
      </c>
    </row>
    <row r="2200" spans="1:16" x14ac:dyDescent="0.35">
      <c r="A2200" t="s">
        <v>2203</v>
      </c>
      <c r="B2200">
        <v>6413</v>
      </c>
      <c r="C2200">
        <v>25</v>
      </c>
      <c r="D2200">
        <v>83</v>
      </c>
      <c r="E2200">
        <v>397</v>
      </c>
      <c r="F2200">
        <v>562</v>
      </c>
      <c r="K2200" s="1">
        <f t="shared" si="215"/>
        <v>397</v>
      </c>
      <c r="L2200" s="1" t="str">
        <f t="shared" si="210"/>
        <v>Normal</v>
      </c>
      <c r="M2200" s="2">
        <f t="shared" si="211"/>
        <v>24.25</v>
      </c>
      <c r="N2200" s="1" t="str">
        <f t="shared" si="212"/>
        <v>Kering</v>
      </c>
      <c r="O2200" t="str">
        <f t="shared" si="213"/>
        <v>Fuzzy</v>
      </c>
      <c r="P2200" t="str">
        <f t="shared" si="214"/>
        <v>Fuzzy</v>
      </c>
    </row>
    <row r="2201" spans="1:16" x14ac:dyDescent="0.35">
      <c r="A2201" t="s">
        <v>2204</v>
      </c>
      <c r="B2201">
        <v>6414</v>
      </c>
      <c r="C2201">
        <v>26</v>
      </c>
      <c r="D2201">
        <v>84</v>
      </c>
      <c r="E2201">
        <v>701</v>
      </c>
      <c r="F2201">
        <v>604</v>
      </c>
      <c r="K2201" s="1">
        <f t="shared" si="215"/>
        <v>701</v>
      </c>
      <c r="L2201" s="1" t="str">
        <f t="shared" si="210"/>
        <v>Normal</v>
      </c>
      <c r="M2201" s="2">
        <f t="shared" si="211"/>
        <v>0.30959752321981426</v>
      </c>
      <c r="N2201" s="1" t="str">
        <f t="shared" si="212"/>
        <v>Kering</v>
      </c>
      <c r="O2201" t="str">
        <f t="shared" si="213"/>
        <v>Fuzzy</v>
      </c>
      <c r="P2201" t="str">
        <f t="shared" si="214"/>
        <v>Fuzzy</v>
      </c>
    </row>
    <row r="2202" spans="1:16" x14ac:dyDescent="0.35">
      <c r="A2202" t="s">
        <v>2205</v>
      </c>
      <c r="B2202">
        <v>6415</v>
      </c>
      <c r="C2202">
        <v>25</v>
      </c>
      <c r="D2202">
        <v>83</v>
      </c>
      <c r="E2202">
        <v>355</v>
      </c>
      <c r="F2202">
        <v>617</v>
      </c>
      <c r="K2202" s="1">
        <f t="shared" si="215"/>
        <v>355</v>
      </c>
      <c r="L2202" s="1" t="str">
        <f t="shared" si="210"/>
        <v>Normal</v>
      </c>
      <c r="M2202" s="2">
        <f t="shared" si="211"/>
        <v>13.750000000000002</v>
      </c>
      <c r="N2202" s="1" t="str">
        <f t="shared" si="212"/>
        <v>Kering</v>
      </c>
      <c r="O2202" t="str">
        <f t="shared" si="213"/>
        <v>Fuzzy</v>
      </c>
      <c r="P2202" t="str">
        <f t="shared" si="214"/>
        <v>Fuzzy</v>
      </c>
    </row>
    <row r="2203" spans="1:16" x14ac:dyDescent="0.35">
      <c r="A2203" t="s">
        <v>2206</v>
      </c>
      <c r="B2203">
        <v>6416</v>
      </c>
      <c r="C2203">
        <v>25</v>
      </c>
      <c r="D2203">
        <v>83</v>
      </c>
      <c r="E2203">
        <v>689</v>
      </c>
      <c r="F2203">
        <v>616</v>
      </c>
      <c r="K2203" s="1">
        <f t="shared" si="215"/>
        <v>689</v>
      </c>
      <c r="L2203" s="1" t="str">
        <f t="shared" si="210"/>
        <v>Normal</v>
      </c>
      <c r="M2203" s="2">
        <f t="shared" si="211"/>
        <v>97.25</v>
      </c>
      <c r="N2203" s="1" t="str">
        <f t="shared" si="212"/>
        <v>Basah</v>
      </c>
      <c r="O2203" t="str">
        <f t="shared" si="213"/>
        <v>Fuzzy</v>
      </c>
      <c r="P2203" t="str">
        <f t="shared" si="214"/>
        <v>Fuzzy</v>
      </c>
    </row>
    <row r="2204" spans="1:16" x14ac:dyDescent="0.35">
      <c r="A2204" t="s">
        <v>2207</v>
      </c>
      <c r="B2204">
        <v>6417</v>
      </c>
      <c r="C2204">
        <v>26</v>
      </c>
      <c r="D2204">
        <v>83</v>
      </c>
      <c r="E2204">
        <v>634</v>
      </c>
      <c r="F2204">
        <v>617</v>
      </c>
      <c r="K2204" s="1">
        <f t="shared" si="215"/>
        <v>634</v>
      </c>
      <c r="L2204" s="1" t="str">
        <f t="shared" si="210"/>
        <v>Normal</v>
      </c>
      <c r="M2204" s="2">
        <f t="shared" si="211"/>
        <v>83.5</v>
      </c>
      <c r="N2204" s="1" t="str">
        <f t="shared" si="212"/>
        <v>Basah</v>
      </c>
      <c r="O2204" t="str">
        <f t="shared" si="213"/>
        <v>Fuzzy</v>
      </c>
      <c r="P2204" t="str">
        <f t="shared" si="214"/>
        <v>Fuzzy</v>
      </c>
    </row>
    <row r="2205" spans="1:16" x14ac:dyDescent="0.35">
      <c r="A2205" t="s">
        <v>2208</v>
      </c>
      <c r="B2205">
        <v>6418</v>
      </c>
      <c r="C2205">
        <v>26</v>
      </c>
      <c r="D2205">
        <v>83</v>
      </c>
      <c r="E2205">
        <v>459</v>
      </c>
      <c r="F2205">
        <v>617</v>
      </c>
      <c r="K2205" s="1">
        <f t="shared" si="215"/>
        <v>459</v>
      </c>
      <c r="L2205" s="1" t="str">
        <f t="shared" si="210"/>
        <v>Normal</v>
      </c>
      <c r="M2205" s="2">
        <f t="shared" si="211"/>
        <v>39.75</v>
      </c>
      <c r="N2205" s="1" t="str">
        <f t="shared" si="212"/>
        <v>Lembab</v>
      </c>
      <c r="O2205" t="str">
        <f t="shared" si="213"/>
        <v>Fuzzy</v>
      </c>
      <c r="P2205" t="str">
        <f t="shared" si="214"/>
        <v>Fuzzy</v>
      </c>
    </row>
    <row r="2206" spans="1:16" x14ac:dyDescent="0.35">
      <c r="A2206" t="s">
        <v>2209</v>
      </c>
      <c r="B2206">
        <v>6419</v>
      </c>
      <c r="C2206">
        <v>26</v>
      </c>
      <c r="D2206">
        <v>83</v>
      </c>
      <c r="E2206">
        <v>377</v>
      </c>
      <c r="F2206">
        <v>614</v>
      </c>
      <c r="K2206" s="1">
        <f t="shared" si="215"/>
        <v>377</v>
      </c>
      <c r="L2206" s="1" t="str">
        <f t="shared" si="210"/>
        <v>Normal</v>
      </c>
      <c r="M2206" s="2">
        <f t="shared" si="211"/>
        <v>19.25</v>
      </c>
      <c r="N2206" s="1" t="str">
        <f t="shared" si="212"/>
        <v>Kering</v>
      </c>
      <c r="O2206" t="str">
        <f t="shared" si="213"/>
        <v>Fuzzy</v>
      </c>
      <c r="P2206" t="str">
        <f t="shared" si="214"/>
        <v>Fuzzy</v>
      </c>
    </row>
    <row r="2207" spans="1:16" x14ac:dyDescent="0.35">
      <c r="A2207" t="s">
        <v>2210</v>
      </c>
      <c r="B2207">
        <v>6420</v>
      </c>
      <c r="C2207">
        <v>26</v>
      </c>
      <c r="D2207">
        <v>83</v>
      </c>
      <c r="E2207">
        <v>246</v>
      </c>
      <c r="F2207">
        <v>568</v>
      </c>
      <c r="K2207" s="1">
        <f t="shared" si="215"/>
        <v>246</v>
      </c>
      <c r="L2207" s="1" t="str">
        <f t="shared" si="210"/>
        <v>Normal</v>
      </c>
      <c r="M2207" s="2">
        <f t="shared" si="211"/>
        <v>24.046920821114369</v>
      </c>
      <c r="N2207" s="1" t="str">
        <f t="shared" si="212"/>
        <v>Kering</v>
      </c>
      <c r="O2207" t="str">
        <f t="shared" si="213"/>
        <v>Fuzzy</v>
      </c>
      <c r="P2207" t="str">
        <f t="shared" si="214"/>
        <v>Fuzzy</v>
      </c>
    </row>
    <row r="2208" spans="1:16" x14ac:dyDescent="0.35">
      <c r="A2208" t="s">
        <v>2211</v>
      </c>
      <c r="B2208">
        <v>6421</v>
      </c>
      <c r="C2208">
        <v>26</v>
      </c>
      <c r="D2208">
        <v>83</v>
      </c>
      <c r="E2208">
        <v>412</v>
      </c>
      <c r="F2208">
        <v>536</v>
      </c>
      <c r="K2208" s="1">
        <f t="shared" si="215"/>
        <v>412</v>
      </c>
      <c r="L2208" s="1" t="str">
        <f t="shared" si="210"/>
        <v>Normal</v>
      </c>
      <c r="M2208" s="2">
        <f t="shared" si="211"/>
        <v>28.000000000000004</v>
      </c>
      <c r="N2208" s="1" t="str">
        <f t="shared" si="212"/>
        <v>Kering</v>
      </c>
      <c r="O2208" t="str">
        <f t="shared" si="213"/>
        <v>Fuzzy</v>
      </c>
      <c r="P2208" t="str">
        <f t="shared" si="214"/>
        <v>Fuzzy</v>
      </c>
    </row>
    <row r="2209" spans="1:16" x14ac:dyDescent="0.35">
      <c r="A2209" t="s">
        <v>2212</v>
      </c>
      <c r="B2209">
        <v>6422</v>
      </c>
      <c r="C2209">
        <v>26</v>
      </c>
      <c r="D2209">
        <v>83</v>
      </c>
      <c r="E2209">
        <v>400</v>
      </c>
      <c r="F2209">
        <v>527</v>
      </c>
      <c r="K2209" s="1">
        <f t="shared" si="215"/>
        <v>400</v>
      </c>
      <c r="L2209" s="1" t="str">
        <f t="shared" si="210"/>
        <v>Normal</v>
      </c>
      <c r="M2209" s="2">
        <f t="shared" si="211"/>
        <v>25</v>
      </c>
      <c r="N2209" s="1" t="str">
        <f t="shared" si="212"/>
        <v>Kering</v>
      </c>
      <c r="O2209" t="str">
        <f t="shared" si="213"/>
        <v>Fuzzy</v>
      </c>
      <c r="P2209" t="str">
        <f t="shared" si="214"/>
        <v>Fuzzy</v>
      </c>
    </row>
    <row r="2210" spans="1:16" x14ac:dyDescent="0.35">
      <c r="A2210" t="s">
        <v>2213</v>
      </c>
      <c r="B2210">
        <v>6423</v>
      </c>
      <c r="C2210">
        <v>26</v>
      </c>
      <c r="D2210">
        <v>83</v>
      </c>
      <c r="E2210">
        <v>373</v>
      </c>
      <c r="F2210">
        <v>552</v>
      </c>
      <c r="K2210" s="1">
        <f t="shared" si="215"/>
        <v>373</v>
      </c>
      <c r="L2210" s="1" t="str">
        <f t="shared" si="210"/>
        <v>Normal</v>
      </c>
      <c r="M2210" s="2">
        <f t="shared" si="211"/>
        <v>18.25</v>
      </c>
      <c r="N2210" s="1" t="str">
        <f t="shared" si="212"/>
        <v>Kering</v>
      </c>
      <c r="O2210" t="str">
        <f t="shared" si="213"/>
        <v>Fuzzy</v>
      </c>
      <c r="P2210" t="str">
        <f t="shared" si="214"/>
        <v>Fuzzy</v>
      </c>
    </row>
    <row r="2211" spans="1:16" x14ac:dyDescent="0.35">
      <c r="A2211" t="s">
        <v>2214</v>
      </c>
      <c r="B2211">
        <v>6424</v>
      </c>
      <c r="C2211">
        <v>26</v>
      </c>
      <c r="D2211">
        <v>82</v>
      </c>
      <c r="E2211">
        <v>393</v>
      </c>
      <c r="F2211">
        <v>617</v>
      </c>
      <c r="K2211" s="1">
        <f t="shared" si="215"/>
        <v>393</v>
      </c>
      <c r="L2211" s="1" t="str">
        <f t="shared" si="210"/>
        <v>Normal</v>
      </c>
      <c r="M2211" s="2">
        <f t="shared" si="211"/>
        <v>23.25</v>
      </c>
      <c r="N2211" s="1" t="str">
        <f t="shared" si="212"/>
        <v>Kering</v>
      </c>
      <c r="O2211" t="str">
        <f t="shared" si="213"/>
        <v>Fuzzy</v>
      </c>
      <c r="P2211" t="str">
        <f t="shared" si="214"/>
        <v>Fuzzy</v>
      </c>
    </row>
    <row r="2212" spans="1:16" x14ac:dyDescent="0.35">
      <c r="A2212" t="s">
        <v>2215</v>
      </c>
      <c r="B2212">
        <v>6425</v>
      </c>
      <c r="C2212">
        <v>26</v>
      </c>
      <c r="D2212">
        <v>82</v>
      </c>
      <c r="E2212">
        <v>457</v>
      </c>
      <c r="F2212">
        <v>616</v>
      </c>
      <c r="K2212" s="1">
        <f t="shared" si="215"/>
        <v>457</v>
      </c>
      <c r="L2212" s="1" t="str">
        <f t="shared" si="210"/>
        <v>Normal</v>
      </c>
      <c r="M2212" s="2">
        <f t="shared" si="211"/>
        <v>39.25</v>
      </c>
      <c r="N2212" s="1" t="str">
        <f t="shared" si="212"/>
        <v>Lembab</v>
      </c>
      <c r="O2212" t="str">
        <f t="shared" si="213"/>
        <v>Fuzzy</v>
      </c>
      <c r="P2212" t="str">
        <f t="shared" si="214"/>
        <v>Fuzzy</v>
      </c>
    </row>
    <row r="2213" spans="1:16" x14ac:dyDescent="0.35">
      <c r="A2213" t="s">
        <v>2216</v>
      </c>
      <c r="B2213">
        <v>6426</v>
      </c>
      <c r="C2213">
        <v>26</v>
      </c>
      <c r="D2213">
        <v>82</v>
      </c>
      <c r="E2213">
        <v>633</v>
      </c>
      <c r="F2213">
        <v>617</v>
      </c>
      <c r="K2213" s="1">
        <f t="shared" si="215"/>
        <v>633</v>
      </c>
      <c r="L2213" s="1" t="str">
        <f t="shared" si="210"/>
        <v>Normal</v>
      </c>
      <c r="M2213" s="2">
        <f t="shared" si="211"/>
        <v>83.25</v>
      </c>
      <c r="N2213" s="1" t="str">
        <f t="shared" si="212"/>
        <v>Basah</v>
      </c>
      <c r="O2213" t="str">
        <f t="shared" si="213"/>
        <v>Fuzzy</v>
      </c>
      <c r="P2213" t="str">
        <f t="shared" si="214"/>
        <v>Fuzzy</v>
      </c>
    </row>
    <row r="2214" spans="1:16" x14ac:dyDescent="0.35">
      <c r="A2214" t="s">
        <v>2217</v>
      </c>
      <c r="B2214">
        <v>6427</v>
      </c>
      <c r="C2214">
        <v>26</v>
      </c>
      <c r="D2214">
        <v>82</v>
      </c>
      <c r="E2214">
        <v>413</v>
      </c>
      <c r="F2214">
        <v>617</v>
      </c>
      <c r="K2214" s="1">
        <f t="shared" si="215"/>
        <v>413</v>
      </c>
      <c r="L2214" s="1" t="str">
        <f t="shared" si="210"/>
        <v>Normal</v>
      </c>
      <c r="M2214" s="2">
        <f t="shared" si="211"/>
        <v>28.249999999999996</v>
      </c>
      <c r="N2214" s="1" t="str">
        <f t="shared" si="212"/>
        <v>Kering</v>
      </c>
      <c r="O2214" t="str">
        <f t="shared" si="213"/>
        <v>Fuzzy</v>
      </c>
      <c r="P2214" t="str">
        <f t="shared" si="214"/>
        <v>Fuzzy</v>
      </c>
    </row>
    <row r="2215" spans="1:16" x14ac:dyDescent="0.35">
      <c r="A2215" t="s">
        <v>2218</v>
      </c>
      <c r="B2215">
        <v>6428</v>
      </c>
      <c r="C2215">
        <v>26</v>
      </c>
      <c r="D2215">
        <v>82</v>
      </c>
      <c r="E2215">
        <v>368</v>
      </c>
      <c r="F2215">
        <v>617</v>
      </c>
      <c r="K2215" s="1">
        <f t="shared" si="215"/>
        <v>368</v>
      </c>
      <c r="L2215" s="1" t="str">
        <f t="shared" si="210"/>
        <v>Normal</v>
      </c>
      <c r="M2215" s="2">
        <f t="shared" si="211"/>
        <v>17</v>
      </c>
      <c r="N2215" s="1" t="str">
        <f t="shared" si="212"/>
        <v>Kering</v>
      </c>
      <c r="O2215" t="str">
        <f t="shared" si="213"/>
        <v>Fuzzy</v>
      </c>
      <c r="P2215" t="str">
        <f t="shared" si="214"/>
        <v>Fuzzy</v>
      </c>
    </row>
    <row r="2216" spans="1:16" x14ac:dyDescent="0.35">
      <c r="A2216" t="s">
        <v>2219</v>
      </c>
      <c r="B2216">
        <v>6429</v>
      </c>
      <c r="C2216">
        <v>26</v>
      </c>
      <c r="D2216">
        <v>82</v>
      </c>
      <c r="E2216">
        <v>378</v>
      </c>
      <c r="F2216">
        <v>617</v>
      </c>
      <c r="K2216" s="1">
        <f t="shared" si="215"/>
        <v>378</v>
      </c>
      <c r="L2216" s="1" t="str">
        <f t="shared" si="210"/>
        <v>Normal</v>
      </c>
      <c r="M2216" s="2">
        <f t="shared" si="211"/>
        <v>19.5</v>
      </c>
      <c r="N2216" s="1" t="str">
        <f t="shared" si="212"/>
        <v>Kering</v>
      </c>
      <c r="O2216" t="str">
        <f t="shared" si="213"/>
        <v>Fuzzy</v>
      </c>
      <c r="P2216" t="str">
        <f t="shared" si="214"/>
        <v>Fuzzy</v>
      </c>
    </row>
    <row r="2217" spans="1:16" x14ac:dyDescent="0.35">
      <c r="A2217" t="s">
        <v>2220</v>
      </c>
      <c r="B2217">
        <v>6430</v>
      </c>
      <c r="C2217">
        <v>26</v>
      </c>
      <c r="D2217">
        <v>82</v>
      </c>
      <c r="E2217">
        <v>361</v>
      </c>
      <c r="F2217">
        <v>617</v>
      </c>
      <c r="K2217" s="1">
        <f t="shared" si="215"/>
        <v>361</v>
      </c>
      <c r="L2217" s="1" t="str">
        <f t="shared" si="210"/>
        <v>Normal</v>
      </c>
      <c r="M2217" s="2">
        <f t="shared" si="211"/>
        <v>15.25</v>
      </c>
      <c r="N2217" s="1" t="str">
        <f t="shared" si="212"/>
        <v>Kering</v>
      </c>
      <c r="O2217" t="str">
        <f t="shared" si="213"/>
        <v>Fuzzy</v>
      </c>
      <c r="P2217" t="str">
        <f t="shared" si="214"/>
        <v>Fuzzy</v>
      </c>
    </row>
    <row r="2218" spans="1:16" x14ac:dyDescent="0.35">
      <c r="A2218" t="s">
        <v>2221</v>
      </c>
      <c r="B2218">
        <v>6431</v>
      </c>
      <c r="C2218">
        <v>26</v>
      </c>
      <c r="D2218">
        <v>82</v>
      </c>
      <c r="E2218">
        <v>411</v>
      </c>
      <c r="F2218">
        <v>616</v>
      </c>
      <c r="K2218" s="1">
        <f t="shared" si="215"/>
        <v>411</v>
      </c>
      <c r="L2218" s="1" t="str">
        <f t="shared" si="210"/>
        <v>Normal</v>
      </c>
      <c r="M2218" s="2">
        <f t="shared" si="211"/>
        <v>27.750000000000004</v>
      </c>
      <c r="N2218" s="1" t="str">
        <f t="shared" si="212"/>
        <v>Kering</v>
      </c>
      <c r="O2218" t="str">
        <f t="shared" si="213"/>
        <v>Fuzzy</v>
      </c>
      <c r="P2218" t="str">
        <f t="shared" si="214"/>
        <v>Fuzzy</v>
      </c>
    </row>
    <row r="2219" spans="1:16" x14ac:dyDescent="0.35">
      <c r="A2219" t="s">
        <v>2222</v>
      </c>
      <c r="B2219">
        <v>6432</v>
      </c>
      <c r="C2219">
        <v>26</v>
      </c>
      <c r="D2219">
        <v>83</v>
      </c>
      <c r="E2219">
        <v>450</v>
      </c>
      <c r="F2219">
        <v>617</v>
      </c>
      <c r="K2219" s="1">
        <f t="shared" si="215"/>
        <v>450</v>
      </c>
      <c r="L2219" s="1" t="str">
        <f t="shared" si="210"/>
        <v>Normal</v>
      </c>
      <c r="M2219" s="2">
        <f t="shared" si="211"/>
        <v>37.5</v>
      </c>
      <c r="N2219" s="1" t="str">
        <f t="shared" si="212"/>
        <v>Lembab</v>
      </c>
      <c r="O2219" t="str">
        <f t="shared" si="213"/>
        <v>Fuzzy</v>
      </c>
      <c r="P2219" t="str">
        <f t="shared" si="214"/>
        <v>Fuzzy</v>
      </c>
    </row>
    <row r="2220" spans="1:16" x14ac:dyDescent="0.35">
      <c r="A2220" t="s">
        <v>2223</v>
      </c>
      <c r="B2220">
        <v>6433</v>
      </c>
      <c r="C2220">
        <v>26</v>
      </c>
      <c r="D2220">
        <v>83</v>
      </c>
      <c r="E2220">
        <v>396</v>
      </c>
      <c r="F2220">
        <v>617</v>
      </c>
      <c r="K2220" s="1">
        <f t="shared" si="215"/>
        <v>396</v>
      </c>
      <c r="L2220" s="1" t="str">
        <f t="shared" si="210"/>
        <v>Normal</v>
      </c>
      <c r="M2220" s="2">
        <f t="shared" si="211"/>
        <v>24</v>
      </c>
      <c r="N2220" s="1" t="str">
        <f t="shared" si="212"/>
        <v>Kering</v>
      </c>
      <c r="O2220" t="str">
        <f t="shared" si="213"/>
        <v>Fuzzy</v>
      </c>
      <c r="P2220" t="str">
        <f t="shared" si="214"/>
        <v>Fuzzy</v>
      </c>
    </row>
    <row r="2221" spans="1:16" x14ac:dyDescent="0.35">
      <c r="A2221" t="s">
        <v>2224</v>
      </c>
      <c r="B2221">
        <v>6434</v>
      </c>
      <c r="C2221">
        <v>26</v>
      </c>
      <c r="D2221">
        <v>83</v>
      </c>
      <c r="E2221">
        <v>381</v>
      </c>
      <c r="F2221">
        <v>616</v>
      </c>
      <c r="K2221" s="1">
        <f t="shared" si="215"/>
        <v>381</v>
      </c>
      <c r="L2221" s="1" t="str">
        <f t="shared" si="210"/>
        <v>Normal</v>
      </c>
      <c r="M2221" s="2">
        <f t="shared" si="211"/>
        <v>20.25</v>
      </c>
      <c r="N2221" s="1" t="str">
        <f t="shared" si="212"/>
        <v>Kering</v>
      </c>
      <c r="O2221" t="str">
        <f t="shared" si="213"/>
        <v>Fuzzy</v>
      </c>
      <c r="P2221" t="str">
        <f t="shared" si="214"/>
        <v>Fuzzy</v>
      </c>
    </row>
    <row r="2222" spans="1:16" x14ac:dyDescent="0.35">
      <c r="A2222" t="s">
        <v>2225</v>
      </c>
      <c r="B2222">
        <v>6435</v>
      </c>
      <c r="C2222">
        <v>26</v>
      </c>
      <c r="D2222">
        <v>83</v>
      </c>
      <c r="E2222">
        <v>423</v>
      </c>
      <c r="F2222">
        <v>617</v>
      </c>
      <c r="K2222" s="1">
        <f t="shared" si="215"/>
        <v>423</v>
      </c>
      <c r="L2222" s="1" t="str">
        <f t="shared" si="210"/>
        <v>Normal</v>
      </c>
      <c r="M2222" s="2">
        <f t="shared" si="211"/>
        <v>30.75</v>
      </c>
      <c r="N2222" s="1" t="str">
        <f t="shared" si="212"/>
        <v>Lembab</v>
      </c>
      <c r="O2222" t="str">
        <f t="shared" si="213"/>
        <v>Fuzzy</v>
      </c>
      <c r="P2222" t="str">
        <f t="shared" si="214"/>
        <v>Fuzzy</v>
      </c>
    </row>
    <row r="2223" spans="1:16" x14ac:dyDescent="0.35">
      <c r="A2223" t="s">
        <v>2226</v>
      </c>
      <c r="B2223">
        <v>6436</v>
      </c>
      <c r="C2223">
        <v>26</v>
      </c>
      <c r="D2223">
        <v>83</v>
      </c>
      <c r="E2223">
        <v>419</v>
      </c>
      <c r="F2223">
        <v>617</v>
      </c>
      <c r="K2223" s="1">
        <f t="shared" si="215"/>
        <v>419</v>
      </c>
      <c r="L2223" s="1" t="str">
        <f t="shared" si="210"/>
        <v>Normal</v>
      </c>
      <c r="M2223" s="2">
        <f t="shared" si="211"/>
        <v>29.75</v>
      </c>
      <c r="N2223" s="1" t="str">
        <f t="shared" si="212"/>
        <v>Lembab</v>
      </c>
      <c r="O2223" t="str">
        <f t="shared" si="213"/>
        <v>Fuzzy</v>
      </c>
      <c r="P2223" t="str">
        <f t="shared" si="214"/>
        <v>Fuzzy</v>
      </c>
    </row>
    <row r="2224" spans="1:16" x14ac:dyDescent="0.35">
      <c r="A2224" t="s">
        <v>2227</v>
      </c>
      <c r="B2224">
        <v>6437</v>
      </c>
      <c r="C2224">
        <v>26</v>
      </c>
      <c r="D2224">
        <v>83</v>
      </c>
      <c r="E2224">
        <v>421</v>
      </c>
      <c r="F2224">
        <v>617</v>
      </c>
      <c r="K2224" s="1">
        <f t="shared" si="215"/>
        <v>421</v>
      </c>
      <c r="L2224" s="1" t="str">
        <f t="shared" si="210"/>
        <v>Normal</v>
      </c>
      <c r="M2224" s="2">
        <f t="shared" si="211"/>
        <v>30.25</v>
      </c>
      <c r="N2224" s="1" t="str">
        <f t="shared" si="212"/>
        <v>Lembab</v>
      </c>
      <c r="O2224" t="str">
        <f t="shared" si="213"/>
        <v>Fuzzy</v>
      </c>
      <c r="P2224" t="str">
        <f t="shared" si="214"/>
        <v>Fuzzy</v>
      </c>
    </row>
    <row r="2225" spans="1:16" x14ac:dyDescent="0.35">
      <c r="A2225" t="s">
        <v>2228</v>
      </c>
      <c r="B2225">
        <v>6438</v>
      </c>
      <c r="C2225">
        <v>26</v>
      </c>
      <c r="D2225">
        <v>83</v>
      </c>
      <c r="E2225">
        <v>327</v>
      </c>
      <c r="F2225">
        <v>617</v>
      </c>
      <c r="K2225" s="1">
        <f t="shared" si="215"/>
        <v>327</v>
      </c>
      <c r="L2225" s="1" t="str">
        <f t="shared" si="210"/>
        <v>Normal</v>
      </c>
      <c r="M2225" s="2">
        <f t="shared" si="211"/>
        <v>6.75</v>
      </c>
      <c r="N2225" s="1" t="str">
        <f t="shared" si="212"/>
        <v>Kering</v>
      </c>
      <c r="O2225" t="str">
        <f t="shared" si="213"/>
        <v>Fuzzy</v>
      </c>
      <c r="P2225" t="str">
        <f t="shared" si="214"/>
        <v>Fuzzy</v>
      </c>
    </row>
    <row r="2226" spans="1:16" x14ac:dyDescent="0.35">
      <c r="A2226" t="s">
        <v>2229</v>
      </c>
      <c r="B2226">
        <v>6439</v>
      </c>
      <c r="C2226">
        <v>26</v>
      </c>
      <c r="D2226">
        <v>82</v>
      </c>
      <c r="E2226">
        <v>400</v>
      </c>
      <c r="F2226">
        <v>617</v>
      </c>
      <c r="K2226" s="1">
        <f t="shared" si="215"/>
        <v>400</v>
      </c>
      <c r="L2226" s="1" t="str">
        <f t="shared" si="210"/>
        <v>Normal</v>
      </c>
      <c r="M2226" s="2">
        <f t="shared" si="211"/>
        <v>25</v>
      </c>
      <c r="N2226" s="1" t="str">
        <f t="shared" si="212"/>
        <v>Kering</v>
      </c>
      <c r="O2226" t="str">
        <f t="shared" si="213"/>
        <v>Fuzzy</v>
      </c>
      <c r="P2226" t="str">
        <f t="shared" si="214"/>
        <v>Fuzzy</v>
      </c>
    </row>
    <row r="2227" spans="1:16" x14ac:dyDescent="0.35">
      <c r="A2227" t="s">
        <v>2230</v>
      </c>
      <c r="B2227">
        <v>6440</v>
      </c>
      <c r="C2227">
        <v>26</v>
      </c>
      <c r="D2227">
        <v>83</v>
      </c>
      <c r="E2227">
        <v>397</v>
      </c>
      <c r="F2227">
        <v>617</v>
      </c>
      <c r="K2227" s="1">
        <f t="shared" si="215"/>
        <v>397</v>
      </c>
      <c r="L2227" s="1" t="str">
        <f t="shared" si="210"/>
        <v>Normal</v>
      </c>
      <c r="M2227" s="2">
        <f t="shared" si="211"/>
        <v>24.25</v>
      </c>
      <c r="N2227" s="1" t="str">
        <f t="shared" si="212"/>
        <v>Kering</v>
      </c>
      <c r="O2227" t="str">
        <f t="shared" si="213"/>
        <v>Fuzzy</v>
      </c>
      <c r="P2227" t="str">
        <f t="shared" si="214"/>
        <v>Fuzzy</v>
      </c>
    </row>
    <row r="2228" spans="1:16" x14ac:dyDescent="0.35">
      <c r="A2228" t="s">
        <v>2231</v>
      </c>
      <c r="B2228">
        <v>6441</v>
      </c>
      <c r="C2228">
        <v>26</v>
      </c>
      <c r="D2228">
        <v>83</v>
      </c>
      <c r="E2228">
        <v>676</v>
      </c>
      <c r="F2228">
        <v>617</v>
      </c>
      <c r="K2228" s="1">
        <f t="shared" si="215"/>
        <v>676</v>
      </c>
      <c r="L2228" s="1" t="str">
        <f t="shared" si="210"/>
        <v>Normal</v>
      </c>
      <c r="M2228" s="2">
        <f t="shared" si="211"/>
        <v>94</v>
      </c>
      <c r="N2228" s="1" t="str">
        <f t="shared" si="212"/>
        <v>Basah</v>
      </c>
      <c r="O2228" t="str">
        <f t="shared" si="213"/>
        <v>Fuzzy</v>
      </c>
      <c r="P2228" t="str">
        <f t="shared" si="214"/>
        <v>Fuzzy</v>
      </c>
    </row>
    <row r="2229" spans="1:16" x14ac:dyDescent="0.35">
      <c r="A2229" t="s">
        <v>2232</v>
      </c>
      <c r="B2229">
        <v>6442</v>
      </c>
      <c r="C2229">
        <v>26</v>
      </c>
      <c r="D2229">
        <v>83</v>
      </c>
      <c r="E2229">
        <v>427</v>
      </c>
      <c r="F2229">
        <v>617</v>
      </c>
      <c r="K2229" s="1">
        <f t="shared" si="215"/>
        <v>427</v>
      </c>
      <c r="L2229" s="1" t="str">
        <f t="shared" si="210"/>
        <v>Normal</v>
      </c>
      <c r="M2229" s="2">
        <f t="shared" si="211"/>
        <v>31.75</v>
      </c>
      <c r="N2229" s="1" t="str">
        <f t="shared" si="212"/>
        <v>Lembab</v>
      </c>
      <c r="O2229" t="str">
        <f t="shared" si="213"/>
        <v>Fuzzy</v>
      </c>
      <c r="P2229" t="str">
        <f t="shared" si="214"/>
        <v>Fuzzy</v>
      </c>
    </row>
    <row r="2230" spans="1:16" x14ac:dyDescent="0.35">
      <c r="A2230" t="s">
        <v>2233</v>
      </c>
      <c r="B2230">
        <v>6443</v>
      </c>
      <c r="C2230">
        <v>26</v>
      </c>
      <c r="D2230">
        <v>82</v>
      </c>
      <c r="E2230">
        <v>421</v>
      </c>
      <c r="F2230">
        <v>617</v>
      </c>
      <c r="K2230" s="1">
        <f t="shared" si="215"/>
        <v>421</v>
      </c>
      <c r="L2230" s="1" t="str">
        <f t="shared" si="210"/>
        <v>Normal</v>
      </c>
      <c r="M2230" s="2">
        <f t="shared" si="211"/>
        <v>30.25</v>
      </c>
      <c r="N2230" s="1" t="str">
        <f t="shared" si="212"/>
        <v>Lembab</v>
      </c>
      <c r="O2230" t="str">
        <f t="shared" si="213"/>
        <v>Fuzzy</v>
      </c>
      <c r="P2230" t="str">
        <f t="shared" si="214"/>
        <v>Fuzzy</v>
      </c>
    </row>
    <row r="2231" spans="1:16" x14ac:dyDescent="0.35">
      <c r="A2231" t="s">
        <v>2234</v>
      </c>
      <c r="B2231">
        <v>6444</v>
      </c>
      <c r="C2231">
        <v>26</v>
      </c>
      <c r="D2231">
        <v>81</v>
      </c>
      <c r="E2231">
        <v>379</v>
      </c>
      <c r="F2231">
        <v>617</v>
      </c>
      <c r="K2231" s="1">
        <f t="shared" si="215"/>
        <v>379</v>
      </c>
      <c r="L2231" s="1" t="str">
        <f t="shared" si="210"/>
        <v>Normal</v>
      </c>
      <c r="M2231" s="2">
        <f t="shared" si="211"/>
        <v>19.75</v>
      </c>
      <c r="N2231" s="1" t="str">
        <f t="shared" si="212"/>
        <v>Kering</v>
      </c>
      <c r="O2231" t="str">
        <f t="shared" si="213"/>
        <v>Fuzzy</v>
      </c>
      <c r="P2231" t="str">
        <f t="shared" si="214"/>
        <v>Fuzzy</v>
      </c>
    </row>
    <row r="2232" spans="1:16" x14ac:dyDescent="0.35">
      <c r="A2232" t="s">
        <v>2235</v>
      </c>
      <c r="B2232">
        <v>6445</v>
      </c>
      <c r="C2232">
        <v>26</v>
      </c>
      <c r="D2232">
        <v>82</v>
      </c>
      <c r="E2232">
        <v>273</v>
      </c>
      <c r="F2232">
        <v>617</v>
      </c>
      <c r="K2232" s="1">
        <f t="shared" si="215"/>
        <v>273</v>
      </c>
      <c r="L2232" s="1" t="str">
        <f t="shared" si="210"/>
        <v>Normal</v>
      </c>
      <c r="M2232" s="2">
        <f t="shared" si="211"/>
        <v>26.686217008797652</v>
      </c>
      <c r="N2232" s="1" t="str">
        <f t="shared" si="212"/>
        <v>Kering</v>
      </c>
      <c r="O2232" t="str">
        <f t="shared" si="213"/>
        <v>Fuzzy</v>
      </c>
      <c r="P2232" t="str">
        <f t="shared" si="214"/>
        <v>Fuzzy</v>
      </c>
    </row>
    <row r="2233" spans="1:16" x14ac:dyDescent="0.35">
      <c r="A2233" t="s">
        <v>2236</v>
      </c>
      <c r="B2233">
        <v>6446</v>
      </c>
      <c r="C2233">
        <v>26</v>
      </c>
      <c r="D2233">
        <v>82</v>
      </c>
      <c r="E2233">
        <v>460</v>
      </c>
      <c r="F2233">
        <v>617</v>
      </c>
      <c r="K2233" s="1">
        <f t="shared" si="215"/>
        <v>460</v>
      </c>
      <c r="L2233" s="1" t="str">
        <f t="shared" si="210"/>
        <v>Normal</v>
      </c>
      <c r="M2233" s="2">
        <f t="shared" si="211"/>
        <v>40</v>
      </c>
      <c r="N2233" s="1" t="str">
        <f t="shared" si="212"/>
        <v>Lembab</v>
      </c>
      <c r="O2233" t="str">
        <f t="shared" si="213"/>
        <v>Fuzzy</v>
      </c>
      <c r="P2233" t="str">
        <f t="shared" si="214"/>
        <v>Fuzzy</v>
      </c>
    </row>
    <row r="2234" spans="1:16" x14ac:dyDescent="0.35">
      <c r="A2234" t="s">
        <v>2237</v>
      </c>
      <c r="B2234">
        <v>6447</v>
      </c>
      <c r="C2234">
        <v>26</v>
      </c>
      <c r="D2234">
        <v>82</v>
      </c>
      <c r="E2234">
        <v>264</v>
      </c>
      <c r="F2234">
        <v>616</v>
      </c>
      <c r="K2234" s="1">
        <f t="shared" si="215"/>
        <v>264</v>
      </c>
      <c r="L2234" s="1" t="str">
        <f t="shared" si="210"/>
        <v>Normal</v>
      </c>
      <c r="M2234" s="2">
        <f t="shared" si="211"/>
        <v>25.806451612903224</v>
      </c>
      <c r="N2234" s="1" t="str">
        <f t="shared" si="212"/>
        <v>Kering</v>
      </c>
      <c r="O2234" t="str">
        <f t="shared" si="213"/>
        <v>Fuzzy</v>
      </c>
      <c r="P2234" t="str">
        <f t="shared" si="214"/>
        <v>Fuzzy</v>
      </c>
    </row>
    <row r="2235" spans="1:16" x14ac:dyDescent="0.35">
      <c r="A2235" t="s">
        <v>2238</v>
      </c>
      <c r="B2235">
        <v>6448</v>
      </c>
      <c r="C2235">
        <v>26</v>
      </c>
      <c r="D2235">
        <v>82</v>
      </c>
      <c r="E2235">
        <v>429</v>
      </c>
      <c r="F2235">
        <v>617</v>
      </c>
      <c r="K2235" s="1">
        <f t="shared" si="215"/>
        <v>429</v>
      </c>
      <c r="L2235" s="1" t="str">
        <f t="shared" si="210"/>
        <v>Normal</v>
      </c>
      <c r="M2235" s="2">
        <f t="shared" si="211"/>
        <v>32.25</v>
      </c>
      <c r="N2235" s="1" t="str">
        <f t="shared" si="212"/>
        <v>Lembab</v>
      </c>
      <c r="O2235" t="str">
        <f t="shared" si="213"/>
        <v>Fuzzy</v>
      </c>
      <c r="P2235" t="str">
        <f t="shared" si="214"/>
        <v>Fuzzy</v>
      </c>
    </row>
    <row r="2236" spans="1:16" x14ac:dyDescent="0.35">
      <c r="A2236" t="s">
        <v>2239</v>
      </c>
      <c r="B2236">
        <v>6449</v>
      </c>
      <c r="C2236">
        <v>26</v>
      </c>
      <c r="D2236">
        <v>82</v>
      </c>
      <c r="E2236">
        <v>475</v>
      </c>
      <c r="F2236">
        <v>474</v>
      </c>
      <c r="K2236" s="1">
        <f t="shared" si="215"/>
        <v>475</v>
      </c>
      <c r="L2236" s="1" t="str">
        <f t="shared" si="210"/>
        <v>Normal</v>
      </c>
      <c r="M2236" s="2">
        <f t="shared" si="211"/>
        <v>43.75</v>
      </c>
      <c r="N2236" s="1" t="str">
        <f t="shared" si="212"/>
        <v>Lembab</v>
      </c>
      <c r="O2236" t="str">
        <f t="shared" si="213"/>
        <v>Fuzzy</v>
      </c>
      <c r="P2236" t="str">
        <f t="shared" si="214"/>
        <v>Fuzzy</v>
      </c>
    </row>
    <row r="2237" spans="1:16" x14ac:dyDescent="0.35">
      <c r="A2237" t="s">
        <v>2240</v>
      </c>
      <c r="B2237">
        <v>6450</v>
      </c>
      <c r="C2237">
        <v>26</v>
      </c>
      <c r="D2237">
        <v>82</v>
      </c>
      <c r="E2237">
        <v>464</v>
      </c>
      <c r="F2237">
        <v>617</v>
      </c>
      <c r="K2237" s="1">
        <f t="shared" si="215"/>
        <v>464</v>
      </c>
      <c r="L2237" s="1" t="str">
        <f t="shared" si="210"/>
        <v>Normal</v>
      </c>
      <c r="M2237" s="2">
        <f t="shared" si="211"/>
        <v>41</v>
      </c>
      <c r="N2237" s="1" t="str">
        <f t="shared" si="212"/>
        <v>Lembab</v>
      </c>
      <c r="O2237" t="str">
        <f t="shared" si="213"/>
        <v>Fuzzy</v>
      </c>
      <c r="P2237" t="str">
        <f t="shared" si="214"/>
        <v>Fuzzy</v>
      </c>
    </row>
    <row r="2238" spans="1:16" x14ac:dyDescent="0.35">
      <c r="A2238" t="s">
        <v>2241</v>
      </c>
      <c r="B2238">
        <v>6451</v>
      </c>
      <c r="C2238">
        <v>26</v>
      </c>
      <c r="D2238">
        <v>82</v>
      </c>
      <c r="E2238">
        <v>446</v>
      </c>
      <c r="F2238">
        <v>297</v>
      </c>
      <c r="K2238" s="1">
        <f t="shared" si="215"/>
        <v>446</v>
      </c>
      <c r="L2238" s="1" t="str">
        <f t="shared" si="210"/>
        <v>Normal</v>
      </c>
      <c r="M2238" s="2">
        <f t="shared" si="211"/>
        <v>36.5</v>
      </c>
      <c r="N2238" s="1" t="str">
        <f t="shared" si="212"/>
        <v>Lembab</v>
      </c>
      <c r="O2238" t="str">
        <f t="shared" si="213"/>
        <v>Fuzzy</v>
      </c>
      <c r="P2238" t="str">
        <f t="shared" si="214"/>
        <v>Fuzzy</v>
      </c>
    </row>
    <row r="2239" spans="1:16" x14ac:dyDescent="0.35">
      <c r="A2239" t="s">
        <v>2242</v>
      </c>
      <c r="B2239">
        <v>6452</v>
      </c>
      <c r="C2239">
        <v>26</v>
      </c>
      <c r="D2239">
        <v>82</v>
      </c>
      <c r="E2239">
        <v>233</v>
      </c>
      <c r="F2239">
        <v>617</v>
      </c>
      <c r="K2239" s="1">
        <f t="shared" si="215"/>
        <v>233</v>
      </c>
      <c r="L2239" s="1" t="str">
        <f t="shared" si="210"/>
        <v>Normal</v>
      </c>
      <c r="M2239" s="2">
        <f t="shared" si="211"/>
        <v>22.776148582600193</v>
      </c>
      <c r="N2239" s="1" t="str">
        <f t="shared" si="212"/>
        <v>Kering</v>
      </c>
      <c r="O2239" t="str">
        <f t="shared" si="213"/>
        <v>Fuzzy</v>
      </c>
      <c r="P2239" t="str">
        <f t="shared" si="214"/>
        <v>Fuzzy</v>
      </c>
    </row>
    <row r="2240" spans="1:16" x14ac:dyDescent="0.35">
      <c r="A2240" t="s">
        <v>2243</v>
      </c>
      <c r="B2240">
        <v>6453</v>
      </c>
      <c r="C2240">
        <v>26</v>
      </c>
      <c r="D2240">
        <v>82</v>
      </c>
      <c r="E2240">
        <v>417</v>
      </c>
      <c r="F2240">
        <v>617</v>
      </c>
      <c r="K2240" s="1">
        <f t="shared" si="215"/>
        <v>417</v>
      </c>
      <c r="L2240" s="1" t="str">
        <f t="shared" si="210"/>
        <v>Normal</v>
      </c>
      <c r="M2240" s="2">
        <f t="shared" si="211"/>
        <v>29.25</v>
      </c>
      <c r="N2240" s="1" t="str">
        <f t="shared" si="212"/>
        <v>Kering</v>
      </c>
      <c r="O2240" t="str">
        <f t="shared" si="213"/>
        <v>Fuzzy</v>
      </c>
      <c r="P2240" t="str">
        <f t="shared" si="214"/>
        <v>Fuzzy</v>
      </c>
    </row>
    <row r="2241" spans="1:16" x14ac:dyDescent="0.35">
      <c r="A2241" t="s">
        <v>2244</v>
      </c>
      <c r="B2241">
        <v>6454</v>
      </c>
      <c r="C2241">
        <v>26</v>
      </c>
      <c r="D2241">
        <v>82</v>
      </c>
      <c r="E2241">
        <v>396</v>
      </c>
      <c r="F2241">
        <v>617</v>
      </c>
      <c r="K2241" s="1">
        <f t="shared" si="215"/>
        <v>396</v>
      </c>
      <c r="L2241" s="1" t="str">
        <f t="shared" si="210"/>
        <v>Normal</v>
      </c>
      <c r="M2241" s="2">
        <f t="shared" si="211"/>
        <v>24</v>
      </c>
      <c r="N2241" s="1" t="str">
        <f t="shared" si="212"/>
        <v>Kering</v>
      </c>
      <c r="O2241" t="str">
        <f t="shared" si="213"/>
        <v>Fuzzy</v>
      </c>
      <c r="P2241" t="str">
        <f t="shared" si="214"/>
        <v>Fuzzy</v>
      </c>
    </row>
    <row r="2242" spans="1:16" x14ac:dyDescent="0.35">
      <c r="A2242" t="s">
        <v>2245</v>
      </c>
      <c r="B2242">
        <v>6455</v>
      </c>
      <c r="C2242">
        <v>26</v>
      </c>
      <c r="D2242">
        <v>82</v>
      </c>
      <c r="E2242">
        <v>456</v>
      </c>
      <c r="F2242">
        <v>617</v>
      </c>
      <c r="K2242" s="1">
        <f t="shared" si="215"/>
        <v>456</v>
      </c>
      <c r="L2242" s="1" t="str">
        <f t="shared" si="210"/>
        <v>Normal</v>
      </c>
      <c r="M2242" s="2">
        <f t="shared" si="211"/>
        <v>39</v>
      </c>
      <c r="N2242" s="1" t="str">
        <f t="shared" si="212"/>
        <v>Lembab</v>
      </c>
      <c r="O2242" t="str">
        <f t="shared" si="213"/>
        <v>Fuzzy</v>
      </c>
      <c r="P2242" t="str">
        <f t="shared" si="214"/>
        <v>Fuzzy</v>
      </c>
    </row>
    <row r="2243" spans="1:16" x14ac:dyDescent="0.35">
      <c r="A2243" t="s">
        <v>2246</v>
      </c>
      <c r="B2243">
        <v>6456</v>
      </c>
      <c r="C2243">
        <v>26</v>
      </c>
      <c r="D2243">
        <v>82</v>
      </c>
      <c r="E2243">
        <v>443</v>
      </c>
      <c r="F2243">
        <v>617</v>
      </c>
      <c r="K2243" s="1">
        <f t="shared" si="215"/>
        <v>443</v>
      </c>
      <c r="L2243" s="1" t="str">
        <f t="shared" ref="L2243:L2306" si="216">IF(A2242 &lt;= 10, "Dingin", IF(OR(A2242 &gt;= 10, A2242 &lt; 35), "Normal", "Panas"))</f>
        <v>Normal</v>
      </c>
      <c r="M2243" s="2">
        <f t="shared" ref="M2243:M2306" si="217">IF(K2243&lt;=300, K2243/1023*100, IF(K2243&lt;=700, (K2243-300)/(700-301+1)*100, (K2243-700)/(1023-701+1)*100))</f>
        <v>35.75</v>
      </c>
      <c r="N2243" s="1" t="str">
        <f t="shared" ref="N2243:N2306" si="218">IF(M2243&lt;=29.32, "Kering", IF(M2243&lt;=68.53, "Lembab", "Basah"))</f>
        <v>Lembab</v>
      </c>
      <c r="O2243" t="str">
        <f t="shared" ref="O2243:O2306" si="219">IF(OR(AND(C2243 &gt; 10, C2243 &lt; 22.5), AND(C2243 &gt;= 22.5, C2243 &lt; 35)), "Fuzzy", "")</f>
        <v>Fuzzy</v>
      </c>
      <c r="P2243" t="str">
        <f t="shared" ref="P2243:P2306" si="220">IF(OR(AND(M2243 &gt;= 0, M2243 &lt; 50), AND(M2243 &gt;= 50, M2243 &lt; 100)), "Fuzzy", "")</f>
        <v>Fuzzy</v>
      </c>
    </row>
    <row r="2244" spans="1:16" x14ac:dyDescent="0.35">
      <c r="A2244" t="s">
        <v>2247</v>
      </c>
      <c r="B2244">
        <v>6457</v>
      </c>
      <c r="C2244">
        <v>26</v>
      </c>
      <c r="D2244">
        <v>82</v>
      </c>
      <c r="E2244">
        <v>456</v>
      </c>
      <c r="F2244">
        <v>616</v>
      </c>
      <c r="K2244" s="1">
        <f t="shared" si="215"/>
        <v>456</v>
      </c>
      <c r="L2244" s="1" t="str">
        <f t="shared" si="216"/>
        <v>Normal</v>
      </c>
      <c r="M2244" s="2">
        <f t="shared" si="217"/>
        <v>39</v>
      </c>
      <c r="N2244" s="1" t="str">
        <f t="shared" si="218"/>
        <v>Lembab</v>
      </c>
      <c r="O2244" t="str">
        <f t="shared" si="219"/>
        <v>Fuzzy</v>
      </c>
      <c r="P2244" t="str">
        <f t="shared" si="220"/>
        <v>Fuzzy</v>
      </c>
    </row>
    <row r="2245" spans="1:16" x14ac:dyDescent="0.35">
      <c r="A2245" t="s">
        <v>2248</v>
      </c>
      <c r="B2245">
        <v>6458</v>
      </c>
      <c r="C2245">
        <v>26</v>
      </c>
      <c r="D2245">
        <v>82</v>
      </c>
      <c r="E2245">
        <v>396</v>
      </c>
      <c r="F2245">
        <v>617</v>
      </c>
      <c r="K2245" s="1">
        <f t="shared" si="215"/>
        <v>396</v>
      </c>
      <c r="L2245" s="1" t="str">
        <f t="shared" si="216"/>
        <v>Normal</v>
      </c>
      <c r="M2245" s="2">
        <f t="shared" si="217"/>
        <v>24</v>
      </c>
      <c r="N2245" s="1" t="str">
        <f t="shared" si="218"/>
        <v>Kering</v>
      </c>
      <c r="O2245" t="str">
        <f t="shared" si="219"/>
        <v>Fuzzy</v>
      </c>
      <c r="P2245" t="str">
        <f t="shared" si="220"/>
        <v>Fuzzy</v>
      </c>
    </row>
    <row r="2246" spans="1:16" x14ac:dyDescent="0.35">
      <c r="A2246" t="s">
        <v>2249</v>
      </c>
      <c r="B2246">
        <v>6459</v>
      </c>
      <c r="C2246">
        <v>26</v>
      </c>
      <c r="D2246">
        <v>82</v>
      </c>
      <c r="E2246">
        <v>239</v>
      </c>
      <c r="F2246">
        <v>617</v>
      </c>
      <c r="K2246" s="1">
        <f t="shared" si="215"/>
        <v>239</v>
      </c>
      <c r="L2246" s="1" t="str">
        <f t="shared" si="216"/>
        <v>Normal</v>
      </c>
      <c r="M2246" s="2">
        <f t="shared" si="217"/>
        <v>23.362658846529811</v>
      </c>
      <c r="N2246" s="1" t="str">
        <f t="shared" si="218"/>
        <v>Kering</v>
      </c>
      <c r="O2246" t="str">
        <f t="shared" si="219"/>
        <v>Fuzzy</v>
      </c>
      <c r="P2246" t="str">
        <f t="shared" si="220"/>
        <v>Fuzzy</v>
      </c>
    </row>
    <row r="2247" spans="1:16" x14ac:dyDescent="0.35">
      <c r="A2247" t="s">
        <v>2250</v>
      </c>
      <c r="B2247">
        <v>6460</v>
      </c>
      <c r="C2247">
        <v>26</v>
      </c>
      <c r="D2247">
        <v>82</v>
      </c>
      <c r="E2247">
        <v>423</v>
      </c>
      <c r="F2247">
        <v>617</v>
      </c>
      <c r="K2247" s="1">
        <f t="shared" si="215"/>
        <v>423</v>
      </c>
      <c r="L2247" s="1" t="str">
        <f t="shared" si="216"/>
        <v>Normal</v>
      </c>
      <c r="M2247" s="2">
        <f t="shared" si="217"/>
        <v>30.75</v>
      </c>
      <c r="N2247" s="1" t="str">
        <f t="shared" si="218"/>
        <v>Lembab</v>
      </c>
      <c r="O2247" t="str">
        <f t="shared" si="219"/>
        <v>Fuzzy</v>
      </c>
      <c r="P2247" t="str">
        <f t="shared" si="220"/>
        <v>Fuzzy</v>
      </c>
    </row>
    <row r="2248" spans="1:16" x14ac:dyDescent="0.35">
      <c r="A2248" t="s">
        <v>2251</v>
      </c>
      <c r="B2248">
        <v>6461</v>
      </c>
      <c r="C2248">
        <v>26</v>
      </c>
      <c r="D2248">
        <v>82</v>
      </c>
      <c r="E2248">
        <v>451</v>
      </c>
      <c r="F2248">
        <v>617</v>
      </c>
      <c r="K2248" s="1">
        <f t="shared" si="215"/>
        <v>451</v>
      </c>
      <c r="L2248" s="1" t="str">
        <f t="shared" si="216"/>
        <v>Normal</v>
      </c>
      <c r="M2248" s="2">
        <f t="shared" si="217"/>
        <v>37.75</v>
      </c>
      <c r="N2248" s="1" t="str">
        <f t="shared" si="218"/>
        <v>Lembab</v>
      </c>
      <c r="O2248" t="str">
        <f t="shared" si="219"/>
        <v>Fuzzy</v>
      </c>
      <c r="P2248" t="str">
        <f t="shared" si="220"/>
        <v>Fuzzy</v>
      </c>
    </row>
    <row r="2249" spans="1:16" x14ac:dyDescent="0.35">
      <c r="A2249" t="s">
        <v>2252</v>
      </c>
      <c r="B2249">
        <v>6462</v>
      </c>
      <c r="C2249">
        <v>26</v>
      </c>
      <c r="D2249">
        <v>82</v>
      </c>
      <c r="E2249">
        <v>420</v>
      </c>
      <c r="F2249">
        <v>617</v>
      </c>
      <c r="K2249" s="1">
        <f t="shared" si="215"/>
        <v>420</v>
      </c>
      <c r="L2249" s="1" t="str">
        <f t="shared" si="216"/>
        <v>Normal</v>
      </c>
      <c r="M2249" s="2">
        <f t="shared" si="217"/>
        <v>30</v>
      </c>
      <c r="N2249" s="1" t="str">
        <f t="shared" si="218"/>
        <v>Lembab</v>
      </c>
      <c r="O2249" t="str">
        <f t="shared" si="219"/>
        <v>Fuzzy</v>
      </c>
      <c r="P2249" t="str">
        <f t="shared" si="220"/>
        <v>Fuzzy</v>
      </c>
    </row>
    <row r="2250" spans="1:16" x14ac:dyDescent="0.35">
      <c r="A2250" t="s">
        <v>2253</v>
      </c>
      <c r="B2250">
        <v>6463</v>
      </c>
      <c r="C2250">
        <v>26</v>
      </c>
      <c r="D2250">
        <v>82</v>
      </c>
      <c r="E2250">
        <v>376</v>
      </c>
      <c r="F2250">
        <v>617</v>
      </c>
      <c r="K2250" s="1">
        <f t="shared" si="215"/>
        <v>376</v>
      </c>
      <c r="L2250" s="1" t="str">
        <f t="shared" si="216"/>
        <v>Normal</v>
      </c>
      <c r="M2250" s="2">
        <f t="shared" si="217"/>
        <v>19</v>
      </c>
      <c r="N2250" s="1" t="str">
        <f t="shared" si="218"/>
        <v>Kering</v>
      </c>
      <c r="O2250" t="str">
        <f t="shared" si="219"/>
        <v>Fuzzy</v>
      </c>
      <c r="P2250" t="str">
        <f t="shared" si="220"/>
        <v>Fuzzy</v>
      </c>
    </row>
    <row r="2251" spans="1:16" x14ac:dyDescent="0.35">
      <c r="A2251" t="s">
        <v>2254</v>
      </c>
      <c r="B2251">
        <v>6464</v>
      </c>
      <c r="C2251">
        <v>26</v>
      </c>
      <c r="D2251">
        <v>82</v>
      </c>
      <c r="E2251">
        <v>427</v>
      </c>
      <c r="F2251">
        <v>617</v>
      </c>
      <c r="K2251" s="1">
        <f t="shared" si="215"/>
        <v>427</v>
      </c>
      <c r="L2251" s="1" t="str">
        <f t="shared" si="216"/>
        <v>Normal</v>
      </c>
      <c r="M2251" s="2">
        <f t="shared" si="217"/>
        <v>31.75</v>
      </c>
      <c r="N2251" s="1" t="str">
        <f t="shared" si="218"/>
        <v>Lembab</v>
      </c>
      <c r="O2251" t="str">
        <f t="shared" si="219"/>
        <v>Fuzzy</v>
      </c>
      <c r="P2251" t="str">
        <f t="shared" si="220"/>
        <v>Fuzzy</v>
      </c>
    </row>
    <row r="2252" spans="1:16" x14ac:dyDescent="0.35">
      <c r="A2252" t="s">
        <v>2255</v>
      </c>
      <c r="B2252">
        <v>6465</v>
      </c>
      <c r="C2252">
        <v>26</v>
      </c>
      <c r="D2252">
        <v>82</v>
      </c>
      <c r="E2252">
        <v>442</v>
      </c>
      <c r="F2252">
        <v>617</v>
      </c>
      <c r="K2252" s="1">
        <f t="shared" si="215"/>
        <v>442</v>
      </c>
      <c r="L2252" s="1" t="str">
        <f t="shared" si="216"/>
        <v>Normal</v>
      </c>
      <c r="M2252" s="2">
        <f t="shared" si="217"/>
        <v>35.5</v>
      </c>
      <c r="N2252" s="1" t="str">
        <f t="shared" si="218"/>
        <v>Lembab</v>
      </c>
      <c r="O2252" t="str">
        <f t="shared" si="219"/>
        <v>Fuzzy</v>
      </c>
      <c r="P2252" t="str">
        <f t="shared" si="220"/>
        <v>Fuzzy</v>
      </c>
    </row>
    <row r="2253" spans="1:16" x14ac:dyDescent="0.35">
      <c r="A2253" t="s">
        <v>2256</v>
      </c>
      <c r="B2253">
        <v>6466</v>
      </c>
      <c r="C2253">
        <v>26</v>
      </c>
      <c r="D2253">
        <v>82</v>
      </c>
      <c r="E2253">
        <v>383</v>
      </c>
      <c r="F2253">
        <v>617</v>
      </c>
      <c r="K2253" s="1">
        <f t="shared" ref="K2253:K2316" si="221">IF(E2253&lt;=1023, E2253, "")</f>
        <v>383</v>
      </c>
      <c r="L2253" s="1" t="str">
        <f t="shared" si="216"/>
        <v>Normal</v>
      </c>
      <c r="M2253" s="2">
        <f t="shared" si="217"/>
        <v>20.75</v>
      </c>
      <c r="N2253" s="1" t="str">
        <f t="shared" si="218"/>
        <v>Kering</v>
      </c>
      <c r="O2253" t="str">
        <f t="shared" si="219"/>
        <v>Fuzzy</v>
      </c>
      <c r="P2253" t="str">
        <f t="shared" si="220"/>
        <v>Fuzzy</v>
      </c>
    </row>
    <row r="2254" spans="1:16" x14ac:dyDescent="0.35">
      <c r="A2254" t="s">
        <v>2257</v>
      </c>
      <c r="B2254">
        <v>6467</v>
      </c>
      <c r="C2254">
        <v>26</v>
      </c>
      <c r="D2254">
        <v>82</v>
      </c>
      <c r="E2254">
        <v>230</v>
      </c>
      <c r="F2254">
        <v>617</v>
      </c>
      <c r="K2254" s="1">
        <f t="shared" si="221"/>
        <v>230</v>
      </c>
      <c r="L2254" s="1" t="str">
        <f t="shared" si="216"/>
        <v>Normal</v>
      </c>
      <c r="M2254" s="2">
        <f t="shared" si="217"/>
        <v>22.482893450635384</v>
      </c>
      <c r="N2254" s="1" t="str">
        <f t="shared" si="218"/>
        <v>Kering</v>
      </c>
      <c r="O2254" t="str">
        <f t="shared" si="219"/>
        <v>Fuzzy</v>
      </c>
      <c r="P2254" t="str">
        <f t="shared" si="220"/>
        <v>Fuzzy</v>
      </c>
    </row>
    <row r="2255" spans="1:16" x14ac:dyDescent="0.35">
      <c r="A2255" t="s">
        <v>2258</v>
      </c>
      <c r="B2255">
        <v>6468</v>
      </c>
      <c r="C2255">
        <v>26</v>
      </c>
      <c r="D2255">
        <v>82</v>
      </c>
      <c r="E2255">
        <v>385</v>
      </c>
      <c r="F2255">
        <v>617</v>
      </c>
      <c r="K2255" s="1">
        <f t="shared" si="221"/>
        <v>385</v>
      </c>
      <c r="L2255" s="1" t="str">
        <f t="shared" si="216"/>
        <v>Normal</v>
      </c>
      <c r="M2255" s="2">
        <f t="shared" si="217"/>
        <v>21.25</v>
      </c>
      <c r="N2255" s="1" t="str">
        <f t="shared" si="218"/>
        <v>Kering</v>
      </c>
      <c r="O2255" t="str">
        <f t="shared" si="219"/>
        <v>Fuzzy</v>
      </c>
      <c r="P2255" t="str">
        <f t="shared" si="220"/>
        <v>Fuzzy</v>
      </c>
    </row>
    <row r="2256" spans="1:16" x14ac:dyDescent="0.35">
      <c r="A2256" t="s">
        <v>2259</v>
      </c>
      <c r="B2256">
        <v>6469</v>
      </c>
      <c r="C2256">
        <v>26</v>
      </c>
      <c r="D2256">
        <v>82</v>
      </c>
      <c r="E2256">
        <v>362</v>
      </c>
      <c r="F2256">
        <v>617</v>
      </c>
      <c r="K2256" s="1">
        <f t="shared" si="221"/>
        <v>362</v>
      </c>
      <c r="L2256" s="1" t="str">
        <f t="shared" si="216"/>
        <v>Normal</v>
      </c>
      <c r="M2256" s="2">
        <f t="shared" si="217"/>
        <v>15.5</v>
      </c>
      <c r="N2256" s="1" t="str">
        <f t="shared" si="218"/>
        <v>Kering</v>
      </c>
      <c r="O2256" t="str">
        <f t="shared" si="219"/>
        <v>Fuzzy</v>
      </c>
      <c r="P2256" t="str">
        <f t="shared" si="220"/>
        <v>Fuzzy</v>
      </c>
    </row>
    <row r="2257" spans="1:16" x14ac:dyDescent="0.35">
      <c r="A2257" t="s">
        <v>2260</v>
      </c>
      <c r="B2257">
        <v>6470</v>
      </c>
      <c r="C2257">
        <v>26</v>
      </c>
      <c r="D2257">
        <v>82</v>
      </c>
      <c r="E2257">
        <v>472</v>
      </c>
      <c r="F2257">
        <v>617</v>
      </c>
      <c r="K2257" s="1">
        <f t="shared" si="221"/>
        <v>472</v>
      </c>
      <c r="L2257" s="1" t="str">
        <f t="shared" si="216"/>
        <v>Normal</v>
      </c>
      <c r="M2257" s="2">
        <f t="shared" si="217"/>
        <v>43</v>
      </c>
      <c r="N2257" s="1" t="str">
        <f t="shared" si="218"/>
        <v>Lembab</v>
      </c>
      <c r="O2257" t="str">
        <f t="shared" si="219"/>
        <v>Fuzzy</v>
      </c>
      <c r="P2257" t="str">
        <f t="shared" si="220"/>
        <v>Fuzzy</v>
      </c>
    </row>
    <row r="2258" spans="1:16" x14ac:dyDescent="0.35">
      <c r="A2258" t="s">
        <v>2261</v>
      </c>
      <c r="B2258">
        <v>6471</v>
      </c>
      <c r="C2258">
        <v>26</v>
      </c>
      <c r="D2258">
        <v>81</v>
      </c>
      <c r="E2258">
        <v>461</v>
      </c>
      <c r="F2258">
        <v>617</v>
      </c>
      <c r="K2258" s="1">
        <f t="shared" si="221"/>
        <v>461</v>
      </c>
      <c r="L2258" s="1" t="str">
        <f t="shared" si="216"/>
        <v>Normal</v>
      </c>
      <c r="M2258" s="2">
        <f t="shared" si="217"/>
        <v>40.25</v>
      </c>
      <c r="N2258" s="1" t="str">
        <f t="shared" si="218"/>
        <v>Lembab</v>
      </c>
      <c r="O2258" t="str">
        <f t="shared" si="219"/>
        <v>Fuzzy</v>
      </c>
      <c r="P2258" t="str">
        <f t="shared" si="220"/>
        <v>Fuzzy</v>
      </c>
    </row>
    <row r="2259" spans="1:16" x14ac:dyDescent="0.35">
      <c r="A2259" t="s">
        <v>2262</v>
      </c>
      <c r="B2259">
        <v>6472</v>
      </c>
      <c r="C2259">
        <v>26</v>
      </c>
      <c r="D2259">
        <v>81</v>
      </c>
      <c r="E2259">
        <v>393</v>
      </c>
      <c r="F2259">
        <v>617</v>
      </c>
      <c r="K2259" s="1">
        <f t="shared" si="221"/>
        <v>393</v>
      </c>
      <c r="L2259" s="1" t="str">
        <f t="shared" si="216"/>
        <v>Normal</v>
      </c>
      <c r="M2259" s="2">
        <f t="shared" si="217"/>
        <v>23.25</v>
      </c>
      <c r="N2259" s="1" t="str">
        <f t="shared" si="218"/>
        <v>Kering</v>
      </c>
      <c r="O2259" t="str">
        <f t="shared" si="219"/>
        <v>Fuzzy</v>
      </c>
      <c r="P2259" t="str">
        <f t="shared" si="220"/>
        <v>Fuzzy</v>
      </c>
    </row>
    <row r="2260" spans="1:16" x14ac:dyDescent="0.35">
      <c r="A2260" t="s">
        <v>2263</v>
      </c>
      <c r="B2260">
        <v>6473</v>
      </c>
      <c r="C2260">
        <v>26</v>
      </c>
      <c r="D2260">
        <v>81</v>
      </c>
      <c r="E2260">
        <v>377</v>
      </c>
      <c r="F2260">
        <v>617</v>
      </c>
      <c r="K2260" s="1">
        <f t="shared" si="221"/>
        <v>377</v>
      </c>
      <c r="L2260" s="1" t="str">
        <f t="shared" si="216"/>
        <v>Normal</v>
      </c>
      <c r="M2260" s="2">
        <f t="shared" si="217"/>
        <v>19.25</v>
      </c>
      <c r="N2260" s="1" t="str">
        <f t="shared" si="218"/>
        <v>Kering</v>
      </c>
      <c r="O2260" t="str">
        <f t="shared" si="219"/>
        <v>Fuzzy</v>
      </c>
      <c r="P2260" t="str">
        <f t="shared" si="220"/>
        <v>Fuzzy</v>
      </c>
    </row>
    <row r="2261" spans="1:16" x14ac:dyDescent="0.35">
      <c r="A2261" t="s">
        <v>2264</v>
      </c>
      <c r="B2261">
        <v>6474</v>
      </c>
      <c r="C2261">
        <v>26</v>
      </c>
      <c r="D2261">
        <v>81</v>
      </c>
      <c r="E2261">
        <v>393</v>
      </c>
      <c r="F2261">
        <v>617</v>
      </c>
      <c r="K2261" s="1">
        <f t="shared" si="221"/>
        <v>393</v>
      </c>
      <c r="L2261" s="1" t="str">
        <f t="shared" si="216"/>
        <v>Normal</v>
      </c>
      <c r="M2261" s="2">
        <f t="shared" si="217"/>
        <v>23.25</v>
      </c>
      <c r="N2261" s="1" t="str">
        <f t="shared" si="218"/>
        <v>Kering</v>
      </c>
      <c r="O2261" t="str">
        <f t="shared" si="219"/>
        <v>Fuzzy</v>
      </c>
      <c r="P2261" t="str">
        <f t="shared" si="220"/>
        <v>Fuzzy</v>
      </c>
    </row>
    <row r="2262" spans="1:16" x14ac:dyDescent="0.35">
      <c r="A2262" t="s">
        <v>2265</v>
      </c>
      <c r="B2262">
        <v>6475</v>
      </c>
      <c r="C2262">
        <v>26</v>
      </c>
      <c r="D2262">
        <v>81</v>
      </c>
      <c r="E2262">
        <v>491</v>
      </c>
      <c r="F2262">
        <v>617</v>
      </c>
      <c r="K2262" s="1">
        <f t="shared" si="221"/>
        <v>491</v>
      </c>
      <c r="L2262" s="1" t="str">
        <f t="shared" si="216"/>
        <v>Normal</v>
      </c>
      <c r="M2262" s="2">
        <f t="shared" si="217"/>
        <v>47.75</v>
      </c>
      <c r="N2262" s="1" t="str">
        <f t="shared" si="218"/>
        <v>Lembab</v>
      </c>
      <c r="O2262" t="str">
        <f t="shared" si="219"/>
        <v>Fuzzy</v>
      </c>
      <c r="P2262" t="str">
        <f t="shared" si="220"/>
        <v>Fuzzy</v>
      </c>
    </row>
    <row r="2263" spans="1:16" x14ac:dyDescent="0.35">
      <c r="A2263" t="s">
        <v>2266</v>
      </c>
      <c r="B2263">
        <v>6476</v>
      </c>
      <c r="C2263">
        <v>26</v>
      </c>
      <c r="D2263">
        <v>81</v>
      </c>
      <c r="E2263">
        <v>275</v>
      </c>
      <c r="F2263">
        <v>617</v>
      </c>
      <c r="K2263" s="1">
        <f t="shared" si="221"/>
        <v>275</v>
      </c>
      <c r="L2263" s="1" t="str">
        <f t="shared" si="216"/>
        <v>Normal</v>
      </c>
      <c r="M2263" s="2">
        <f t="shared" si="217"/>
        <v>26.881720430107524</v>
      </c>
      <c r="N2263" s="1" t="str">
        <f t="shared" si="218"/>
        <v>Kering</v>
      </c>
      <c r="O2263" t="str">
        <f t="shared" si="219"/>
        <v>Fuzzy</v>
      </c>
      <c r="P2263" t="str">
        <f t="shared" si="220"/>
        <v>Fuzzy</v>
      </c>
    </row>
    <row r="2264" spans="1:16" x14ac:dyDescent="0.35">
      <c r="A2264" t="s">
        <v>2267</v>
      </c>
      <c r="B2264">
        <v>6477</v>
      </c>
      <c r="C2264">
        <v>26</v>
      </c>
      <c r="D2264">
        <v>81</v>
      </c>
      <c r="E2264">
        <v>394</v>
      </c>
      <c r="F2264">
        <v>617</v>
      </c>
      <c r="K2264" s="1">
        <f t="shared" si="221"/>
        <v>394</v>
      </c>
      <c r="L2264" s="1" t="str">
        <f t="shared" si="216"/>
        <v>Normal</v>
      </c>
      <c r="M2264" s="2">
        <f t="shared" si="217"/>
        <v>23.5</v>
      </c>
      <c r="N2264" s="1" t="str">
        <f t="shared" si="218"/>
        <v>Kering</v>
      </c>
      <c r="O2264" t="str">
        <f t="shared" si="219"/>
        <v>Fuzzy</v>
      </c>
      <c r="P2264" t="str">
        <f t="shared" si="220"/>
        <v>Fuzzy</v>
      </c>
    </row>
    <row r="2265" spans="1:16" x14ac:dyDescent="0.35">
      <c r="A2265" t="s">
        <v>2268</v>
      </c>
      <c r="B2265">
        <v>6478</v>
      </c>
      <c r="C2265">
        <v>26</v>
      </c>
      <c r="D2265">
        <v>81</v>
      </c>
      <c r="E2265">
        <v>411</v>
      </c>
      <c r="F2265">
        <v>617</v>
      </c>
      <c r="K2265" s="1">
        <f t="shared" si="221"/>
        <v>411</v>
      </c>
      <c r="L2265" s="1" t="str">
        <f t="shared" si="216"/>
        <v>Normal</v>
      </c>
      <c r="M2265" s="2">
        <f t="shared" si="217"/>
        <v>27.750000000000004</v>
      </c>
      <c r="N2265" s="1" t="str">
        <f t="shared" si="218"/>
        <v>Kering</v>
      </c>
      <c r="O2265" t="str">
        <f t="shared" si="219"/>
        <v>Fuzzy</v>
      </c>
      <c r="P2265" t="str">
        <f t="shared" si="220"/>
        <v>Fuzzy</v>
      </c>
    </row>
    <row r="2266" spans="1:16" x14ac:dyDescent="0.35">
      <c r="A2266" t="s">
        <v>2269</v>
      </c>
      <c r="B2266">
        <v>6479</v>
      </c>
      <c r="C2266">
        <v>26</v>
      </c>
      <c r="D2266">
        <v>81</v>
      </c>
      <c r="E2266">
        <v>419</v>
      </c>
      <c r="F2266">
        <v>617</v>
      </c>
      <c r="K2266" s="1">
        <f t="shared" si="221"/>
        <v>419</v>
      </c>
      <c r="L2266" s="1" t="str">
        <f t="shared" si="216"/>
        <v>Normal</v>
      </c>
      <c r="M2266" s="2">
        <f t="shared" si="217"/>
        <v>29.75</v>
      </c>
      <c r="N2266" s="1" t="str">
        <f t="shared" si="218"/>
        <v>Lembab</v>
      </c>
      <c r="O2266" t="str">
        <f t="shared" si="219"/>
        <v>Fuzzy</v>
      </c>
      <c r="P2266" t="str">
        <f t="shared" si="220"/>
        <v>Fuzzy</v>
      </c>
    </row>
    <row r="2267" spans="1:16" x14ac:dyDescent="0.35">
      <c r="A2267" t="s">
        <v>2270</v>
      </c>
      <c r="B2267">
        <v>6480</v>
      </c>
      <c r="C2267">
        <v>26</v>
      </c>
      <c r="D2267">
        <v>81</v>
      </c>
      <c r="E2267">
        <v>451</v>
      </c>
      <c r="F2267">
        <v>617</v>
      </c>
      <c r="K2267" s="1">
        <f t="shared" si="221"/>
        <v>451</v>
      </c>
      <c r="L2267" s="1" t="str">
        <f t="shared" si="216"/>
        <v>Normal</v>
      </c>
      <c r="M2267" s="2">
        <f t="shared" si="217"/>
        <v>37.75</v>
      </c>
      <c r="N2267" s="1" t="str">
        <f t="shared" si="218"/>
        <v>Lembab</v>
      </c>
      <c r="O2267" t="str">
        <f t="shared" si="219"/>
        <v>Fuzzy</v>
      </c>
      <c r="P2267" t="str">
        <f t="shared" si="220"/>
        <v>Fuzzy</v>
      </c>
    </row>
    <row r="2268" spans="1:16" x14ac:dyDescent="0.35">
      <c r="A2268" t="s">
        <v>2271</v>
      </c>
      <c r="B2268">
        <v>6481</v>
      </c>
      <c r="C2268">
        <v>26</v>
      </c>
      <c r="D2268">
        <v>81</v>
      </c>
      <c r="E2268">
        <v>424</v>
      </c>
      <c r="F2268">
        <v>617</v>
      </c>
      <c r="K2268" s="1">
        <f t="shared" si="221"/>
        <v>424</v>
      </c>
      <c r="L2268" s="1" t="str">
        <f t="shared" si="216"/>
        <v>Normal</v>
      </c>
      <c r="M2268" s="2">
        <f t="shared" si="217"/>
        <v>31</v>
      </c>
      <c r="N2268" s="1" t="str">
        <f t="shared" si="218"/>
        <v>Lembab</v>
      </c>
      <c r="O2268" t="str">
        <f t="shared" si="219"/>
        <v>Fuzzy</v>
      </c>
      <c r="P2268" t="str">
        <f t="shared" si="220"/>
        <v>Fuzzy</v>
      </c>
    </row>
    <row r="2269" spans="1:16" x14ac:dyDescent="0.35">
      <c r="A2269" t="s">
        <v>2272</v>
      </c>
      <c r="B2269">
        <v>6482</v>
      </c>
      <c r="C2269">
        <v>26</v>
      </c>
      <c r="D2269">
        <v>82</v>
      </c>
      <c r="E2269">
        <v>418</v>
      </c>
      <c r="F2269">
        <v>617</v>
      </c>
      <c r="K2269" s="1">
        <f t="shared" si="221"/>
        <v>418</v>
      </c>
      <c r="L2269" s="1" t="str">
        <f t="shared" si="216"/>
        <v>Normal</v>
      </c>
      <c r="M2269" s="2">
        <f t="shared" si="217"/>
        <v>29.5</v>
      </c>
      <c r="N2269" s="1" t="str">
        <f t="shared" si="218"/>
        <v>Lembab</v>
      </c>
      <c r="O2269" t="str">
        <f t="shared" si="219"/>
        <v>Fuzzy</v>
      </c>
      <c r="P2269" t="str">
        <f t="shared" si="220"/>
        <v>Fuzzy</v>
      </c>
    </row>
    <row r="2270" spans="1:16" x14ac:dyDescent="0.35">
      <c r="A2270" t="s">
        <v>2273</v>
      </c>
      <c r="B2270">
        <v>6483</v>
      </c>
      <c r="C2270">
        <v>26</v>
      </c>
      <c r="D2270">
        <v>81</v>
      </c>
      <c r="E2270">
        <v>431</v>
      </c>
      <c r="F2270">
        <v>617</v>
      </c>
      <c r="K2270" s="1">
        <f t="shared" si="221"/>
        <v>431</v>
      </c>
      <c r="L2270" s="1" t="str">
        <f t="shared" si="216"/>
        <v>Normal</v>
      </c>
      <c r="M2270" s="2">
        <f t="shared" si="217"/>
        <v>32.75</v>
      </c>
      <c r="N2270" s="1" t="str">
        <f t="shared" si="218"/>
        <v>Lembab</v>
      </c>
      <c r="O2270" t="str">
        <f t="shared" si="219"/>
        <v>Fuzzy</v>
      </c>
      <c r="P2270" t="str">
        <f t="shared" si="220"/>
        <v>Fuzzy</v>
      </c>
    </row>
    <row r="2271" spans="1:16" x14ac:dyDescent="0.35">
      <c r="A2271" t="s">
        <v>2274</v>
      </c>
      <c r="B2271">
        <v>6484</v>
      </c>
      <c r="C2271">
        <v>26</v>
      </c>
      <c r="D2271">
        <v>82</v>
      </c>
      <c r="E2271">
        <v>388</v>
      </c>
      <c r="F2271">
        <v>617</v>
      </c>
      <c r="K2271" s="1">
        <f t="shared" si="221"/>
        <v>388</v>
      </c>
      <c r="L2271" s="1" t="str">
        <f t="shared" si="216"/>
        <v>Normal</v>
      </c>
      <c r="M2271" s="2">
        <f t="shared" si="217"/>
        <v>22</v>
      </c>
      <c r="N2271" s="1" t="str">
        <f t="shared" si="218"/>
        <v>Kering</v>
      </c>
      <c r="O2271" t="str">
        <f t="shared" si="219"/>
        <v>Fuzzy</v>
      </c>
      <c r="P2271" t="str">
        <f t="shared" si="220"/>
        <v>Fuzzy</v>
      </c>
    </row>
    <row r="2272" spans="1:16" x14ac:dyDescent="0.35">
      <c r="A2272" t="s">
        <v>2275</v>
      </c>
      <c r="B2272">
        <v>6485</v>
      </c>
      <c r="C2272">
        <v>26</v>
      </c>
      <c r="D2272">
        <v>82</v>
      </c>
      <c r="E2272">
        <v>360</v>
      </c>
      <c r="F2272">
        <v>617</v>
      </c>
      <c r="K2272" s="1">
        <f t="shared" si="221"/>
        <v>360</v>
      </c>
      <c r="L2272" s="1" t="str">
        <f t="shared" si="216"/>
        <v>Normal</v>
      </c>
      <c r="M2272" s="2">
        <f t="shared" si="217"/>
        <v>15</v>
      </c>
      <c r="N2272" s="1" t="str">
        <f t="shared" si="218"/>
        <v>Kering</v>
      </c>
      <c r="O2272" t="str">
        <f t="shared" si="219"/>
        <v>Fuzzy</v>
      </c>
      <c r="P2272" t="str">
        <f t="shared" si="220"/>
        <v>Fuzzy</v>
      </c>
    </row>
    <row r="2273" spans="1:16" x14ac:dyDescent="0.35">
      <c r="A2273" t="s">
        <v>2276</v>
      </c>
      <c r="B2273">
        <v>6486</v>
      </c>
      <c r="C2273">
        <v>26</v>
      </c>
      <c r="D2273">
        <v>82</v>
      </c>
      <c r="E2273">
        <v>470</v>
      </c>
      <c r="F2273">
        <v>617</v>
      </c>
      <c r="K2273" s="1">
        <f t="shared" si="221"/>
        <v>470</v>
      </c>
      <c r="L2273" s="1" t="str">
        <f t="shared" si="216"/>
        <v>Normal</v>
      </c>
      <c r="M2273" s="2">
        <f t="shared" si="217"/>
        <v>42.5</v>
      </c>
      <c r="N2273" s="1" t="str">
        <f t="shared" si="218"/>
        <v>Lembab</v>
      </c>
      <c r="O2273" t="str">
        <f t="shared" si="219"/>
        <v>Fuzzy</v>
      </c>
      <c r="P2273" t="str">
        <f t="shared" si="220"/>
        <v>Fuzzy</v>
      </c>
    </row>
    <row r="2274" spans="1:16" x14ac:dyDescent="0.35">
      <c r="A2274" t="s">
        <v>2277</v>
      </c>
      <c r="B2274">
        <v>6487</v>
      </c>
      <c r="C2274">
        <v>26</v>
      </c>
      <c r="D2274">
        <v>82</v>
      </c>
      <c r="E2274">
        <v>415</v>
      </c>
      <c r="F2274">
        <v>618</v>
      </c>
      <c r="K2274" s="1">
        <f t="shared" si="221"/>
        <v>415</v>
      </c>
      <c r="L2274" s="1" t="str">
        <f t="shared" si="216"/>
        <v>Normal</v>
      </c>
      <c r="M2274" s="2">
        <f t="shared" si="217"/>
        <v>28.749999999999996</v>
      </c>
      <c r="N2274" s="1" t="str">
        <f t="shared" si="218"/>
        <v>Kering</v>
      </c>
      <c r="O2274" t="str">
        <f t="shared" si="219"/>
        <v>Fuzzy</v>
      </c>
      <c r="P2274" t="str">
        <f t="shared" si="220"/>
        <v>Fuzzy</v>
      </c>
    </row>
    <row r="2275" spans="1:16" x14ac:dyDescent="0.35">
      <c r="A2275" t="s">
        <v>2278</v>
      </c>
      <c r="B2275">
        <v>6488</v>
      </c>
      <c r="C2275">
        <v>26</v>
      </c>
      <c r="D2275">
        <v>82</v>
      </c>
      <c r="E2275">
        <v>360</v>
      </c>
      <c r="F2275">
        <v>617</v>
      </c>
      <c r="K2275" s="1">
        <f t="shared" si="221"/>
        <v>360</v>
      </c>
      <c r="L2275" s="1" t="str">
        <f t="shared" si="216"/>
        <v>Normal</v>
      </c>
      <c r="M2275" s="2">
        <f t="shared" si="217"/>
        <v>15</v>
      </c>
      <c r="N2275" s="1" t="str">
        <f t="shared" si="218"/>
        <v>Kering</v>
      </c>
      <c r="O2275" t="str">
        <f t="shared" si="219"/>
        <v>Fuzzy</v>
      </c>
      <c r="P2275" t="str">
        <f t="shared" si="220"/>
        <v>Fuzzy</v>
      </c>
    </row>
    <row r="2276" spans="1:16" x14ac:dyDescent="0.35">
      <c r="A2276" t="s">
        <v>2279</v>
      </c>
      <c r="B2276">
        <v>6489</v>
      </c>
      <c r="C2276">
        <v>26</v>
      </c>
      <c r="D2276">
        <v>81</v>
      </c>
      <c r="E2276">
        <v>393</v>
      </c>
      <c r="F2276">
        <v>617</v>
      </c>
      <c r="K2276" s="1">
        <f t="shared" si="221"/>
        <v>393</v>
      </c>
      <c r="L2276" s="1" t="str">
        <f t="shared" si="216"/>
        <v>Normal</v>
      </c>
      <c r="M2276" s="2">
        <f t="shared" si="217"/>
        <v>23.25</v>
      </c>
      <c r="N2276" s="1" t="str">
        <f t="shared" si="218"/>
        <v>Kering</v>
      </c>
      <c r="O2276" t="str">
        <f t="shared" si="219"/>
        <v>Fuzzy</v>
      </c>
      <c r="P2276" t="str">
        <f t="shared" si="220"/>
        <v>Fuzzy</v>
      </c>
    </row>
    <row r="2277" spans="1:16" x14ac:dyDescent="0.35">
      <c r="A2277" t="s">
        <v>2280</v>
      </c>
      <c r="B2277">
        <v>6490</v>
      </c>
      <c r="C2277">
        <v>26</v>
      </c>
      <c r="D2277">
        <v>81</v>
      </c>
      <c r="E2277">
        <v>420</v>
      </c>
      <c r="F2277">
        <v>617</v>
      </c>
      <c r="K2277" s="1">
        <f t="shared" si="221"/>
        <v>420</v>
      </c>
      <c r="L2277" s="1" t="str">
        <f t="shared" si="216"/>
        <v>Normal</v>
      </c>
      <c r="M2277" s="2">
        <f t="shared" si="217"/>
        <v>30</v>
      </c>
      <c r="N2277" s="1" t="str">
        <f t="shared" si="218"/>
        <v>Lembab</v>
      </c>
      <c r="O2277" t="str">
        <f t="shared" si="219"/>
        <v>Fuzzy</v>
      </c>
      <c r="P2277" t="str">
        <f t="shared" si="220"/>
        <v>Fuzzy</v>
      </c>
    </row>
    <row r="2278" spans="1:16" x14ac:dyDescent="0.35">
      <c r="A2278" t="s">
        <v>2281</v>
      </c>
      <c r="B2278">
        <v>6491</v>
      </c>
      <c r="C2278">
        <v>26</v>
      </c>
      <c r="D2278">
        <v>81</v>
      </c>
      <c r="E2278">
        <v>430</v>
      </c>
      <c r="F2278">
        <v>617</v>
      </c>
      <c r="K2278" s="1">
        <f t="shared" si="221"/>
        <v>430</v>
      </c>
      <c r="L2278" s="1" t="str">
        <f t="shared" si="216"/>
        <v>Normal</v>
      </c>
      <c r="M2278" s="2">
        <f t="shared" si="217"/>
        <v>32.5</v>
      </c>
      <c r="N2278" s="1" t="str">
        <f t="shared" si="218"/>
        <v>Lembab</v>
      </c>
      <c r="O2278" t="str">
        <f t="shared" si="219"/>
        <v>Fuzzy</v>
      </c>
      <c r="P2278" t="str">
        <f t="shared" si="220"/>
        <v>Fuzzy</v>
      </c>
    </row>
    <row r="2279" spans="1:16" x14ac:dyDescent="0.35">
      <c r="A2279" t="s">
        <v>2282</v>
      </c>
      <c r="B2279">
        <v>6492</v>
      </c>
      <c r="C2279">
        <v>26</v>
      </c>
      <c r="D2279">
        <v>80</v>
      </c>
      <c r="E2279">
        <v>457</v>
      </c>
      <c r="F2279">
        <v>618</v>
      </c>
      <c r="K2279" s="1">
        <f t="shared" si="221"/>
        <v>457</v>
      </c>
      <c r="L2279" s="1" t="str">
        <f t="shared" si="216"/>
        <v>Normal</v>
      </c>
      <c r="M2279" s="2">
        <f t="shared" si="217"/>
        <v>39.25</v>
      </c>
      <c r="N2279" s="1" t="str">
        <f t="shared" si="218"/>
        <v>Lembab</v>
      </c>
      <c r="O2279" t="str">
        <f t="shared" si="219"/>
        <v>Fuzzy</v>
      </c>
      <c r="P2279" t="str">
        <f t="shared" si="220"/>
        <v>Fuzzy</v>
      </c>
    </row>
    <row r="2280" spans="1:16" x14ac:dyDescent="0.35">
      <c r="A2280" t="s">
        <v>2283</v>
      </c>
      <c r="B2280">
        <v>6493</v>
      </c>
      <c r="C2280">
        <v>26</v>
      </c>
      <c r="D2280">
        <v>80</v>
      </c>
      <c r="E2280">
        <v>278</v>
      </c>
      <c r="F2280">
        <v>618</v>
      </c>
      <c r="K2280" s="1">
        <f t="shared" si="221"/>
        <v>278</v>
      </c>
      <c r="L2280" s="1" t="str">
        <f t="shared" si="216"/>
        <v>Normal</v>
      </c>
      <c r="M2280" s="2">
        <f t="shared" si="217"/>
        <v>27.174975562072333</v>
      </c>
      <c r="N2280" s="1" t="str">
        <f t="shared" si="218"/>
        <v>Kering</v>
      </c>
      <c r="O2280" t="str">
        <f t="shared" si="219"/>
        <v>Fuzzy</v>
      </c>
      <c r="P2280" t="str">
        <f t="shared" si="220"/>
        <v>Fuzzy</v>
      </c>
    </row>
    <row r="2281" spans="1:16" x14ac:dyDescent="0.35">
      <c r="A2281" t="s">
        <v>2284</v>
      </c>
      <c r="B2281">
        <v>6494</v>
      </c>
      <c r="C2281">
        <v>26</v>
      </c>
      <c r="D2281">
        <v>80</v>
      </c>
      <c r="E2281">
        <v>506</v>
      </c>
      <c r="F2281">
        <v>617</v>
      </c>
      <c r="K2281" s="1">
        <f t="shared" si="221"/>
        <v>506</v>
      </c>
      <c r="L2281" s="1" t="str">
        <f t="shared" si="216"/>
        <v>Normal</v>
      </c>
      <c r="M2281" s="2">
        <f t="shared" si="217"/>
        <v>51.5</v>
      </c>
      <c r="N2281" s="1" t="str">
        <f t="shared" si="218"/>
        <v>Lembab</v>
      </c>
      <c r="O2281" t="str">
        <f t="shared" si="219"/>
        <v>Fuzzy</v>
      </c>
      <c r="P2281" t="str">
        <f t="shared" si="220"/>
        <v>Fuzzy</v>
      </c>
    </row>
    <row r="2282" spans="1:16" x14ac:dyDescent="0.35">
      <c r="A2282" t="s">
        <v>2285</v>
      </c>
      <c r="B2282">
        <v>6495</v>
      </c>
      <c r="C2282">
        <v>26</v>
      </c>
      <c r="D2282">
        <v>81</v>
      </c>
      <c r="E2282">
        <v>451</v>
      </c>
      <c r="F2282">
        <v>617</v>
      </c>
      <c r="K2282" s="1">
        <f t="shared" si="221"/>
        <v>451</v>
      </c>
      <c r="L2282" s="1" t="str">
        <f t="shared" si="216"/>
        <v>Normal</v>
      </c>
      <c r="M2282" s="2">
        <f t="shared" si="217"/>
        <v>37.75</v>
      </c>
      <c r="N2282" s="1" t="str">
        <f t="shared" si="218"/>
        <v>Lembab</v>
      </c>
      <c r="O2282" t="str">
        <f t="shared" si="219"/>
        <v>Fuzzy</v>
      </c>
      <c r="P2282" t="str">
        <f t="shared" si="220"/>
        <v>Fuzzy</v>
      </c>
    </row>
    <row r="2283" spans="1:16" x14ac:dyDescent="0.35">
      <c r="A2283" t="s">
        <v>2286</v>
      </c>
      <c r="B2283">
        <v>6496</v>
      </c>
      <c r="C2283">
        <v>26</v>
      </c>
      <c r="D2283">
        <v>80</v>
      </c>
      <c r="E2283">
        <v>431</v>
      </c>
      <c r="F2283">
        <v>618</v>
      </c>
      <c r="K2283" s="1">
        <f t="shared" si="221"/>
        <v>431</v>
      </c>
      <c r="L2283" s="1" t="str">
        <f t="shared" si="216"/>
        <v>Normal</v>
      </c>
      <c r="M2283" s="2">
        <f t="shared" si="217"/>
        <v>32.75</v>
      </c>
      <c r="N2283" s="1" t="str">
        <f t="shared" si="218"/>
        <v>Lembab</v>
      </c>
      <c r="O2283" t="str">
        <f t="shared" si="219"/>
        <v>Fuzzy</v>
      </c>
      <c r="P2283" t="str">
        <f t="shared" si="220"/>
        <v>Fuzzy</v>
      </c>
    </row>
    <row r="2284" spans="1:16" x14ac:dyDescent="0.35">
      <c r="A2284" t="s">
        <v>2287</v>
      </c>
      <c r="B2284">
        <v>6497</v>
      </c>
      <c r="C2284">
        <v>26</v>
      </c>
      <c r="D2284">
        <v>80</v>
      </c>
      <c r="E2284">
        <v>425</v>
      </c>
      <c r="F2284">
        <v>617</v>
      </c>
      <c r="K2284" s="1">
        <f t="shared" si="221"/>
        <v>425</v>
      </c>
      <c r="L2284" s="1" t="str">
        <f t="shared" si="216"/>
        <v>Normal</v>
      </c>
      <c r="M2284" s="2">
        <f t="shared" si="217"/>
        <v>31.25</v>
      </c>
      <c r="N2284" s="1" t="str">
        <f t="shared" si="218"/>
        <v>Lembab</v>
      </c>
      <c r="O2284" t="str">
        <f t="shared" si="219"/>
        <v>Fuzzy</v>
      </c>
      <c r="P2284" t="str">
        <f t="shared" si="220"/>
        <v>Fuzzy</v>
      </c>
    </row>
    <row r="2285" spans="1:16" x14ac:dyDescent="0.35">
      <c r="A2285" t="s">
        <v>2288</v>
      </c>
      <c r="B2285">
        <v>6498</v>
      </c>
      <c r="C2285">
        <v>26</v>
      </c>
      <c r="D2285">
        <v>80</v>
      </c>
      <c r="E2285">
        <v>413</v>
      </c>
      <c r="F2285">
        <v>617</v>
      </c>
      <c r="K2285" s="1">
        <f t="shared" si="221"/>
        <v>413</v>
      </c>
      <c r="L2285" s="1" t="str">
        <f t="shared" si="216"/>
        <v>Normal</v>
      </c>
      <c r="M2285" s="2">
        <f t="shared" si="217"/>
        <v>28.249999999999996</v>
      </c>
      <c r="N2285" s="1" t="str">
        <f t="shared" si="218"/>
        <v>Kering</v>
      </c>
      <c r="O2285" t="str">
        <f t="shared" si="219"/>
        <v>Fuzzy</v>
      </c>
      <c r="P2285" t="str">
        <f t="shared" si="220"/>
        <v>Fuzzy</v>
      </c>
    </row>
    <row r="2286" spans="1:16" x14ac:dyDescent="0.35">
      <c r="A2286" t="s">
        <v>2289</v>
      </c>
      <c r="B2286">
        <v>6499</v>
      </c>
      <c r="C2286">
        <v>26</v>
      </c>
      <c r="D2286">
        <v>80</v>
      </c>
      <c r="E2286">
        <v>452</v>
      </c>
      <c r="F2286">
        <v>617</v>
      </c>
      <c r="K2286" s="1">
        <f t="shared" si="221"/>
        <v>452</v>
      </c>
      <c r="L2286" s="1" t="str">
        <f t="shared" si="216"/>
        <v>Normal</v>
      </c>
      <c r="M2286" s="2">
        <f t="shared" si="217"/>
        <v>38</v>
      </c>
      <c r="N2286" s="1" t="str">
        <f t="shared" si="218"/>
        <v>Lembab</v>
      </c>
      <c r="O2286" t="str">
        <f t="shared" si="219"/>
        <v>Fuzzy</v>
      </c>
      <c r="P2286" t="str">
        <f t="shared" si="220"/>
        <v>Fuzzy</v>
      </c>
    </row>
    <row r="2287" spans="1:16" x14ac:dyDescent="0.35">
      <c r="A2287" t="s">
        <v>2290</v>
      </c>
      <c r="B2287">
        <v>6500</v>
      </c>
      <c r="C2287">
        <v>26</v>
      </c>
      <c r="D2287">
        <v>80</v>
      </c>
      <c r="E2287">
        <v>450</v>
      </c>
      <c r="F2287">
        <v>617</v>
      </c>
      <c r="K2287" s="1">
        <f t="shared" si="221"/>
        <v>450</v>
      </c>
      <c r="L2287" s="1" t="str">
        <f t="shared" si="216"/>
        <v>Normal</v>
      </c>
      <c r="M2287" s="2">
        <f t="shared" si="217"/>
        <v>37.5</v>
      </c>
      <c r="N2287" s="1" t="str">
        <f t="shared" si="218"/>
        <v>Lembab</v>
      </c>
      <c r="O2287" t="str">
        <f t="shared" si="219"/>
        <v>Fuzzy</v>
      </c>
      <c r="P2287" t="str">
        <f t="shared" si="220"/>
        <v>Fuzzy</v>
      </c>
    </row>
    <row r="2288" spans="1:16" x14ac:dyDescent="0.35">
      <c r="A2288" t="s">
        <v>2291</v>
      </c>
      <c r="B2288">
        <v>6501</v>
      </c>
      <c r="C2288">
        <v>26</v>
      </c>
      <c r="D2288">
        <v>80</v>
      </c>
      <c r="E2288">
        <v>393</v>
      </c>
      <c r="F2288">
        <v>617</v>
      </c>
      <c r="K2288" s="1">
        <f t="shared" si="221"/>
        <v>393</v>
      </c>
      <c r="L2288" s="1" t="str">
        <f t="shared" si="216"/>
        <v>Normal</v>
      </c>
      <c r="M2288" s="2">
        <f t="shared" si="217"/>
        <v>23.25</v>
      </c>
      <c r="N2288" s="1" t="str">
        <f t="shared" si="218"/>
        <v>Kering</v>
      </c>
      <c r="O2288" t="str">
        <f t="shared" si="219"/>
        <v>Fuzzy</v>
      </c>
      <c r="P2288" t="str">
        <f t="shared" si="220"/>
        <v>Fuzzy</v>
      </c>
    </row>
    <row r="2289" spans="1:16" x14ac:dyDescent="0.35">
      <c r="A2289" t="s">
        <v>2292</v>
      </c>
      <c r="B2289">
        <v>6502</v>
      </c>
      <c r="C2289">
        <v>26</v>
      </c>
      <c r="D2289">
        <v>80</v>
      </c>
      <c r="E2289">
        <v>373</v>
      </c>
      <c r="F2289">
        <v>616</v>
      </c>
      <c r="K2289" s="1">
        <f t="shared" si="221"/>
        <v>373</v>
      </c>
      <c r="L2289" s="1" t="str">
        <f t="shared" si="216"/>
        <v>Normal</v>
      </c>
      <c r="M2289" s="2">
        <f t="shared" si="217"/>
        <v>18.25</v>
      </c>
      <c r="N2289" s="1" t="str">
        <f t="shared" si="218"/>
        <v>Kering</v>
      </c>
      <c r="O2289" t="str">
        <f t="shared" si="219"/>
        <v>Fuzzy</v>
      </c>
      <c r="P2289" t="str">
        <f t="shared" si="220"/>
        <v>Fuzzy</v>
      </c>
    </row>
    <row r="2290" spans="1:16" x14ac:dyDescent="0.35">
      <c r="A2290" t="s">
        <v>2293</v>
      </c>
      <c r="B2290">
        <v>6503</v>
      </c>
      <c r="C2290">
        <v>26</v>
      </c>
      <c r="D2290">
        <v>80</v>
      </c>
      <c r="E2290">
        <v>415</v>
      </c>
      <c r="F2290">
        <v>617</v>
      </c>
      <c r="K2290" s="1">
        <f t="shared" si="221"/>
        <v>415</v>
      </c>
      <c r="L2290" s="1" t="str">
        <f t="shared" si="216"/>
        <v>Normal</v>
      </c>
      <c r="M2290" s="2">
        <f t="shared" si="217"/>
        <v>28.749999999999996</v>
      </c>
      <c r="N2290" s="1" t="str">
        <f t="shared" si="218"/>
        <v>Kering</v>
      </c>
      <c r="O2290" t="str">
        <f t="shared" si="219"/>
        <v>Fuzzy</v>
      </c>
      <c r="P2290" t="str">
        <f t="shared" si="220"/>
        <v>Fuzzy</v>
      </c>
    </row>
    <row r="2291" spans="1:16" x14ac:dyDescent="0.35">
      <c r="A2291" t="s">
        <v>2294</v>
      </c>
      <c r="B2291">
        <v>6504</v>
      </c>
      <c r="C2291">
        <v>26</v>
      </c>
      <c r="D2291">
        <v>80</v>
      </c>
      <c r="E2291">
        <v>413</v>
      </c>
      <c r="F2291">
        <v>617</v>
      </c>
      <c r="K2291" s="1">
        <f t="shared" si="221"/>
        <v>413</v>
      </c>
      <c r="L2291" s="1" t="str">
        <f t="shared" si="216"/>
        <v>Normal</v>
      </c>
      <c r="M2291" s="2">
        <f t="shared" si="217"/>
        <v>28.249999999999996</v>
      </c>
      <c r="N2291" s="1" t="str">
        <f t="shared" si="218"/>
        <v>Kering</v>
      </c>
      <c r="O2291" t="str">
        <f t="shared" si="219"/>
        <v>Fuzzy</v>
      </c>
      <c r="P2291" t="str">
        <f t="shared" si="220"/>
        <v>Fuzzy</v>
      </c>
    </row>
    <row r="2292" spans="1:16" x14ac:dyDescent="0.35">
      <c r="A2292" t="s">
        <v>2295</v>
      </c>
      <c r="B2292">
        <v>6505</v>
      </c>
      <c r="C2292">
        <v>26</v>
      </c>
      <c r="D2292">
        <v>80</v>
      </c>
      <c r="E2292">
        <v>345</v>
      </c>
      <c r="F2292">
        <v>617</v>
      </c>
      <c r="K2292" s="1">
        <f t="shared" si="221"/>
        <v>345</v>
      </c>
      <c r="L2292" s="1" t="str">
        <f t="shared" si="216"/>
        <v>Normal</v>
      </c>
      <c r="M2292" s="2">
        <f t="shared" si="217"/>
        <v>11.25</v>
      </c>
      <c r="N2292" s="1" t="str">
        <f t="shared" si="218"/>
        <v>Kering</v>
      </c>
      <c r="O2292" t="str">
        <f t="shared" si="219"/>
        <v>Fuzzy</v>
      </c>
      <c r="P2292" t="str">
        <f t="shared" si="220"/>
        <v>Fuzzy</v>
      </c>
    </row>
    <row r="2293" spans="1:16" x14ac:dyDescent="0.35">
      <c r="A2293" t="s">
        <v>2296</v>
      </c>
      <c r="B2293">
        <v>6506</v>
      </c>
      <c r="C2293">
        <v>26</v>
      </c>
      <c r="D2293">
        <v>80</v>
      </c>
      <c r="E2293">
        <v>376</v>
      </c>
      <c r="F2293">
        <v>617</v>
      </c>
      <c r="K2293" s="1">
        <f t="shared" si="221"/>
        <v>376</v>
      </c>
      <c r="L2293" s="1" t="str">
        <f t="shared" si="216"/>
        <v>Normal</v>
      </c>
      <c r="M2293" s="2">
        <f t="shared" si="217"/>
        <v>19</v>
      </c>
      <c r="N2293" s="1" t="str">
        <f t="shared" si="218"/>
        <v>Kering</v>
      </c>
      <c r="O2293" t="str">
        <f t="shared" si="219"/>
        <v>Fuzzy</v>
      </c>
      <c r="P2293" t="str">
        <f t="shared" si="220"/>
        <v>Fuzzy</v>
      </c>
    </row>
    <row r="2294" spans="1:16" x14ac:dyDescent="0.35">
      <c r="A2294" t="s">
        <v>2297</v>
      </c>
      <c r="B2294">
        <v>6507</v>
      </c>
      <c r="C2294">
        <v>26</v>
      </c>
      <c r="D2294">
        <v>80</v>
      </c>
      <c r="E2294">
        <v>379</v>
      </c>
      <c r="F2294">
        <v>598</v>
      </c>
      <c r="K2294" s="1">
        <f t="shared" si="221"/>
        <v>379</v>
      </c>
      <c r="L2294" s="1" t="str">
        <f t="shared" si="216"/>
        <v>Normal</v>
      </c>
      <c r="M2294" s="2">
        <f t="shared" si="217"/>
        <v>19.75</v>
      </c>
      <c r="N2294" s="1" t="str">
        <f t="shared" si="218"/>
        <v>Kering</v>
      </c>
      <c r="O2294" t="str">
        <f t="shared" si="219"/>
        <v>Fuzzy</v>
      </c>
      <c r="P2294" t="str">
        <f t="shared" si="220"/>
        <v>Fuzzy</v>
      </c>
    </row>
    <row r="2295" spans="1:16" x14ac:dyDescent="0.35">
      <c r="A2295" t="s">
        <v>2298</v>
      </c>
      <c r="B2295">
        <v>6508</v>
      </c>
      <c r="C2295">
        <v>26</v>
      </c>
      <c r="D2295">
        <v>80</v>
      </c>
      <c r="E2295">
        <v>460</v>
      </c>
      <c r="F2295">
        <v>617</v>
      </c>
      <c r="K2295" s="1">
        <f t="shared" si="221"/>
        <v>460</v>
      </c>
      <c r="L2295" s="1" t="str">
        <f t="shared" si="216"/>
        <v>Normal</v>
      </c>
      <c r="M2295" s="2">
        <f t="shared" si="217"/>
        <v>40</v>
      </c>
      <c r="N2295" s="1" t="str">
        <f t="shared" si="218"/>
        <v>Lembab</v>
      </c>
      <c r="O2295" t="str">
        <f t="shared" si="219"/>
        <v>Fuzzy</v>
      </c>
      <c r="P2295" t="str">
        <f t="shared" si="220"/>
        <v>Fuzzy</v>
      </c>
    </row>
    <row r="2296" spans="1:16" x14ac:dyDescent="0.35">
      <c r="A2296" t="s">
        <v>2299</v>
      </c>
      <c r="B2296">
        <v>6509</v>
      </c>
      <c r="C2296">
        <v>26</v>
      </c>
      <c r="D2296">
        <v>80</v>
      </c>
      <c r="E2296">
        <v>392</v>
      </c>
      <c r="F2296">
        <v>617</v>
      </c>
      <c r="K2296" s="1">
        <f t="shared" si="221"/>
        <v>392</v>
      </c>
      <c r="L2296" s="1" t="str">
        <f t="shared" si="216"/>
        <v>Normal</v>
      </c>
      <c r="M2296" s="2">
        <f t="shared" si="217"/>
        <v>23</v>
      </c>
      <c r="N2296" s="1" t="str">
        <f t="shared" si="218"/>
        <v>Kering</v>
      </c>
      <c r="O2296" t="str">
        <f t="shared" si="219"/>
        <v>Fuzzy</v>
      </c>
      <c r="P2296" t="str">
        <f t="shared" si="220"/>
        <v>Fuzzy</v>
      </c>
    </row>
    <row r="2297" spans="1:16" x14ac:dyDescent="0.35">
      <c r="A2297" t="s">
        <v>2300</v>
      </c>
      <c r="B2297">
        <v>6510</v>
      </c>
      <c r="C2297">
        <v>26</v>
      </c>
      <c r="D2297">
        <v>80</v>
      </c>
      <c r="E2297">
        <v>468</v>
      </c>
      <c r="F2297">
        <v>617</v>
      </c>
      <c r="K2297" s="1">
        <f t="shared" si="221"/>
        <v>468</v>
      </c>
      <c r="L2297" s="1" t="str">
        <f t="shared" si="216"/>
        <v>Normal</v>
      </c>
      <c r="M2297" s="2">
        <f t="shared" si="217"/>
        <v>42</v>
      </c>
      <c r="N2297" s="1" t="str">
        <f t="shared" si="218"/>
        <v>Lembab</v>
      </c>
      <c r="O2297" t="str">
        <f t="shared" si="219"/>
        <v>Fuzzy</v>
      </c>
      <c r="P2297" t="str">
        <f t="shared" si="220"/>
        <v>Fuzzy</v>
      </c>
    </row>
    <row r="2298" spans="1:16" x14ac:dyDescent="0.35">
      <c r="A2298" t="s">
        <v>2301</v>
      </c>
      <c r="B2298">
        <v>6511</v>
      </c>
      <c r="C2298">
        <v>26</v>
      </c>
      <c r="D2298">
        <v>80</v>
      </c>
      <c r="E2298">
        <v>363</v>
      </c>
      <c r="F2298">
        <v>618</v>
      </c>
      <c r="K2298" s="1">
        <f t="shared" si="221"/>
        <v>363</v>
      </c>
      <c r="L2298" s="1" t="str">
        <f t="shared" si="216"/>
        <v>Normal</v>
      </c>
      <c r="M2298" s="2">
        <f t="shared" si="217"/>
        <v>15.75</v>
      </c>
      <c r="N2298" s="1" t="str">
        <f t="shared" si="218"/>
        <v>Kering</v>
      </c>
      <c r="O2298" t="str">
        <f t="shared" si="219"/>
        <v>Fuzzy</v>
      </c>
      <c r="P2298" t="str">
        <f t="shared" si="220"/>
        <v>Fuzzy</v>
      </c>
    </row>
    <row r="2299" spans="1:16" x14ac:dyDescent="0.35">
      <c r="A2299" t="s">
        <v>2302</v>
      </c>
      <c r="B2299">
        <v>6512</v>
      </c>
      <c r="C2299">
        <v>26</v>
      </c>
      <c r="D2299">
        <v>80</v>
      </c>
      <c r="E2299">
        <v>456</v>
      </c>
      <c r="F2299">
        <v>618</v>
      </c>
      <c r="K2299" s="1">
        <f t="shared" si="221"/>
        <v>456</v>
      </c>
      <c r="L2299" s="1" t="str">
        <f t="shared" si="216"/>
        <v>Normal</v>
      </c>
      <c r="M2299" s="2">
        <f t="shared" si="217"/>
        <v>39</v>
      </c>
      <c r="N2299" s="1" t="str">
        <f t="shared" si="218"/>
        <v>Lembab</v>
      </c>
      <c r="O2299" t="str">
        <f t="shared" si="219"/>
        <v>Fuzzy</v>
      </c>
      <c r="P2299" t="str">
        <f t="shared" si="220"/>
        <v>Fuzzy</v>
      </c>
    </row>
    <row r="2300" spans="1:16" x14ac:dyDescent="0.35">
      <c r="A2300" t="s">
        <v>2303</v>
      </c>
      <c r="B2300">
        <v>6513</v>
      </c>
      <c r="C2300">
        <v>26</v>
      </c>
      <c r="D2300">
        <v>80</v>
      </c>
      <c r="E2300">
        <v>418</v>
      </c>
      <c r="F2300">
        <v>617</v>
      </c>
      <c r="K2300" s="1">
        <f t="shared" si="221"/>
        <v>418</v>
      </c>
      <c r="L2300" s="1" t="str">
        <f t="shared" si="216"/>
        <v>Normal</v>
      </c>
      <c r="M2300" s="2">
        <f t="shared" si="217"/>
        <v>29.5</v>
      </c>
      <c r="N2300" s="1" t="str">
        <f t="shared" si="218"/>
        <v>Lembab</v>
      </c>
      <c r="O2300" t="str">
        <f t="shared" si="219"/>
        <v>Fuzzy</v>
      </c>
      <c r="P2300" t="str">
        <f t="shared" si="220"/>
        <v>Fuzzy</v>
      </c>
    </row>
    <row r="2301" spans="1:16" x14ac:dyDescent="0.35">
      <c r="A2301" t="s">
        <v>2304</v>
      </c>
      <c r="B2301">
        <v>6514</v>
      </c>
      <c r="C2301">
        <v>26</v>
      </c>
      <c r="D2301">
        <v>80</v>
      </c>
      <c r="E2301">
        <v>414</v>
      </c>
      <c r="F2301">
        <v>617</v>
      </c>
      <c r="K2301" s="1">
        <f t="shared" si="221"/>
        <v>414</v>
      </c>
      <c r="L2301" s="1" t="str">
        <f t="shared" si="216"/>
        <v>Normal</v>
      </c>
      <c r="M2301" s="2">
        <f t="shared" si="217"/>
        <v>28.499999999999996</v>
      </c>
      <c r="N2301" s="1" t="str">
        <f t="shared" si="218"/>
        <v>Kering</v>
      </c>
      <c r="O2301" t="str">
        <f t="shared" si="219"/>
        <v>Fuzzy</v>
      </c>
      <c r="P2301" t="str">
        <f t="shared" si="220"/>
        <v>Fuzzy</v>
      </c>
    </row>
    <row r="2302" spans="1:16" x14ac:dyDescent="0.35">
      <c r="A2302" t="s">
        <v>2305</v>
      </c>
      <c r="B2302">
        <v>6515</v>
      </c>
      <c r="C2302">
        <v>26</v>
      </c>
      <c r="D2302">
        <v>80</v>
      </c>
      <c r="E2302">
        <v>436</v>
      </c>
      <c r="F2302">
        <v>617</v>
      </c>
      <c r="K2302" s="1">
        <f t="shared" si="221"/>
        <v>436</v>
      </c>
      <c r="L2302" s="1" t="str">
        <f t="shared" si="216"/>
        <v>Normal</v>
      </c>
      <c r="M2302" s="2">
        <f t="shared" si="217"/>
        <v>34</v>
      </c>
      <c r="N2302" s="1" t="str">
        <f t="shared" si="218"/>
        <v>Lembab</v>
      </c>
      <c r="O2302" t="str">
        <f t="shared" si="219"/>
        <v>Fuzzy</v>
      </c>
      <c r="P2302" t="str">
        <f t="shared" si="220"/>
        <v>Fuzzy</v>
      </c>
    </row>
    <row r="2303" spans="1:16" x14ac:dyDescent="0.35">
      <c r="A2303" t="s">
        <v>2306</v>
      </c>
      <c r="B2303">
        <v>6516</v>
      </c>
      <c r="C2303">
        <v>26</v>
      </c>
      <c r="D2303">
        <v>80</v>
      </c>
      <c r="E2303">
        <v>451</v>
      </c>
      <c r="F2303">
        <v>618</v>
      </c>
      <c r="K2303" s="1">
        <f t="shared" si="221"/>
        <v>451</v>
      </c>
      <c r="L2303" s="1" t="str">
        <f t="shared" si="216"/>
        <v>Normal</v>
      </c>
      <c r="M2303" s="2">
        <f t="shared" si="217"/>
        <v>37.75</v>
      </c>
      <c r="N2303" s="1" t="str">
        <f t="shared" si="218"/>
        <v>Lembab</v>
      </c>
      <c r="O2303" t="str">
        <f t="shared" si="219"/>
        <v>Fuzzy</v>
      </c>
      <c r="P2303" t="str">
        <f t="shared" si="220"/>
        <v>Fuzzy</v>
      </c>
    </row>
    <row r="2304" spans="1:16" x14ac:dyDescent="0.35">
      <c r="A2304" t="s">
        <v>2307</v>
      </c>
      <c r="B2304">
        <v>6517</v>
      </c>
      <c r="C2304">
        <v>26</v>
      </c>
      <c r="D2304">
        <v>80</v>
      </c>
      <c r="E2304">
        <v>265</v>
      </c>
      <c r="F2304">
        <v>617</v>
      </c>
      <c r="K2304" s="1">
        <f t="shared" si="221"/>
        <v>265</v>
      </c>
      <c r="L2304" s="1" t="str">
        <f t="shared" si="216"/>
        <v>Normal</v>
      </c>
      <c r="M2304" s="2">
        <f t="shared" si="217"/>
        <v>25.904203323558161</v>
      </c>
      <c r="N2304" s="1" t="str">
        <f t="shared" si="218"/>
        <v>Kering</v>
      </c>
      <c r="O2304" t="str">
        <f t="shared" si="219"/>
        <v>Fuzzy</v>
      </c>
      <c r="P2304" t="str">
        <f t="shared" si="220"/>
        <v>Fuzzy</v>
      </c>
    </row>
    <row r="2305" spans="1:16" x14ac:dyDescent="0.35">
      <c r="A2305" t="s">
        <v>2308</v>
      </c>
      <c r="B2305">
        <v>6518</v>
      </c>
      <c r="C2305">
        <v>26</v>
      </c>
      <c r="D2305">
        <v>80</v>
      </c>
      <c r="E2305">
        <v>381</v>
      </c>
      <c r="F2305">
        <v>617</v>
      </c>
      <c r="K2305" s="1">
        <f t="shared" si="221"/>
        <v>381</v>
      </c>
      <c r="L2305" s="1" t="str">
        <f t="shared" si="216"/>
        <v>Normal</v>
      </c>
      <c r="M2305" s="2">
        <f t="shared" si="217"/>
        <v>20.25</v>
      </c>
      <c r="N2305" s="1" t="str">
        <f t="shared" si="218"/>
        <v>Kering</v>
      </c>
      <c r="O2305" t="str">
        <f t="shared" si="219"/>
        <v>Fuzzy</v>
      </c>
      <c r="P2305" t="str">
        <f t="shared" si="220"/>
        <v>Fuzzy</v>
      </c>
    </row>
    <row r="2306" spans="1:16" x14ac:dyDescent="0.35">
      <c r="A2306" t="s">
        <v>2309</v>
      </c>
      <c r="B2306">
        <v>6519</v>
      </c>
      <c r="C2306">
        <v>26</v>
      </c>
      <c r="D2306">
        <v>80</v>
      </c>
      <c r="E2306">
        <v>427</v>
      </c>
      <c r="F2306">
        <v>617</v>
      </c>
      <c r="K2306" s="1">
        <f t="shared" si="221"/>
        <v>427</v>
      </c>
      <c r="L2306" s="1" t="str">
        <f t="shared" si="216"/>
        <v>Normal</v>
      </c>
      <c r="M2306" s="2">
        <f t="shared" si="217"/>
        <v>31.75</v>
      </c>
      <c r="N2306" s="1" t="str">
        <f t="shared" si="218"/>
        <v>Lembab</v>
      </c>
      <c r="O2306" t="str">
        <f t="shared" si="219"/>
        <v>Fuzzy</v>
      </c>
      <c r="P2306" t="str">
        <f t="shared" si="220"/>
        <v>Fuzzy</v>
      </c>
    </row>
    <row r="2307" spans="1:16" x14ac:dyDescent="0.35">
      <c r="A2307" t="s">
        <v>2310</v>
      </c>
      <c r="B2307">
        <v>6520</v>
      </c>
      <c r="C2307">
        <v>26</v>
      </c>
      <c r="D2307">
        <v>80</v>
      </c>
      <c r="E2307">
        <v>416</v>
      </c>
      <c r="F2307">
        <v>619</v>
      </c>
      <c r="K2307" s="1">
        <f t="shared" si="221"/>
        <v>416</v>
      </c>
      <c r="L2307" s="1" t="str">
        <f t="shared" ref="L2307:L2370" si="222">IF(A2306 &lt;= 10, "Dingin", IF(OR(A2306 &gt;= 10, A2306 &lt; 35), "Normal", "Panas"))</f>
        <v>Normal</v>
      </c>
      <c r="M2307" s="2">
        <f t="shared" ref="M2307:M2370" si="223">IF(K2307&lt;=300, K2307/1023*100, IF(K2307&lt;=700, (K2307-300)/(700-301+1)*100, (K2307-700)/(1023-701+1)*100))</f>
        <v>28.999999999999996</v>
      </c>
      <c r="N2307" s="1" t="str">
        <f t="shared" ref="N2307:N2370" si="224">IF(M2307&lt;=29.32, "Kering", IF(M2307&lt;=68.53, "Lembab", "Basah"))</f>
        <v>Kering</v>
      </c>
      <c r="O2307" t="str">
        <f t="shared" ref="O2307:O2370" si="225">IF(OR(AND(C2307 &gt; 10, C2307 &lt; 22.5), AND(C2307 &gt;= 22.5, C2307 &lt; 35)), "Fuzzy", "")</f>
        <v>Fuzzy</v>
      </c>
      <c r="P2307" t="str">
        <f t="shared" ref="P2307:P2370" si="226">IF(OR(AND(M2307 &gt;= 0, M2307 &lt; 50), AND(M2307 &gt;= 50, M2307 &lt; 100)), "Fuzzy", "")</f>
        <v>Fuzzy</v>
      </c>
    </row>
    <row r="2308" spans="1:16" x14ac:dyDescent="0.35">
      <c r="A2308" t="s">
        <v>2311</v>
      </c>
      <c r="B2308">
        <v>6521</v>
      </c>
      <c r="C2308">
        <v>26</v>
      </c>
      <c r="D2308">
        <v>79</v>
      </c>
      <c r="E2308">
        <v>464</v>
      </c>
      <c r="F2308">
        <v>618</v>
      </c>
      <c r="K2308" s="1">
        <f t="shared" si="221"/>
        <v>464</v>
      </c>
      <c r="L2308" s="1" t="str">
        <f t="shared" si="222"/>
        <v>Normal</v>
      </c>
      <c r="M2308" s="2">
        <f t="shared" si="223"/>
        <v>41</v>
      </c>
      <c r="N2308" s="1" t="str">
        <f t="shared" si="224"/>
        <v>Lembab</v>
      </c>
      <c r="O2308" t="str">
        <f t="shared" si="225"/>
        <v>Fuzzy</v>
      </c>
      <c r="P2308" t="str">
        <f t="shared" si="226"/>
        <v>Fuzzy</v>
      </c>
    </row>
    <row r="2309" spans="1:16" x14ac:dyDescent="0.35">
      <c r="A2309" t="s">
        <v>2312</v>
      </c>
      <c r="B2309">
        <v>6522</v>
      </c>
      <c r="C2309">
        <v>26</v>
      </c>
      <c r="D2309">
        <v>78</v>
      </c>
      <c r="E2309">
        <v>337</v>
      </c>
      <c r="F2309">
        <v>617</v>
      </c>
      <c r="K2309" s="1">
        <f t="shared" si="221"/>
        <v>337</v>
      </c>
      <c r="L2309" s="1" t="str">
        <f t="shared" si="222"/>
        <v>Normal</v>
      </c>
      <c r="M2309" s="2">
        <f t="shared" si="223"/>
        <v>9.25</v>
      </c>
      <c r="N2309" s="1" t="str">
        <f t="shared" si="224"/>
        <v>Kering</v>
      </c>
      <c r="O2309" t="str">
        <f t="shared" si="225"/>
        <v>Fuzzy</v>
      </c>
      <c r="P2309" t="str">
        <f t="shared" si="226"/>
        <v>Fuzzy</v>
      </c>
    </row>
    <row r="2310" spans="1:16" x14ac:dyDescent="0.35">
      <c r="A2310" t="s">
        <v>2313</v>
      </c>
      <c r="B2310">
        <v>6523</v>
      </c>
      <c r="C2310">
        <v>26</v>
      </c>
      <c r="D2310">
        <v>79</v>
      </c>
      <c r="E2310">
        <v>402</v>
      </c>
      <c r="F2310">
        <v>618</v>
      </c>
      <c r="K2310" s="1">
        <f t="shared" si="221"/>
        <v>402</v>
      </c>
      <c r="L2310" s="1" t="str">
        <f t="shared" si="222"/>
        <v>Normal</v>
      </c>
      <c r="M2310" s="2">
        <f t="shared" si="223"/>
        <v>25.5</v>
      </c>
      <c r="N2310" s="1" t="str">
        <f t="shared" si="224"/>
        <v>Kering</v>
      </c>
      <c r="O2310" t="str">
        <f t="shared" si="225"/>
        <v>Fuzzy</v>
      </c>
      <c r="P2310" t="str">
        <f t="shared" si="226"/>
        <v>Fuzzy</v>
      </c>
    </row>
    <row r="2311" spans="1:16" x14ac:dyDescent="0.35">
      <c r="A2311" t="s">
        <v>2314</v>
      </c>
      <c r="B2311">
        <v>6524</v>
      </c>
      <c r="C2311">
        <v>26</v>
      </c>
      <c r="D2311">
        <v>79</v>
      </c>
      <c r="E2311">
        <v>374</v>
      </c>
      <c r="F2311">
        <v>618</v>
      </c>
      <c r="K2311" s="1">
        <f t="shared" si="221"/>
        <v>374</v>
      </c>
      <c r="L2311" s="1" t="str">
        <f t="shared" si="222"/>
        <v>Normal</v>
      </c>
      <c r="M2311" s="2">
        <f t="shared" si="223"/>
        <v>18.5</v>
      </c>
      <c r="N2311" s="1" t="str">
        <f t="shared" si="224"/>
        <v>Kering</v>
      </c>
      <c r="O2311" t="str">
        <f t="shared" si="225"/>
        <v>Fuzzy</v>
      </c>
      <c r="P2311" t="str">
        <f t="shared" si="226"/>
        <v>Fuzzy</v>
      </c>
    </row>
    <row r="2312" spans="1:16" x14ac:dyDescent="0.35">
      <c r="A2312" t="s">
        <v>2315</v>
      </c>
      <c r="B2312">
        <v>6525</v>
      </c>
      <c r="C2312">
        <v>26</v>
      </c>
      <c r="D2312">
        <v>79</v>
      </c>
      <c r="E2312">
        <v>460</v>
      </c>
      <c r="F2312">
        <v>618</v>
      </c>
      <c r="K2312" s="1">
        <f t="shared" si="221"/>
        <v>460</v>
      </c>
      <c r="L2312" s="1" t="str">
        <f t="shared" si="222"/>
        <v>Normal</v>
      </c>
      <c r="M2312" s="2">
        <f t="shared" si="223"/>
        <v>40</v>
      </c>
      <c r="N2312" s="1" t="str">
        <f t="shared" si="224"/>
        <v>Lembab</v>
      </c>
      <c r="O2312" t="str">
        <f t="shared" si="225"/>
        <v>Fuzzy</v>
      </c>
      <c r="P2312" t="str">
        <f t="shared" si="226"/>
        <v>Fuzzy</v>
      </c>
    </row>
    <row r="2313" spans="1:16" x14ac:dyDescent="0.35">
      <c r="A2313" t="s">
        <v>2316</v>
      </c>
      <c r="B2313">
        <v>6526</v>
      </c>
      <c r="C2313">
        <v>26</v>
      </c>
      <c r="D2313">
        <v>79</v>
      </c>
      <c r="E2313">
        <v>449</v>
      </c>
      <c r="F2313">
        <v>618</v>
      </c>
      <c r="K2313" s="1">
        <f t="shared" si="221"/>
        <v>449</v>
      </c>
      <c r="L2313" s="1" t="str">
        <f t="shared" si="222"/>
        <v>Normal</v>
      </c>
      <c r="M2313" s="2">
        <f t="shared" si="223"/>
        <v>37.25</v>
      </c>
      <c r="N2313" s="1" t="str">
        <f t="shared" si="224"/>
        <v>Lembab</v>
      </c>
      <c r="O2313" t="str">
        <f t="shared" si="225"/>
        <v>Fuzzy</v>
      </c>
      <c r="P2313" t="str">
        <f t="shared" si="226"/>
        <v>Fuzzy</v>
      </c>
    </row>
    <row r="2314" spans="1:16" x14ac:dyDescent="0.35">
      <c r="A2314" t="s">
        <v>2317</v>
      </c>
      <c r="B2314">
        <v>6527</v>
      </c>
      <c r="C2314">
        <v>26</v>
      </c>
      <c r="D2314">
        <v>79</v>
      </c>
      <c r="E2314">
        <v>406</v>
      </c>
      <c r="F2314">
        <v>617</v>
      </c>
      <c r="K2314" s="1">
        <f t="shared" si="221"/>
        <v>406</v>
      </c>
      <c r="L2314" s="1" t="str">
        <f t="shared" si="222"/>
        <v>Normal</v>
      </c>
      <c r="M2314" s="2">
        <f t="shared" si="223"/>
        <v>26.5</v>
      </c>
      <c r="N2314" s="1" t="str">
        <f t="shared" si="224"/>
        <v>Kering</v>
      </c>
      <c r="O2314" t="str">
        <f t="shared" si="225"/>
        <v>Fuzzy</v>
      </c>
      <c r="P2314" t="str">
        <f t="shared" si="226"/>
        <v>Fuzzy</v>
      </c>
    </row>
    <row r="2315" spans="1:16" x14ac:dyDescent="0.35">
      <c r="A2315" t="s">
        <v>2318</v>
      </c>
      <c r="B2315">
        <v>6528</v>
      </c>
      <c r="C2315">
        <v>27</v>
      </c>
      <c r="D2315">
        <v>79</v>
      </c>
      <c r="E2315">
        <v>451</v>
      </c>
      <c r="F2315">
        <v>618</v>
      </c>
      <c r="K2315" s="1">
        <f t="shared" si="221"/>
        <v>451</v>
      </c>
      <c r="L2315" s="1" t="str">
        <f t="shared" si="222"/>
        <v>Normal</v>
      </c>
      <c r="M2315" s="2">
        <f t="shared" si="223"/>
        <v>37.75</v>
      </c>
      <c r="N2315" s="1" t="str">
        <f t="shared" si="224"/>
        <v>Lembab</v>
      </c>
      <c r="O2315" t="str">
        <f t="shared" si="225"/>
        <v>Fuzzy</v>
      </c>
      <c r="P2315" t="str">
        <f t="shared" si="226"/>
        <v>Fuzzy</v>
      </c>
    </row>
    <row r="2316" spans="1:16" x14ac:dyDescent="0.35">
      <c r="A2316" t="s">
        <v>2319</v>
      </c>
      <c r="B2316">
        <v>6529</v>
      </c>
      <c r="C2316">
        <v>27</v>
      </c>
      <c r="D2316">
        <v>79</v>
      </c>
      <c r="E2316">
        <v>411</v>
      </c>
      <c r="F2316">
        <v>618</v>
      </c>
      <c r="K2316" s="1">
        <f t="shared" si="221"/>
        <v>411</v>
      </c>
      <c r="L2316" s="1" t="str">
        <f t="shared" si="222"/>
        <v>Normal</v>
      </c>
      <c r="M2316" s="2">
        <f t="shared" si="223"/>
        <v>27.750000000000004</v>
      </c>
      <c r="N2316" s="1" t="str">
        <f t="shared" si="224"/>
        <v>Kering</v>
      </c>
      <c r="O2316" t="str">
        <f t="shared" si="225"/>
        <v>Fuzzy</v>
      </c>
      <c r="P2316" t="str">
        <f t="shared" si="226"/>
        <v>Fuzzy</v>
      </c>
    </row>
    <row r="2317" spans="1:16" x14ac:dyDescent="0.35">
      <c r="A2317" t="s">
        <v>2320</v>
      </c>
      <c r="B2317">
        <v>6530</v>
      </c>
      <c r="C2317">
        <v>27</v>
      </c>
      <c r="D2317">
        <v>79</v>
      </c>
      <c r="E2317">
        <v>473</v>
      </c>
      <c r="F2317">
        <v>617</v>
      </c>
      <c r="K2317" s="1">
        <f t="shared" ref="K2317:K2380" si="227">IF(E2317&lt;=1023, E2317, "")</f>
        <v>473</v>
      </c>
      <c r="L2317" s="1" t="str">
        <f t="shared" si="222"/>
        <v>Normal</v>
      </c>
      <c r="M2317" s="2">
        <f t="shared" si="223"/>
        <v>43.25</v>
      </c>
      <c r="N2317" s="1" t="str">
        <f t="shared" si="224"/>
        <v>Lembab</v>
      </c>
      <c r="O2317" t="str">
        <f t="shared" si="225"/>
        <v>Fuzzy</v>
      </c>
      <c r="P2317" t="str">
        <f t="shared" si="226"/>
        <v>Fuzzy</v>
      </c>
    </row>
    <row r="2318" spans="1:16" x14ac:dyDescent="0.35">
      <c r="A2318" t="s">
        <v>2321</v>
      </c>
      <c r="B2318">
        <v>6531</v>
      </c>
      <c r="C2318">
        <v>27</v>
      </c>
      <c r="D2318">
        <v>79</v>
      </c>
      <c r="E2318">
        <v>415</v>
      </c>
      <c r="F2318">
        <v>618</v>
      </c>
      <c r="K2318" s="1">
        <f t="shared" si="227"/>
        <v>415</v>
      </c>
      <c r="L2318" s="1" t="str">
        <f t="shared" si="222"/>
        <v>Normal</v>
      </c>
      <c r="M2318" s="2">
        <f t="shared" si="223"/>
        <v>28.749999999999996</v>
      </c>
      <c r="N2318" s="1" t="str">
        <f t="shared" si="224"/>
        <v>Kering</v>
      </c>
      <c r="O2318" t="str">
        <f t="shared" si="225"/>
        <v>Fuzzy</v>
      </c>
      <c r="P2318" t="str">
        <f t="shared" si="226"/>
        <v>Fuzzy</v>
      </c>
    </row>
    <row r="2319" spans="1:16" x14ac:dyDescent="0.35">
      <c r="A2319" t="s">
        <v>2322</v>
      </c>
      <c r="B2319">
        <v>6532</v>
      </c>
      <c r="C2319">
        <v>27</v>
      </c>
      <c r="D2319">
        <v>79</v>
      </c>
      <c r="E2319">
        <v>432</v>
      </c>
      <c r="F2319">
        <v>618</v>
      </c>
      <c r="K2319" s="1">
        <f t="shared" si="227"/>
        <v>432</v>
      </c>
      <c r="L2319" s="1" t="str">
        <f t="shared" si="222"/>
        <v>Normal</v>
      </c>
      <c r="M2319" s="2">
        <f t="shared" si="223"/>
        <v>33</v>
      </c>
      <c r="N2319" s="1" t="str">
        <f t="shared" si="224"/>
        <v>Lembab</v>
      </c>
      <c r="O2319" t="str">
        <f t="shared" si="225"/>
        <v>Fuzzy</v>
      </c>
      <c r="P2319" t="str">
        <f t="shared" si="226"/>
        <v>Fuzzy</v>
      </c>
    </row>
    <row r="2320" spans="1:16" x14ac:dyDescent="0.35">
      <c r="A2320" t="s">
        <v>2323</v>
      </c>
      <c r="B2320">
        <v>6533</v>
      </c>
      <c r="C2320">
        <v>27</v>
      </c>
      <c r="D2320">
        <v>79</v>
      </c>
      <c r="E2320">
        <v>437</v>
      </c>
      <c r="F2320">
        <v>618</v>
      </c>
      <c r="K2320" s="1">
        <f t="shared" si="227"/>
        <v>437</v>
      </c>
      <c r="L2320" s="1" t="str">
        <f t="shared" si="222"/>
        <v>Normal</v>
      </c>
      <c r="M2320" s="2">
        <f t="shared" si="223"/>
        <v>34.25</v>
      </c>
      <c r="N2320" s="1" t="str">
        <f t="shared" si="224"/>
        <v>Lembab</v>
      </c>
      <c r="O2320" t="str">
        <f t="shared" si="225"/>
        <v>Fuzzy</v>
      </c>
      <c r="P2320" t="str">
        <f t="shared" si="226"/>
        <v>Fuzzy</v>
      </c>
    </row>
    <row r="2321" spans="1:16" x14ac:dyDescent="0.35">
      <c r="A2321" t="s">
        <v>2324</v>
      </c>
      <c r="B2321">
        <v>6534</v>
      </c>
      <c r="C2321">
        <v>27</v>
      </c>
      <c r="D2321">
        <v>79</v>
      </c>
      <c r="E2321">
        <v>427</v>
      </c>
      <c r="F2321">
        <v>619</v>
      </c>
      <c r="K2321" s="1">
        <f t="shared" si="227"/>
        <v>427</v>
      </c>
      <c r="L2321" s="1" t="str">
        <f t="shared" si="222"/>
        <v>Normal</v>
      </c>
      <c r="M2321" s="2">
        <f t="shared" si="223"/>
        <v>31.75</v>
      </c>
      <c r="N2321" s="1" t="str">
        <f t="shared" si="224"/>
        <v>Lembab</v>
      </c>
      <c r="O2321" t="str">
        <f t="shared" si="225"/>
        <v>Fuzzy</v>
      </c>
      <c r="P2321" t="str">
        <f t="shared" si="226"/>
        <v>Fuzzy</v>
      </c>
    </row>
    <row r="2322" spans="1:16" x14ac:dyDescent="0.35">
      <c r="A2322" t="s">
        <v>2325</v>
      </c>
      <c r="B2322">
        <v>6535</v>
      </c>
      <c r="C2322">
        <v>27</v>
      </c>
      <c r="D2322">
        <v>79</v>
      </c>
      <c r="E2322">
        <v>439</v>
      </c>
      <c r="F2322">
        <v>618</v>
      </c>
      <c r="K2322" s="1">
        <f t="shared" si="227"/>
        <v>439</v>
      </c>
      <c r="L2322" s="1" t="str">
        <f t="shared" si="222"/>
        <v>Normal</v>
      </c>
      <c r="M2322" s="2">
        <f t="shared" si="223"/>
        <v>34.75</v>
      </c>
      <c r="N2322" s="1" t="str">
        <f t="shared" si="224"/>
        <v>Lembab</v>
      </c>
      <c r="O2322" t="str">
        <f t="shared" si="225"/>
        <v>Fuzzy</v>
      </c>
      <c r="P2322" t="str">
        <f t="shared" si="226"/>
        <v>Fuzzy</v>
      </c>
    </row>
    <row r="2323" spans="1:16" x14ac:dyDescent="0.35">
      <c r="A2323" t="s">
        <v>2326</v>
      </c>
      <c r="B2323">
        <v>6536</v>
      </c>
      <c r="C2323">
        <v>27</v>
      </c>
      <c r="D2323">
        <v>79</v>
      </c>
      <c r="E2323">
        <v>410</v>
      </c>
      <c r="F2323">
        <v>618</v>
      </c>
      <c r="K2323" s="1">
        <f t="shared" si="227"/>
        <v>410</v>
      </c>
      <c r="L2323" s="1" t="str">
        <f t="shared" si="222"/>
        <v>Normal</v>
      </c>
      <c r="M2323" s="2">
        <f t="shared" si="223"/>
        <v>27.500000000000004</v>
      </c>
      <c r="N2323" s="1" t="str">
        <f t="shared" si="224"/>
        <v>Kering</v>
      </c>
      <c r="O2323" t="str">
        <f t="shared" si="225"/>
        <v>Fuzzy</v>
      </c>
      <c r="P2323" t="str">
        <f t="shared" si="226"/>
        <v>Fuzzy</v>
      </c>
    </row>
    <row r="2324" spans="1:16" x14ac:dyDescent="0.35">
      <c r="A2324" t="s">
        <v>2327</v>
      </c>
      <c r="B2324">
        <v>6537</v>
      </c>
      <c r="C2324">
        <v>27</v>
      </c>
      <c r="D2324">
        <v>79</v>
      </c>
      <c r="E2324">
        <v>425</v>
      </c>
      <c r="F2324">
        <v>618</v>
      </c>
      <c r="K2324" s="1">
        <f t="shared" si="227"/>
        <v>425</v>
      </c>
      <c r="L2324" s="1" t="str">
        <f t="shared" si="222"/>
        <v>Normal</v>
      </c>
      <c r="M2324" s="2">
        <f t="shared" si="223"/>
        <v>31.25</v>
      </c>
      <c r="N2324" s="1" t="str">
        <f t="shared" si="224"/>
        <v>Lembab</v>
      </c>
      <c r="O2324" t="str">
        <f t="shared" si="225"/>
        <v>Fuzzy</v>
      </c>
      <c r="P2324" t="str">
        <f t="shared" si="226"/>
        <v>Fuzzy</v>
      </c>
    </row>
    <row r="2325" spans="1:16" x14ac:dyDescent="0.35">
      <c r="A2325" t="s">
        <v>2328</v>
      </c>
      <c r="B2325">
        <v>6538</v>
      </c>
      <c r="C2325">
        <v>27</v>
      </c>
      <c r="D2325">
        <v>79</v>
      </c>
      <c r="E2325">
        <v>432</v>
      </c>
      <c r="F2325">
        <v>618</v>
      </c>
      <c r="K2325" s="1">
        <f t="shared" si="227"/>
        <v>432</v>
      </c>
      <c r="L2325" s="1" t="str">
        <f t="shared" si="222"/>
        <v>Normal</v>
      </c>
      <c r="M2325" s="2">
        <f t="shared" si="223"/>
        <v>33</v>
      </c>
      <c r="N2325" s="1" t="str">
        <f t="shared" si="224"/>
        <v>Lembab</v>
      </c>
      <c r="O2325" t="str">
        <f t="shared" si="225"/>
        <v>Fuzzy</v>
      </c>
      <c r="P2325" t="str">
        <f t="shared" si="226"/>
        <v>Fuzzy</v>
      </c>
    </row>
    <row r="2326" spans="1:16" x14ac:dyDescent="0.35">
      <c r="A2326" t="s">
        <v>2329</v>
      </c>
      <c r="B2326">
        <v>6539</v>
      </c>
      <c r="C2326">
        <v>27</v>
      </c>
      <c r="D2326">
        <v>79</v>
      </c>
      <c r="E2326">
        <v>414</v>
      </c>
      <c r="F2326">
        <v>618</v>
      </c>
      <c r="K2326" s="1">
        <f t="shared" si="227"/>
        <v>414</v>
      </c>
      <c r="L2326" s="1" t="str">
        <f t="shared" si="222"/>
        <v>Normal</v>
      </c>
      <c r="M2326" s="2">
        <f t="shared" si="223"/>
        <v>28.499999999999996</v>
      </c>
      <c r="N2326" s="1" t="str">
        <f t="shared" si="224"/>
        <v>Kering</v>
      </c>
      <c r="O2326" t="str">
        <f t="shared" si="225"/>
        <v>Fuzzy</v>
      </c>
      <c r="P2326" t="str">
        <f t="shared" si="226"/>
        <v>Fuzzy</v>
      </c>
    </row>
    <row r="2327" spans="1:16" x14ac:dyDescent="0.35">
      <c r="A2327" t="s">
        <v>2330</v>
      </c>
      <c r="B2327">
        <v>6540</v>
      </c>
      <c r="C2327">
        <v>27</v>
      </c>
      <c r="D2327">
        <v>79</v>
      </c>
      <c r="E2327">
        <v>446</v>
      </c>
      <c r="F2327">
        <v>618</v>
      </c>
      <c r="K2327" s="1">
        <f t="shared" si="227"/>
        <v>446</v>
      </c>
      <c r="L2327" s="1" t="str">
        <f t="shared" si="222"/>
        <v>Normal</v>
      </c>
      <c r="M2327" s="2">
        <f t="shared" si="223"/>
        <v>36.5</v>
      </c>
      <c r="N2327" s="1" t="str">
        <f t="shared" si="224"/>
        <v>Lembab</v>
      </c>
      <c r="O2327" t="str">
        <f t="shared" si="225"/>
        <v>Fuzzy</v>
      </c>
      <c r="P2327" t="str">
        <f t="shared" si="226"/>
        <v>Fuzzy</v>
      </c>
    </row>
    <row r="2328" spans="1:16" x14ac:dyDescent="0.35">
      <c r="A2328" t="s">
        <v>2331</v>
      </c>
      <c r="B2328">
        <v>6541</v>
      </c>
      <c r="C2328">
        <v>27</v>
      </c>
      <c r="D2328">
        <v>79</v>
      </c>
      <c r="E2328">
        <v>429</v>
      </c>
      <c r="F2328">
        <v>618</v>
      </c>
      <c r="K2328" s="1">
        <f t="shared" si="227"/>
        <v>429</v>
      </c>
      <c r="L2328" s="1" t="str">
        <f t="shared" si="222"/>
        <v>Normal</v>
      </c>
      <c r="M2328" s="2">
        <f t="shared" si="223"/>
        <v>32.25</v>
      </c>
      <c r="N2328" s="1" t="str">
        <f t="shared" si="224"/>
        <v>Lembab</v>
      </c>
      <c r="O2328" t="str">
        <f t="shared" si="225"/>
        <v>Fuzzy</v>
      </c>
      <c r="P2328" t="str">
        <f t="shared" si="226"/>
        <v>Fuzzy</v>
      </c>
    </row>
    <row r="2329" spans="1:16" x14ac:dyDescent="0.35">
      <c r="A2329" t="s">
        <v>2332</v>
      </c>
      <c r="B2329">
        <v>6542</v>
      </c>
      <c r="C2329">
        <v>27</v>
      </c>
      <c r="D2329">
        <v>79</v>
      </c>
      <c r="E2329">
        <v>512</v>
      </c>
      <c r="F2329">
        <v>618</v>
      </c>
      <c r="K2329" s="1">
        <f t="shared" si="227"/>
        <v>512</v>
      </c>
      <c r="L2329" s="1" t="str">
        <f t="shared" si="222"/>
        <v>Normal</v>
      </c>
      <c r="M2329" s="2">
        <f t="shared" si="223"/>
        <v>53</v>
      </c>
      <c r="N2329" s="1" t="str">
        <f t="shared" si="224"/>
        <v>Lembab</v>
      </c>
      <c r="O2329" t="str">
        <f t="shared" si="225"/>
        <v>Fuzzy</v>
      </c>
      <c r="P2329" t="str">
        <f t="shared" si="226"/>
        <v>Fuzzy</v>
      </c>
    </row>
    <row r="2330" spans="1:16" x14ac:dyDescent="0.35">
      <c r="A2330" t="s">
        <v>2333</v>
      </c>
      <c r="B2330">
        <v>6543</v>
      </c>
      <c r="C2330">
        <v>27</v>
      </c>
      <c r="D2330">
        <v>78</v>
      </c>
      <c r="E2330">
        <v>447</v>
      </c>
      <c r="F2330">
        <v>618</v>
      </c>
      <c r="K2330" s="1">
        <f t="shared" si="227"/>
        <v>447</v>
      </c>
      <c r="L2330" s="1" t="str">
        <f t="shared" si="222"/>
        <v>Normal</v>
      </c>
      <c r="M2330" s="2">
        <f t="shared" si="223"/>
        <v>36.75</v>
      </c>
      <c r="N2330" s="1" t="str">
        <f t="shared" si="224"/>
        <v>Lembab</v>
      </c>
      <c r="O2330" t="str">
        <f t="shared" si="225"/>
        <v>Fuzzy</v>
      </c>
      <c r="P2330" t="str">
        <f t="shared" si="226"/>
        <v>Fuzzy</v>
      </c>
    </row>
    <row r="2331" spans="1:16" x14ac:dyDescent="0.35">
      <c r="A2331" t="s">
        <v>2334</v>
      </c>
      <c r="B2331">
        <v>6544</v>
      </c>
      <c r="C2331">
        <v>27</v>
      </c>
      <c r="D2331">
        <v>78</v>
      </c>
      <c r="E2331">
        <v>399</v>
      </c>
      <c r="F2331">
        <v>618</v>
      </c>
      <c r="K2331" s="1">
        <f t="shared" si="227"/>
        <v>399</v>
      </c>
      <c r="L2331" s="1" t="str">
        <f t="shared" si="222"/>
        <v>Normal</v>
      </c>
      <c r="M2331" s="2">
        <f t="shared" si="223"/>
        <v>24.75</v>
      </c>
      <c r="N2331" s="1" t="str">
        <f t="shared" si="224"/>
        <v>Kering</v>
      </c>
      <c r="O2331" t="str">
        <f t="shared" si="225"/>
        <v>Fuzzy</v>
      </c>
      <c r="P2331" t="str">
        <f t="shared" si="226"/>
        <v>Fuzzy</v>
      </c>
    </row>
    <row r="2332" spans="1:16" x14ac:dyDescent="0.35">
      <c r="A2332" t="s">
        <v>2335</v>
      </c>
      <c r="B2332">
        <v>6545</v>
      </c>
      <c r="C2332">
        <v>27</v>
      </c>
      <c r="D2332">
        <v>78</v>
      </c>
      <c r="E2332">
        <v>476</v>
      </c>
      <c r="F2332">
        <v>618</v>
      </c>
      <c r="K2332" s="1">
        <f t="shared" si="227"/>
        <v>476</v>
      </c>
      <c r="L2332" s="1" t="str">
        <f t="shared" si="222"/>
        <v>Normal</v>
      </c>
      <c r="M2332" s="2">
        <f t="shared" si="223"/>
        <v>44</v>
      </c>
      <c r="N2332" s="1" t="str">
        <f t="shared" si="224"/>
        <v>Lembab</v>
      </c>
      <c r="O2332" t="str">
        <f t="shared" si="225"/>
        <v>Fuzzy</v>
      </c>
      <c r="P2332" t="str">
        <f t="shared" si="226"/>
        <v>Fuzzy</v>
      </c>
    </row>
    <row r="2333" spans="1:16" x14ac:dyDescent="0.35">
      <c r="A2333" t="s">
        <v>2336</v>
      </c>
      <c r="B2333">
        <v>6546</v>
      </c>
      <c r="C2333">
        <v>27</v>
      </c>
      <c r="D2333">
        <v>78</v>
      </c>
      <c r="E2333">
        <v>424</v>
      </c>
      <c r="F2333">
        <v>618</v>
      </c>
      <c r="K2333" s="1">
        <f t="shared" si="227"/>
        <v>424</v>
      </c>
      <c r="L2333" s="1" t="str">
        <f t="shared" si="222"/>
        <v>Normal</v>
      </c>
      <c r="M2333" s="2">
        <f t="shared" si="223"/>
        <v>31</v>
      </c>
      <c r="N2333" s="1" t="str">
        <f t="shared" si="224"/>
        <v>Lembab</v>
      </c>
      <c r="O2333" t="str">
        <f t="shared" si="225"/>
        <v>Fuzzy</v>
      </c>
      <c r="P2333" t="str">
        <f t="shared" si="226"/>
        <v>Fuzzy</v>
      </c>
    </row>
    <row r="2334" spans="1:16" x14ac:dyDescent="0.35">
      <c r="A2334" t="s">
        <v>2337</v>
      </c>
      <c r="B2334">
        <v>6547</v>
      </c>
      <c r="C2334">
        <v>27</v>
      </c>
      <c r="D2334">
        <v>78</v>
      </c>
      <c r="E2334">
        <v>410</v>
      </c>
      <c r="F2334">
        <v>618</v>
      </c>
      <c r="K2334" s="1">
        <f t="shared" si="227"/>
        <v>410</v>
      </c>
      <c r="L2334" s="1" t="str">
        <f t="shared" si="222"/>
        <v>Normal</v>
      </c>
      <c r="M2334" s="2">
        <f t="shared" si="223"/>
        <v>27.500000000000004</v>
      </c>
      <c r="N2334" s="1" t="str">
        <f t="shared" si="224"/>
        <v>Kering</v>
      </c>
      <c r="O2334" t="str">
        <f t="shared" si="225"/>
        <v>Fuzzy</v>
      </c>
      <c r="P2334" t="str">
        <f t="shared" si="226"/>
        <v>Fuzzy</v>
      </c>
    </row>
    <row r="2335" spans="1:16" x14ac:dyDescent="0.35">
      <c r="A2335" t="s">
        <v>2338</v>
      </c>
      <c r="B2335">
        <v>6548</v>
      </c>
      <c r="C2335">
        <v>27</v>
      </c>
      <c r="D2335">
        <v>78</v>
      </c>
      <c r="E2335">
        <v>459</v>
      </c>
      <c r="F2335">
        <v>618</v>
      </c>
      <c r="K2335" s="1">
        <f t="shared" si="227"/>
        <v>459</v>
      </c>
      <c r="L2335" s="1" t="str">
        <f t="shared" si="222"/>
        <v>Normal</v>
      </c>
      <c r="M2335" s="2">
        <f t="shared" si="223"/>
        <v>39.75</v>
      </c>
      <c r="N2335" s="1" t="str">
        <f t="shared" si="224"/>
        <v>Lembab</v>
      </c>
      <c r="O2335" t="str">
        <f t="shared" si="225"/>
        <v>Fuzzy</v>
      </c>
      <c r="P2335" t="str">
        <f t="shared" si="226"/>
        <v>Fuzzy</v>
      </c>
    </row>
    <row r="2336" spans="1:16" x14ac:dyDescent="0.35">
      <c r="A2336" t="s">
        <v>2339</v>
      </c>
      <c r="B2336">
        <v>6549</v>
      </c>
      <c r="C2336">
        <v>27</v>
      </c>
      <c r="D2336">
        <v>79</v>
      </c>
      <c r="E2336">
        <v>386</v>
      </c>
      <c r="F2336">
        <v>618</v>
      </c>
      <c r="K2336" s="1">
        <f t="shared" si="227"/>
        <v>386</v>
      </c>
      <c r="L2336" s="1" t="str">
        <f t="shared" si="222"/>
        <v>Normal</v>
      </c>
      <c r="M2336" s="2">
        <f t="shared" si="223"/>
        <v>21.5</v>
      </c>
      <c r="N2336" s="1" t="str">
        <f t="shared" si="224"/>
        <v>Kering</v>
      </c>
      <c r="O2336" t="str">
        <f t="shared" si="225"/>
        <v>Fuzzy</v>
      </c>
      <c r="P2336" t="str">
        <f t="shared" si="226"/>
        <v>Fuzzy</v>
      </c>
    </row>
    <row r="2337" spans="1:16" x14ac:dyDescent="0.35">
      <c r="A2337" t="s">
        <v>2340</v>
      </c>
      <c r="B2337">
        <v>6550</v>
      </c>
      <c r="C2337">
        <v>27</v>
      </c>
      <c r="D2337">
        <v>79</v>
      </c>
      <c r="E2337">
        <v>435</v>
      </c>
      <c r="F2337">
        <v>618</v>
      </c>
      <c r="K2337" s="1">
        <f t="shared" si="227"/>
        <v>435</v>
      </c>
      <c r="L2337" s="1" t="str">
        <f t="shared" si="222"/>
        <v>Normal</v>
      </c>
      <c r="M2337" s="2">
        <f t="shared" si="223"/>
        <v>33.75</v>
      </c>
      <c r="N2337" s="1" t="str">
        <f t="shared" si="224"/>
        <v>Lembab</v>
      </c>
      <c r="O2337" t="str">
        <f t="shared" si="225"/>
        <v>Fuzzy</v>
      </c>
      <c r="P2337" t="str">
        <f t="shared" si="226"/>
        <v>Fuzzy</v>
      </c>
    </row>
    <row r="2338" spans="1:16" x14ac:dyDescent="0.35">
      <c r="A2338" t="s">
        <v>2341</v>
      </c>
      <c r="B2338">
        <v>6551</v>
      </c>
      <c r="C2338">
        <v>27</v>
      </c>
      <c r="D2338">
        <v>78</v>
      </c>
      <c r="E2338">
        <v>473</v>
      </c>
      <c r="F2338">
        <v>618</v>
      </c>
      <c r="K2338" s="1">
        <f t="shared" si="227"/>
        <v>473</v>
      </c>
      <c r="L2338" s="1" t="str">
        <f t="shared" si="222"/>
        <v>Normal</v>
      </c>
      <c r="M2338" s="2">
        <f t="shared" si="223"/>
        <v>43.25</v>
      </c>
      <c r="N2338" s="1" t="str">
        <f t="shared" si="224"/>
        <v>Lembab</v>
      </c>
      <c r="O2338" t="str">
        <f t="shared" si="225"/>
        <v>Fuzzy</v>
      </c>
      <c r="P2338" t="str">
        <f t="shared" si="226"/>
        <v>Fuzzy</v>
      </c>
    </row>
    <row r="2339" spans="1:16" x14ac:dyDescent="0.35">
      <c r="A2339" t="s">
        <v>2342</v>
      </c>
      <c r="B2339">
        <v>6552</v>
      </c>
      <c r="C2339">
        <v>27</v>
      </c>
      <c r="D2339">
        <v>78</v>
      </c>
      <c r="E2339">
        <v>741</v>
      </c>
      <c r="F2339">
        <v>618</v>
      </c>
      <c r="K2339" s="1">
        <f t="shared" si="227"/>
        <v>741</v>
      </c>
      <c r="L2339" s="1" t="str">
        <f t="shared" si="222"/>
        <v>Normal</v>
      </c>
      <c r="M2339" s="2">
        <f t="shared" si="223"/>
        <v>12.693498452012383</v>
      </c>
      <c r="N2339" s="1" t="str">
        <f t="shared" si="224"/>
        <v>Kering</v>
      </c>
      <c r="O2339" t="str">
        <f t="shared" si="225"/>
        <v>Fuzzy</v>
      </c>
      <c r="P2339" t="str">
        <f t="shared" si="226"/>
        <v>Fuzzy</v>
      </c>
    </row>
    <row r="2340" spans="1:16" x14ac:dyDescent="0.35">
      <c r="A2340" t="s">
        <v>2343</v>
      </c>
      <c r="B2340">
        <v>6553</v>
      </c>
      <c r="C2340">
        <v>27</v>
      </c>
      <c r="D2340">
        <v>78</v>
      </c>
      <c r="E2340">
        <v>420</v>
      </c>
      <c r="F2340">
        <v>619</v>
      </c>
      <c r="K2340" s="1">
        <f t="shared" si="227"/>
        <v>420</v>
      </c>
      <c r="L2340" s="1" t="str">
        <f t="shared" si="222"/>
        <v>Normal</v>
      </c>
      <c r="M2340" s="2">
        <f t="shared" si="223"/>
        <v>30</v>
      </c>
      <c r="N2340" s="1" t="str">
        <f t="shared" si="224"/>
        <v>Lembab</v>
      </c>
      <c r="O2340" t="str">
        <f t="shared" si="225"/>
        <v>Fuzzy</v>
      </c>
      <c r="P2340" t="str">
        <f t="shared" si="226"/>
        <v>Fuzzy</v>
      </c>
    </row>
    <row r="2341" spans="1:16" x14ac:dyDescent="0.35">
      <c r="A2341" t="s">
        <v>2344</v>
      </c>
      <c r="B2341">
        <v>6554</v>
      </c>
      <c r="C2341">
        <v>27</v>
      </c>
      <c r="D2341">
        <v>78</v>
      </c>
      <c r="E2341">
        <v>418</v>
      </c>
      <c r="F2341">
        <v>618</v>
      </c>
      <c r="K2341" s="1">
        <f t="shared" si="227"/>
        <v>418</v>
      </c>
      <c r="L2341" s="1" t="str">
        <f t="shared" si="222"/>
        <v>Normal</v>
      </c>
      <c r="M2341" s="2">
        <f t="shared" si="223"/>
        <v>29.5</v>
      </c>
      <c r="N2341" s="1" t="str">
        <f t="shared" si="224"/>
        <v>Lembab</v>
      </c>
      <c r="O2341" t="str">
        <f t="shared" si="225"/>
        <v>Fuzzy</v>
      </c>
      <c r="P2341" t="str">
        <f t="shared" si="226"/>
        <v>Fuzzy</v>
      </c>
    </row>
    <row r="2342" spans="1:16" x14ac:dyDescent="0.35">
      <c r="A2342" t="s">
        <v>2345</v>
      </c>
      <c r="B2342">
        <v>6555</v>
      </c>
      <c r="C2342">
        <v>27</v>
      </c>
      <c r="D2342">
        <v>79</v>
      </c>
      <c r="E2342">
        <v>447</v>
      </c>
      <c r="F2342">
        <v>618</v>
      </c>
      <c r="K2342" s="1">
        <f t="shared" si="227"/>
        <v>447</v>
      </c>
      <c r="L2342" s="1" t="str">
        <f t="shared" si="222"/>
        <v>Normal</v>
      </c>
      <c r="M2342" s="2">
        <f t="shared" si="223"/>
        <v>36.75</v>
      </c>
      <c r="N2342" s="1" t="str">
        <f t="shared" si="224"/>
        <v>Lembab</v>
      </c>
      <c r="O2342" t="str">
        <f t="shared" si="225"/>
        <v>Fuzzy</v>
      </c>
      <c r="P2342" t="str">
        <f t="shared" si="226"/>
        <v>Fuzzy</v>
      </c>
    </row>
    <row r="2343" spans="1:16" x14ac:dyDescent="0.35">
      <c r="A2343" t="s">
        <v>2346</v>
      </c>
      <c r="B2343">
        <v>6556</v>
      </c>
      <c r="C2343">
        <v>27</v>
      </c>
      <c r="D2343">
        <v>78</v>
      </c>
      <c r="E2343">
        <v>445</v>
      </c>
      <c r="F2343">
        <v>618</v>
      </c>
      <c r="K2343" s="1">
        <f t="shared" si="227"/>
        <v>445</v>
      </c>
      <c r="L2343" s="1" t="str">
        <f t="shared" si="222"/>
        <v>Normal</v>
      </c>
      <c r="M2343" s="2">
        <f t="shared" si="223"/>
        <v>36.25</v>
      </c>
      <c r="N2343" s="1" t="str">
        <f t="shared" si="224"/>
        <v>Lembab</v>
      </c>
      <c r="O2343" t="str">
        <f t="shared" si="225"/>
        <v>Fuzzy</v>
      </c>
      <c r="P2343" t="str">
        <f t="shared" si="226"/>
        <v>Fuzzy</v>
      </c>
    </row>
    <row r="2344" spans="1:16" x14ac:dyDescent="0.35">
      <c r="A2344" t="s">
        <v>2347</v>
      </c>
      <c r="B2344">
        <v>6557</v>
      </c>
      <c r="C2344">
        <v>27</v>
      </c>
      <c r="D2344">
        <v>79</v>
      </c>
      <c r="E2344">
        <v>455</v>
      </c>
      <c r="F2344">
        <v>617</v>
      </c>
      <c r="K2344" s="1">
        <f t="shared" si="227"/>
        <v>455</v>
      </c>
      <c r="L2344" s="1" t="str">
        <f t="shared" si="222"/>
        <v>Normal</v>
      </c>
      <c r="M2344" s="2">
        <f t="shared" si="223"/>
        <v>38.75</v>
      </c>
      <c r="N2344" s="1" t="str">
        <f t="shared" si="224"/>
        <v>Lembab</v>
      </c>
      <c r="O2344" t="str">
        <f t="shared" si="225"/>
        <v>Fuzzy</v>
      </c>
      <c r="P2344" t="str">
        <f t="shared" si="226"/>
        <v>Fuzzy</v>
      </c>
    </row>
    <row r="2345" spans="1:16" x14ac:dyDescent="0.35">
      <c r="A2345" t="s">
        <v>2348</v>
      </c>
      <c r="B2345">
        <v>6558</v>
      </c>
      <c r="C2345">
        <v>27</v>
      </c>
      <c r="D2345">
        <v>78</v>
      </c>
      <c r="E2345">
        <v>363</v>
      </c>
      <c r="F2345">
        <v>618</v>
      </c>
      <c r="K2345" s="1">
        <f t="shared" si="227"/>
        <v>363</v>
      </c>
      <c r="L2345" s="1" t="str">
        <f t="shared" si="222"/>
        <v>Normal</v>
      </c>
      <c r="M2345" s="2">
        <f t="shared" si="223"/>
        <v>15.75</v>
      </c>
      <c r="N2345" s="1" t="str">
        <f t="shared" si="224"/>
        <v>Kering</v>
      </c>
      <c r="O2345" t="str">
        <f t="shared" si="225"/>
        <v>Fuzzy</v>
      </c>
      <c r="P2345" t="str">
        <f t="shared" si="226"/>
        <v>Fuzzy</v>
      </c>
    </row>
    <row r="2346" spans="1:16" x14ac:dyDescent="0.35">
      <c r="A2346" t="s">
        <v>2349</v>
      </c>
      <c r="B2346">
        <v>6559</v>
      </c>
      <c r="C2346">
        <v>27</v>
      </c>
      <c r="D2346">
        <v>78</v>
      </c>
      <c r="E2346">
        <v>436</v>
      </c>
      <c r="F2346">
        <v>618</v>
      </c>
      <c r="K2346" s="1">
        <f t="shared" si="227"/>
        <v>436</v>
      </c>
      <c r="L2346" s="1" t="str">
        <f t="shared" si="222"/>
        <v>Normal</v>
      </c>
      <c r="M2346" s="2">
        <f t="shared" si="223"/>
        <v>34</v>
      </c>
      <c r="N2346" s="1" t="str">
        <f t="shared" si="224"/>
        <v>Lembab</v>
      </c>
      <c r="O2346" t="str">
        <f t="shared" si="225"/>
        <v>Fuzzy</v>
      </c>
      <c r="P2346" t="str">
        <f t="shared" si="226"/>
        <v>Fuzzy</v>
      </c>
    </row>
    <row r="2347" spans="1:16" x14ac:dyDescent="0.35">
      <c r="A2347" t="s">
        <v>2350</v>
      </c>
      <c r="B2347">
        <v>6560</v>
      </c>
      <c r="C2347">
        <v>27</v>
      </c>
      <c r="D2347">
        <v>78</v>
      </c>
      <c r="E2347">
        <v>390</v>
      </c>
      <c r="F2347">
        <v>618</v>
      </c>
      <c r="K2347" s="1">
        <f t="shared" si="227"/>
        <v>390</v>
      </c>
      <c r="L2347" s="1" t="str">
        <f t="shared" si="222"/>
        <v>Normal</v>
      </c>
      <c r="M2347" s="2">
        <f t="shared" si="223"/>
        <v>22.5</v>
      </c>
      <c r="N2347" s="1" t="str">
        <f t="shared" si="224"/>
        <v>Kering</v>
      </c>
      <c r="O2347" t="str">
        <f t="shared" si="225"/>
        <v>Fuzzy</v>
      </c>
      <c r="P2347" t="str">
        <f t="shared" si="226"/>
        <v>Fuzzy</v>
      </c>
    </row>
    <row r="2348" spans="1:16" x14ac:dyDescent="0.35">
      <c r="A2348" t="s">
        <v>2351</v>
      </c>
      <c r="B2348">
        <v>6561</v>
      </c>
      <c r="C2348">
        <v>27</v>
      </c>
      <c r="D2348">
        <v>78</v>
      </c>
      <c r="E2348">
        <v>442</v>
      </c>
      <c r="F2348">
        <v>618</v>
      </c>
      <c r="K2348" s="1">
        <f t="shared" si="227"/>
        <v>442</v>
      </c>
      <c r="L2348" s="1" t="str">
        <f t="shared" si="222"/>
        <v>Normal</v>
      </c>
      <c r="M2348" s="2">
        <f t="shared" si="223"/>
        <v>35.5</v>
      </c>
      <c r="N2348" s="1" t="str">
        <f t="shared" si="224"/>
        <v>Lembab</v>
      </c>
      <c r="O2348" t="str">
        <f t="shared" si="225"/>
        <v>Fuzzy</v>
      </c>
      <c r="P2348" t="str">
        <f t="shared" si="226"/>
        <v>Fuzzy</v>
      </c>
    </row>
    <row r="2349" spans="1:16" x14ac:dyDescent="0.35">
      <c r="A2349" t="s">
        <v>2352</v>
      </c>
      <c r="B2349">
        <v>6562</v>
      </c>
      <c r="C2349">
        <v>27</v>
      </c>
      <c r="D2349">
        <v>78</v>
      </c>
      <c r="E2349">
        <v>535</v>
      </c>
      <c r="F2349">
        <v>618</v>
      </c>
      <c r="K2349" s="1">
        <f t="shared" si="227"/>
        <v>535</v>
      </c>
      <c r="L2349" s="1" t="str">
        <f t="shared" si="222"/>
        <v>Normal</v>
      </c>
      <c r="M2349" s="2">
        <f t="shared" si="223"/>
        <v>58.75</v>
      </c>
      <c r="N2349" s="1" t="str">
        <f t="shared" si="224"/>
        <v>Lembab</v>
      </c>
      <c r="O2349" t="str">
        <f t="shared" si="225"/>
        <v>Fuzzy</v>
      </c>
      <c r="P2349" t="str">
        <f t="shared" si="226"/>
        <v>Fuzzy</v>
      </c>
    </row>
    <row r="2350" spans="1:16" x14ac:dyDescent="0.35">
      <c r="A2350" t="s">
        <v>2353</v>
      </c>
      <c r="B2350">
        <v>6563</v>
      </c>
      <c r="C2350">
        <v>27</v>
      </c>
      <c r="D2350">
        <v>78</v>
      </c>
      <c r="E2350">
        <v>396</v>
      </c>
      <c r="F2350">
        <v>618</v>
      </c>
      <c r="K2350" s="1">
        <f t="shared" si="227"/>
        <v>396</v>
      </c>
      <c r="L2350" s="1" t="str">
        <f t="shared" si="222"/>
        <v>Normal</v>
      </c>
      <c r="M2350" s="2">
        <f t="shared" si="223"/>
        <v>24</v>
      </c>
      <c r="N2350" s="1" t="str">
        <f t="shared" si="224"/>
        <v>Kering</v>
      </c>
      <c r="O2350" t="str">
        <f t="shared" si="225"/>
        <v>Fuzzy</v>
      </c>
      <c r="P2350" t="str">
        <f t="shared" si="226"/>
        <v>Fuzzy</v>
      </c>
    </row>
    <row r="2351" spans="1:16" x14ac:dyDescent="0.35">
      <c r="A2351" t="s">
        <v>2354</v>
      </c>
      <c r="B2351">
        <v>6564</v>
      </c>
      <c r="C2351">
        <v>27</v>
      </c>
      <c r="D2351">
        <v>78</v>
      </c>
      <c r="E2351">
        <v>476</v>
      </c>
      <c r="F2351">
        <v>618</v>
      </c>
      <c r="K2351" s="1">
        <f t="shared" si="227"/>
        <v>476</v>
      </c>
      <c r="L2351" s="1" t="str">
        <f t="shared" si="222"/>
        <v>Normal</v>
      </c>
      <c r="M2351" s="2">
        <f t="shared" si="223"/>
        <v>44</v>
      </c>
      <c r="N2351" s="1" t="str">
        <f t="shared" si="224"/>
        <v>Lembab</v>
      </c>
      <c r="O2351" t="str">
        <f t="shared" si="225"/>
        <v>Fuzzy</v>
      </c>
      <c r="P2351" t="str">
        <f t="shared" si="226"/>
        <v>Fuzzy</v>
      </c>
    </row>
    <row r="2352" spans="1:16" x14ac:dyDescent="0.35">
      <c r="A2352" t="s">
        <v>2355</v>
      </c>
      <c r="B2352">
        <v>6565</v>
      </c>
      <c r="C2352">
        <v>27</v>
      </c>
      <c r="D2352">
        <v>77</v>
      </c>
      <c r="E2352">
        <v>439</v>
      </c>
      <c r="F2352">
        <v>618</v>
      </c>
      <c r="K2352" s="1">
        <f t="shared" si="227"/>
        <v>439</v>
      </c>
      <c r="L2352" s="1" t="str">
        <f t="shared" si="222"/>
        <v>Normal</v>
      </c>
      <c r="M2352" s="2">
        <f t="shared" si="223"/>
        <v>34.75</v>
      </c>
      <c r="N2352" s="1" t="str">
        <f t="shared" si="224"/>
        <v>Lembab</v>
      </c>
      <c r="O2352" t="str">
        <f t="shared" si="225"/>
        <v>Fuzzy</v>
      </c>
      <c r="P2352" t="str">
        <f t="shared" si="226"/>
        <v>Fuzzy</v>
      </c>
    </row>
    <row r="2353" spans="1:16" x14ac:dyDescent="0.35">
      <c r="A2353" t="s">
        <v>2356</v>
      </c>
      <c r="B2353">
        <v>6566</v>
      </c>
      <c r="C2353">
        <v>27</v>
      </c>
      <c r="D2353">
        <v>78</v>
      </c>
      <c r="E2353">
        <v>410</v>
      </c>
      <c r="F2353">
        <v>618</v>
      </c>
      <c r="K2353" s="1">
        <f t="shared" si="227"/>
        <v>410</v>
      </c>
      <c r="L2353" s="1" t="str">
        <f t="shared" si="222"/>
        <v>Normal</v>
      </c>
      <c r="M2353" s="2">
        <f t="shared" si="223"/>
        <v>27.500000000000004</v>
      </c>
      <c r="N2353" s="1" t="str">
        <f t="shared" si="224"/>
        <v>Kering</v>
      </c>
      <c r="O2353" t="str">
        <f t="shared" si="225"/>
        <v>Fuzzy</v>
      </c>
      <c r="P2353" t="str">
        <f t="shared" si="226"/>
        <v>Fuzzy</v>
      </c>
    </row>
    <row r="2354" spans="1:16" x14ac:dyDescent="0.35">
      <c r="A2354" t="s">
        <v>2357</v>
      </c>
      <c r="B2354">
        <v>6567</v>
      </c>
      <c r="C2354">
        <v>27</v>
      </c>
      <c r="D2354">
        <v>77</v>
      </c>
      <c r="E2354">
        <v>197</v>
      </c>
      <c r="F2354">
        <v>619</v>
      </c>
      <c r="K2354" s="1">
        <f t="shared" si="227"/>
        <v>197</v>
      </c>
      <c r="L2354" s="1" t="str">
        <f t="shared" si="222"/>
        <v>Normal</v>
      </c>
      <c r="M2354" s="2">
        <f t="shared" si="223"/>
        <v>19.257086999022484</v>
      </c>
      <c r="N2354" s="1" t="str">
        <f t="shared" si="224"/>
        <v>Kering</v>
      </c>
      <c r="O2354" t="str">
        <f t="shared" si="225"/>
        <v>Fuzzy</v>
      </c>
      <c r="P2354" t="str">
        <f t="shared" si="226"/>
        <v>Fuzzy</v>
      </c>
    </row>
    <row r="2355" spans="1:16" x14ac:dyDescent="0.35">
      <c r="A2355" t="s">
        <v>2358</v>
      </c>
      <c r="B2355">
        <v>6568</v>
      </c>
      <c r="C2355">
        <v>27</v>
      </c>
      <c r="D2355">
        <v>77</v>
      </c>
      <c r="E2355">
        <v>228</v>
      </c>
      <c r="F2355">
        <v>618</v>
      </c>
      <c r="K2355" s="1">
        <f t="shared" si="227"/>
        <v>228</v>
      </c>
      <c r="L2355" s="1" t="str">
        <f t="shared" si="222"/>
        <v>Normal</v>
      </c>
      <c r="M2355" s="2">
        <f t="shared" si="223"/>
        <v>22.287390029325511</v>
      </c>
      <c r="N2355" s="1" t="str">
        <f t="shared" si="224"/>
        <v>Kering</v>
      </c>
      <c r="O2355" t="str">
        <f t="shared" si="225"/>
        <v>Fuzzy</v>
      </c>
      <c r="P2355" t="str">
        <f t="shared" si="226"/>
        <v>Fuzzy</v>
      </c>
    </row>
    <row r="2356" spans="1:16" x14ac:dyDescent="0.35">
      <c r="A2356" t="s">
        <v>2359</v>
      </c>
      <c r="B2356">
        <v>6569</v>
      </c>
      <c r="C2356">
        <v>27</v>
      </c>
      <c r="D2356">
        <v>77</v>
      </c>
      <c r="E2356">
        <v>364</v>
      </c>
      <c r="F2356">
        <v>618</v>
      </c>
      <c r="K2356" s="1">
        <f t="shared" si="227"/>
        <v>364</v>
      </c>
      <c r="L2356" s="1" t="str">
        <f t="shared" si="222"/>
        <v>Normal</v>
      </c>
      <c r="M2356" s="2">
        <f t="shared" si="223"/>
        <v>16</v>
      </c>
      <c r="N2356" s="1" t="str">
        <f t="shared" si="224"/>
        <v>Kering</v>
      </c>
      <c r="O2356" t="str">
        <f t="shared" si="225"/>
        <v>Fuzzy</v>
      </c>
      <c r="P2356" t="str">
        <f t="shared" si="226"/>
        <v>Fuzzy</v>
      </c>
    </row>
    <row r="2357" spans="1:16" x14ac:dyDescent="0.35">
      <c r="A2357" t="s">
        <v>2360</v>
      </c>
      <c r="B2357">
        <v>6570</v>
      </c>
      <c r="C2357">
        <v>27</v>
      </c>
      <c r="D2357">
        <v>77</v>
      </c>
      <c r="E2357">
        <v>508</v>
      </c>
      <c r="F2357">
        <v>618</v>
      </c>
      <c r="K2357" s="1">
        <f t="shared" si="227"/>
        <v>508</v>
      </c>
      <c r="L2357" s="1" t="str">
        <f t="shared" si="222"/>
        <v>Normal</v>
      </c>
      <c r="M2357" s="2">
        <f t="shared" si="223"/>
        <v>52</v>
      </c>
      <c r="N2357" s="1" t="str">
        <f t="shared" si="224"/>
        <v>Lembab</v>
      </c>
      <c r="O2357" t="str">
        <f t="shared" si="225"/>
        <v>Fuzzy</v>
      </c>
      <c r="P2357" t="str">
        <f t="shared" si="226"/>
        <v>Fuzzy</v>
      </c>
    </row>
    <row r="2358" spans="1:16" x14ac:dyDescent="0.35">
      <c r="A2358" t="s">
        <v>2361</v>
      </c>
      <c r="B2358">
        <v>6571</v>
      </c>
      <c r="C2358">
        <v>27</v>
      </c>
      <c r="D2358">
        <v>76</v>
      </c>
      <c r="E2358">
        <v>345</v>
      </c>
      <c r="F2358">
        <v>618</v>
      </c>
      <c r="K2358" s="1">
        <f t="shared" si="227"/>
        <v>345</v>
      </c>
      <c r="L2358" s="1" t="str">
        <f t="shared" si="222"/>
        <v>Normal</v>
      </c>
      <c r="M2358" s="2">
        <f t="shared" si="223"/>
        <v>11.25</v>
      </c>
      <c r="N2358" s="1" t="str">
        <f t="shared" si="224"/>
        <v>Kering</v>
      </c>
      <c r="O2358" t="str">
        <f t="shared" si="225"/>
        <v>Fuzzy</v>
      </c>
      <c r="P2358" t="str">
        <f t="shared" si="226"/>
        <v>Fuzzy</v>
      </c>
    </row>
    <row r="2359" spans="1:16" x14ac:dyDescent="0.35">
      <c r="A2359" t="s">
        <v>2362</v>
      </c>
      <c r="B2359">
        <v>6572</v>
      </c>
      <c r="C2359">
        <v>27</v>
      </c>
      <c r="D2359">
        <v>76</v>
      </c>
      <c r="E2359">
        <v>480</v>
      </c>
      <c r="F2359">
        <v>618</v>
      </c>
      <c r="K2359" s="1">
        <f t="shared" si="227"/>
        <v>480</v>
      </c>
      <c r="L2359" s="1" t="str">
        <f t="shared" si="222"/>
        <v>Normal</v>
      </c>
      <c r="M2359" s="2">
        <f t="shared" si="223"/>
        <v>45</v>
      </c>
      <c r="N2359" s="1" t="str">
        <f t="shared" si="224"/>
        <v>Lembab</v>
      </c>
      <c r="O2359" t="str">
        <f t="shared" si="225"/>
        <v>Fuzzy</v>
      </c>
      <c r="P2359" t="str">
        <f t="shared" si="226"/>
        <v>Fuzzy</v>
      </c>
    </row>
    <row r="2360" spans="1:16" x14ac:dyDescent="0.35">
      <c r="A2360" t="s">
        <v>2363</v>
      </c>
      <c r="B2360">
        <v>6573</v>
      </c>
      <c r="C2360">
        <v>27</v>
      </c>
      <c r="D2360">
        <v>73</v>
      </c>
      <c r="E2360">
        <v>402</v>
      </c>
      <c r="F2360">
        <v>618</v>
      </c>
      <c r="K2360" s="1">
        <f t="shared" si="227"/>
        <v>402</v>
      </c>
      <c r="L2360" s="1" t="str">
        <f t="shared" si="222"/>
        <v>Normal</v>
      </c>
      <c r="M2360" s="2">
        <f t="shared" si="223"/>
        <v>25.5</v>
      </c>
      <c r="N2360" s="1" t="str">
        <f t="shared" si="224"/>
        <v>Kering</v>
      </c>
      <c r="O2360" t="str">
        <f t="shared" si="225"/>
        <v>Fuzzy</v>
      </c>
      <c r="P2360" t="str">
        <f t="shared" si="226"/>
        <v>Fuzzy</v>
      </c>
    </row>
    <row r="2361" spans="1:16" x14ac:dyDescent="0.35">
      <c r="A2361" t="s">
        <v>2364</v>
      </c>
      <c r="B2361">
        <v>6574</v>
      </c>
      <c r="C2361">
        <v>27</v>
      </c>
      <c r="D2361">
        <v>73</v>
      </c>
      <c r="E2361">
        <v>551</v>
      </c>
      <c r="F2361">
        <v>620</v>
      </c>
      <c r="K2361" s="1">
        <f t="shared" si="227"/>
        <v>551</v>
      </c>
      <c r="L2361" s="1" t="str">
        <f t="shared" si="222"/>
        <v>Normal</v>
      </c>
      <c r="M2361" s="2">
        <f t="shared" si="223"/>
        <v>62.749999999999993</v>
      </c>
      <c r="N2361" s="1" t="str">
        <f t="shared" si="224"/>
        <v>Lembab</v>
      </c>
      <c r="O2361" t="str">
        <f t="shared" si="225"/>
        <v>Fuzzy</v>
      </c>
      <c r="P2361" t="str">
        <f t="shared" si="226"/>
        <v>Fuzzy</v>
      </c>
    </row>
    <row r="2362" spans="1:16" x14ac:dyDescent="0.35">
      <c r="A2362" t="s">
        <v>2365</v>
      </c>
      <c r="B2362">
        <v>6575</v>
      </c>
      <c r="C2362">
        <v>27</v>
      </c>
      <c r="D2362">
        <v>71</v>
      </c>
      <c r="E2362">
        <v>455</v>
      </c>
      <c r="F2362">
        <v>618</v>
      </c>
      <c r="K2362" s="1">
        <f t="shared" si="227"/>
        <v>455</v>
      </c>
      <c r="L2362" s="1" t="str">
        <f t="shared" si="222"/>
        <v>Normal</v>
      </c>
      <c r="M2362" s="2">
        <f t="shared" si="223"/>
        <v>38.75</v>
      </c>
      <c r="N2362" s="1" t="str">
        <f t="shared" si="224"/>
        <v>Lembab</v>
      </c>
      <c r="O2362" t="str">
        <f t="shared" si="225"/>
        <v>Fuzzy</v>
      </c>
      <c r="P2362" t="str">
        <f t="shared" si="226"/>
        <v>Fuzzy</v>
      </c>
    </row>
    <row r="2363" spans="1:16" x14ac:dyDescent="0.35">
      <c r="A2363" t="s">
        <v>2366</v>
      </c>
      <c r="B2363">
        <v>6576</v>
      </c>
      <c r="C2363">
        <v>27</v>
      </c>
      <c r="D2363">
        <v>71</v>
      </c>
      <c r="E2363">
        <v>523</v>
      </c>
      <c r="F2363">
        <v>618</v>
      </c>
      <c r="K2363" s="1">
        <f t="shared" si="227"/>
        <v>523</v>
      </c>
      <c r="L2363" s="1" t="str">
        <f t="shared" si="222"/>
        <v>Normal</v>
      </c>
      <c r="M2363" s="2">
        <f t="shared" si="223"/>
        <v>55.75</v>
      </c>
      <c r="N2363" s="1" t="str">
        <f t="shared" si="224"/>
        <v>Lembab</v>
      </c>
      <c r="O2363" t="str">
        <f t="shared" si="225"/>
        <v>Fuzzy</v>
      </c>
      <c r="P2363" t="str">
        <f t="shared" si="226"/>
        <v>Fuzzy</v>
      </c>
    </row>
    <row r="2364" spans="1:16" x14ac:dyDescent="0.35">
      <c r="A2364" t="s">
        <v>2367</v>
      </c>
      <c r="B2364">
        <v>6577</v>
      </c>
      <c r="C2364">
        <v>27</v>
      </c>
      <c r="D2364">
        <v>69</v>
      </c>
      <c r="E2364">
        <v>499</v>
      </c>
      <c r="F2364">
        <v>618</v>
      </c>
      <c r="K2364" s="1">
        <f t="shared" si="227"/>
        <v>499</v>
      </c>
      <c r="L2364" s="1" t="str">
        <f t="shared" si="222"/>
        <v>Normal</v>
      </c>
      <c r="M2364" s="2">
        <f t="shared" si="223"/>
        <v>49.75</v>
      </c>
      <c r="N2364" s="1" t="str">
        <f t="shared" si="224"/>
        <v>Lembab</v>
      </c>
      <c r="O2364" t="str">
        <f t="shared" si="225"/>
        <v>Fuzzy</v>
      </c>
      <c r="P2364" t="str">
        <f t="shared" si="226"/>
        <v>Fuzzy</v>
      </c>
    </row>
    <row r="2365" spans="1:16" x14ac:dyDescent="0.35">
      <c r="A2365" t="s">
        <v>2368</v>
      </c>
      <c r="B2365">
        <v>6578</v>
      </c>
      <c r="C2365">
        <v>27</v>
      </c>
      <c r="D2365">
        <v>69</v>
      </c>
      <c r="E2365">
        <v>413</v>
      </c>
      <c r="F2365">
        <v>617</v>
      </c>
      <c r="K2365" s="1">
        <f t="shared" si="227"/>
        <v>413</v>
      </c>
      <c r="L2365" s="1" t="str">
        <f t="shared" si="222"/>
        <v>Normal</v>
      </c>
      <c r="M2365" s="2">
        <f t="shared" si="223"/>
        <v>28.249999999999996</v>
      </c>
      <c r="N2365" s="1" t="str">
        <f t="shared" si="224"/>
        <v>Kering</v>
      </c>
      <c r="O2365" t="str">
        <f t="shared" si="225"/>
        <v>Fuzzy</v>
      </c>
      <c r="P2365" t="str">
        <f t="shared" si="226"/>
        <v>Fuzzy</v>
      </c>
    </row>
    <row r="2366" spans="1:16" x14ac:dyDescent="0.35">
      <c r="A2366" t="s">
        <v>2369</v>
      </c>
      <c r="B2366">
        <v>6579</v>
      </c>
      <c r="C2366">
        <v>27</v>
      </c>
      <c r="D2366">
        <v>67</v>
      </c>
      <c r="E2366">
        <v>408</v>
      </c>
      <c r="F2366">
        <v>618</v>
      </c>
      <c r="K2366" s="1">
        <f t="shared" si="227"/>
        <v>408</v>
      </c>
      <c r="L2366" s="1" t="str">
        <f t="shared" si="222"/>
        <v>Normal</v>
      </c>
      <c r="M2366" s="2">
        <f t="shared" si="223"/>
        <v>27</v>
      </c>
      <c r="N2366" s="1" t="str">
        <f t="shared" si="224"/>
        <v>Kering</v>
      </c>
      <c r="O2366" t="str">
        <f t="shared" si="225"/>
        <v>Fuzzy</v>
      </c>
      <c r="P2366" t="str">
        <f t="shared" si="226"/>
        <v>Fuzzy</v>
      </c>
    </row>
    <row r="2367" spans="1:16" x14ac:dyDescent="0.35">
      <c r="A2367" t="s">
        <v>2370</v>
      </c>
      <c r="B2367">
        <v>6580</v>
      </c>
      <c r="C2367">
        <v>27</v>
      </c>
      <c r="D2367">
        <v>67</v>
      </c>
      <c r="E2367">
        <v>406</v>
      </c>
      <c r="F2367">
        <v>618</v>
      </c>
      <c r="K2367" s="1">
        <f t="shared" si="227"/>
        <v>406</v>
      </c>
      <c r="L2367" s="1" t="str">
        <f t="shared" si="222"/>
        <v>Normal</v>
      </c>
      <c r="M2367" s="2">
        <f t="shared" si="223"/>
        <v>26.5</v>
      </c>
      <c r="N2367" s="1" t="str">
        <f t="shared" si="224"/>
        <v>Kering</v>
      </c>
      <c r="O2367" t="str">
        <f t="shared" si="225"/>
        <v>Fuzzy</v>
      </c>
      <c r="P2367" t="str">
        <f t="shared" si="226"/>
        <v>Fuzzy</v>
      </c>
    </row>
    <row r="2368" spans="1:16" x14ac:dyDescent="0.35">
      <c r="A2368" t="s">
        <v>2371</v>
      </c>
      <c r="B2368">
        <v>6581</v>
      </c>
      <c r="C2368">
        <v>27</v>
      </c>
      <c r="D2368">
        <v>66</v>
      </c>
      <c r="E2368">
        <v>389</v>
      </c>
      <c r="F2368">
        <v>618</v>
      </c>
      <c r="K2368" s="1">
        <f t="shared" si="227"/>
        <v>389</v>
      </c>
      <c r="L2368" s="1" t="str">
        <f t="shared" si="222"/>
        <v>Normal</v>
      </c>
      <c r="M2368" s="2">
        <f t="shared" si="223"/>
        <v>22.25</v>
      </c>
      <c r="N2368" s="1" t="str">
        <f t="shared" si="224"/>
        <v>Kering</v>
      </c>
      <c r="O2368" t="str">
        <f t="shared" si="225"/>
        <v>Fuzzy</v>
      </c>
      <c r="P2368" t="str">
        <f t="shared" si="226"/>
        <v>Fuzzy</v>
      </c>
    </row>
    <row r="2369" spans="1:16" x14ac:dyDescent="0.35">
      <c r="A2369" t="s">
        <v>2372</v>
      </c>
      <c r="B2369">
        <v>6582</v>
      </c>
      <c r="C2369">
        <v>27</v>
      </c>
      <c r="D2369">
        <v>65</v>
      </c>
      <c r="E2369">
        <v>298</v>
      </c>
      <c r="F2369">
        <v>617</v>
      </c>
      <c r="K2369" s="1">
        <f t="shared" si="227"/>
        <v>298</v>
      </c>
      <c r="L2369" s="1" t="str">
        <f t="shared" si="222"/>
        <v>Normal</v>
      </c>
      <c r="M2369" s="2">
        <f t="shared" si="223"/>
        <v>29.130009775171068</v>
      </c>
      <c r="N2369" s="1" t="str">
        <f t="shared" si="224"/>
        <v>Kering</v>
      </c>
      <c r="O2369" t="str">
        <f t="shared" si="225"/>
        <v>Fuzzy</v>
      </c>
      <c r="P2369" t="str">
        <f t="shared" si="226"/>
        <v>Fuzzy</v>
      </c>
    </row>
    <row r="2370" spans="1:16" x14ac:dyDescent="0.35">
      <c r="A2370" t="s">
        <v>2373</v>
      </c>
      <c r="B2370">
        <v>6583</v>
      </c>
      <c r="C2370">
        <v>27</v>
      </c>
      <c r="D2370">
        <v>65</v>
      </c>
      <c r="E2370">
        <v>462</v>
      </c>
      <c r="F2370">
        <v>617</v>
      </c>
      <c r="K2370" s="1">
        <f t="shared" si="227"/>
        <v>462</v>
      </c>
      <c r="L2370" s="1" t="str">
        <f t="shared" si="222"/>
        <v>Normal</v>
      </c>
      <c r="M2370" s="2">
        <f t="shared" si="223"/>
        <v>40.5</v>
      </c>
      <c r="N2370" s="1" t="str">
        <f t="shared" si="224"/>
        <v>Lembab</v>
      </c>
      <c r="O2370" t="str">
        <f t="shared" si="225"/>
        <v>Fuzzy</v>
      </c>
      <c r="P2370" t="str">
        <f t="shared" si="226"/>
        <v>Fuzzy</v>
      </c>
    </row>
    <row r="2371" spans="1:16" x14ac:dyDescent="0.35">
      <c r="A2371" t="s">
        <v>2374</v>
      </c>
      <c r="B2371">
        <v>6584</v>
      </c>
      <c r="C2371">
        <v>27</v>
      </c>
      <c r="D2371">
        <v>67</v>
      </c>
      <c r="E2371">
        <v>444</v>
      </c>
      <c r="F2371">
        <v>619</v>
      </c>
      <c r="K2371" s="1">
        <f t="shared" si="227"/>
        <v>444</v>
      </c>
      <c r="L2371" s="1" t="str">
        <f t="shared" ref="L2371:L2434" si="228">IF(A2370 &lt;= 10, "Dingin", IF(OR(A2370 &gt;= 10, A2370 &lt; 35), "Normal", "Panas"))</f>
        <v>Normal</v>
      </c>
      <c r="M2371" s="2">
        <f t="shared" ref="M2371:M2434" si="229">IF(K2371&lt;=300, K2371/1023*100, IF(K2371&lt;=700, (K2371-300)/(700-301+1)*100, (K2371-700)/(1023-701+1)*100))</f>
        <v>36</v>
      </c>
      <c r="N2371" s="1" t="str">
        <f t="shared" ref="N2371:N2434" si="230">IF(M2371&lt;=29.32, "Kering", IF(M2371&lt;=68.53, "Lembab", "Basah"))</f>
        <v>Lembab</v>
      </c>
      <c r="O2371" t="str">
        <f t="shared" ref="O2371:O2434" si="231">IF(OR(AND(C2371 &gt; 10, C2371 &lt; 22.5), AND(C2371 &gt;= 22.5, C2371 &lt; 35)), "Fuzzy", "")</f>
        <v>Fuzzy</v>
      </c>
      <c r="P2371" t="str">
        <f t="shared" ref="P2371:P2434" si="232">IF(OR(AND(M2371 &gt;= 0, M2371 &lt; 50), AND(M2371 &gt;= 50, M2371 &lt; 100)), "Fuzzy", "")</f>
        <v>Fuzzy</v>
      </c>
    </row>
    <row r="2372" spans="1:16" x14ac:dyDescent="0.35">
      <c r="A2372" t="s">
        <v>2375</v>
      </c>
      <c r="B2372">
        <v>6585</v>
      </c>
      <c r="C2372">
        <v>27</v>
      </c>
      <c r="D2372">
        <v>68</v>
      </c>
      <c r="E2372">
        <v>555</v>
      </c>
      <c r="F2372">
        <v>618</v>
      </c>
      <c r="K2372" s="1">
        <f t="shared" si="227"/>
        <v>555</v>
      </c>
      <c r="L2372" s="1" t="str">
        <f t="shared" si="228"/>
        <v>Normal</v>
      </c>
      <c r="M2372" s="2">
        <f t="shared" si="229"/>
        <v>63.749999999999993</v>
      </c>
      <c r="N2372" s="1" t="str">
        <f t="shared" si="230"/>
        <v>Lembab</v>
      </c>
      <c r="O2372" t="str">
        <f t="shared" si="231"/>
        <v>Fuzzy</v>
      </c>
      <c r="P2372" t="str">
        <f t="shared" si="232"/>
        <v>Fuzzy</v>
      </c>
    </row>
    <row r="2373" spans="1:16" x14ac:dyDescent="0.35">
      <c r="A2373" t="s">
        <v>2376</v>
      </c>
      <c r="B2373">
        <v>6586</v>
      </c>
      <c r="C2373">
        <v>27</v>
      </c>
      <c r="D2373">
        <v>70</v>
      </c>
      <c r="E2373">
        <v>308</v>
      </c>
      <c r="F2373">
        <v>618</v>
      </c>
      <c r="K2373" s="1">
        <f t="shared" si="227"/>
        <v>308</v>
      </c>
      <c r="L2373" s="1" t="str">
        <f t="shared" si="228"/>
        <v>Normal</v>
      </c>
      <c r="M2373" s="2">
        <f t="shared" si="229"/>
        <v>2</v>
      </c>
      <c r="N2373" s="1" t="str">
        <f t="shared" si="230"/>
        <v>Kering</v>
      </c>
      <c r="O2373" t="str">
        <f t="shared" si="231"/>
        <v>Fuzzy</v>
      </c>
      <c r="P2373" t="str">
        <f t="shared" si="232"/>
        <v>Fuzzy</v>
      </c>
    </row>
    <row r="2374" spans="1:16" x14ac:dyDescent="0.35">
      <c r="A2374" t="s">
        <v>2377</v>
      </c>
      <c r="B2374">
        <v>6587</v>
      </c>
      <c r="C2374">
        <v>27</v>
      </c>
      <c r="D2374">
        <v>70</v>
      </c>
      <c r="E2374">
        <v>422</v>
      </c>
      <c r="F2374">
        <v>618</v>
      </c>
      <c r="K2374" s="1">
        <f t="shared" si="227"/>
        <v>422</v>
      </c>
      <c r="L2374" s="1" t="str">
        <f t="shared" si="228"/>
        <v>Normal</v>
      </c>
      <c r="M2374" s="2">
        <f t="shared" si="229"/>
        <v>30.5</v>
      </c>
      <c r="N2374" s="1" t="str">
        <f t="shared" si="230"/>
        <v>Lembab</v>
      </c>
      <c r="O2374" t="str">
        <f t="shared" si="231"/>
        <v>Fuzzy</v>
      </c>
      <c r="P2374" t="str">
        <f t="shared" si="232"/>
        <v>Fuzzy</v>
      </c>
    </row>
    <row r="2375" spans="1:16" x14ac:dyDescent="0.35">
      <c r="A2375" t="s">
        <v>2378</v>
      </c>
      <c r="B2375">
        <v>6588</v>
      </c>
      <c r="C2375">
        <v>27</v>
      </c>
      <c r="D2375">
        <v>71</v>
      </c>
      <c r="E2375">
        <v>451</v>
      </c>
      <c r="F2375">
        <v>618</v>
      </c>
      <c r="K2375" s="1">
        <f t="shared" si="227"/>
        <v>451</v>
      </c>
      <c r="L2375" s="1" t="str">
        <f t="shared" si="228"/>
        <v>Normal</v>
      </c>
      <c r="M2375" s="2">
        <f t="shared" si="229"/>
        <v>37.75</v>
      </c>
      <c r="N2375" s="1" t="str">
        <f t="shared" si="230"/>
        <v>Lembab</v>
      </c>
      <c r="O2375" t="str">
        <f t="shared" si="231"/>
        <v>Fuzzy</v>
      </c>
      <c r="P2375" t="str">
        <f t="shared" si="232"/>
        <v>Fuzzy</v>
      </c>
    </row>
    <row r="2376" spans="1:16" x14ac:dyDescent="0.35">
      <c r="A2376" t="s">
        <v>2379</v>
      </c>
      <c r="B2376">
        <v>6589</v>
      </c>
      <c r="C2376">
        <v>27</v>
      </c>
      <c r="D2376">
        <v>71</v>
      </c>
      <c r="E2376">
        <v>444</v>
      </c>
      <c r="F2376">
        <v>618</v>
      </c>
      <c r="K2376" s="1">
        <f t="shared" si="227"/>
        <v>444</v>
      </c>
      <c r="L2376" s="1" t="str">
        <f t="shared" si="228"/>
        <v>Normal</v>
      </c>
      <c r="M2376" s="2">
        <f t="shared" si="229"/>
        <v>36</v>
      </c>
      <c r="N2376" s="1" t="str">
        <f t="shared" si="230"/>
        <v>Lembab</v>
      </c>
      <c r="O2376" t="str">
        <f t="shared" si="231"/>
        <v>Fuzzy</v>
      </c>
      <c r="P2376" t="str">
        <f t="shared" si="232"/>
        <v>Fuzzy</v>
      </c>
    </row>
    <row r="2377" spans="1:16" x14ac:dyDescent="0.35">
      <c r="A2377" t="s">
        <v>2380</v>
      </c>
      <c r="B2377">
        <v>6590</v>
      </c>
      <c r="C2377">
        <v>27</v>
      </c>
      <c r="D2377">
        <v>72</v>
      </c>
      <c r="E2377">
        <v>441</v>
      </c>
      <c r="F2377">
        <v>618</v>
      </c>
      <c r="K2377" s="1">
        <f t="shared" si="227"/>
        <v>441</v>
      </c>
      <c r="L2377" s="1" t="str">
        <f t="shared" si="228"/>
        <v>Normal</v>
      </c>
      <c r="M2377" s="2">
        <f t="shared" si="229"/>
        <v>35.25</v>
      </c>
      <c r="N2377" s="1" t="str">
        <f t="shared" si="230"/>
        <v>Lembab</v>
      </c>
      <c r="O2377" t="str">
        <f t="shared" si="231"/>
        <v>Fuzzy</v>
      </c>
      <c r="P2377" t="str">
        <f t="shared" si="232"/>
        <v>Fuzzy</v>
      </c>
    </row>
    <row r="2378" spans="1:16" x14ac:dyDescent="0.35">
      <c r="A2378" t="s">
        <v>2381</v>
      </c>
      <c r="B2378">
        <v>6591</v>
      </c>
      <c r="C2378">
        <v>27</v>
      </c>
      <c r="D2378">
        <v>73</v>
      </c>
      <c r="E2378">
        <v>236</v>
      </c>
      <c r="F2378">
        <v>618</v>
      </c>
      <c r="K2378" s="1">
        <f t="shared" si="227"/>
        <v>236</v>
      </c>
      <c r="L2378" s="1" t="str">
        <f t="shared" si="228"/>
        <v>Normal</v>
      </c>
      <c r="M2378" s="2">
        <f t="shared" si="229"/>
        <v>23.069403714565002</v>
      </c>
      <c r="N2378" s="1" t="str">
        <f t="shared" si="230"/>
        <v>Kering</v>
      </c>
      <c r="O2378" t="str">
        <f t="shared" si="231"/>
        <v>Fuzzy</v>
      </c>
      <c r="P2378" t="str">
        <f t="shared" si="232"/>
        <v>Fuzzy</v>
      </c>
    </row>
    <row r="2379" spans="1:16" x14ac:dyDescent="0.35">
      <c r="A2379" t="s">
        <v>2382</v>
      </c>
      <c r="B2379">
        <v>6592</v>
      </c>
      <c r="C2379">
        <v>27</v>
      </c>
      <c r="D2379">
        <v>73</v>
      </c>
      <c r="E2379">
        <v>530</v>
      </c>
      <c r="F2379">
        <v>618</v>
      </c>
      <c r="K2379" s="1">
        <f t="shared" si="227"/>
        <v>530</v>
      </c>
      <c r="L2379" s="1" t="str">
        <f t="shared" si="228"/>
        <v>Normal</v>
      </c>
      <c r="M2379" s="2">
        <f t="shared" si="229"/>
        <v>57.499999999999993</v>
      </c>
      <c r="N2379" s="1" t="str">
        <f t="shared" si="230"/>
        <v>Lembab</v>
      </c>
      <c r="O2379" t="str">
        <f t="shared" si="231"/>
        <v>Fuzzy</v>
      </c>
      <c r="P2379" t="str">
        <f t="shared" si="232"/>
        <v>Fuzzy</v>
      </c>
    </row>
    <row r="2380" spans="1:16" x14ac:dyDescent="0.35">
      <c r="A2380" t="s">
        <v>2383</v>
      </c>
      <c r="B2380">
        <v>6593</v>
      </c>
      <c r="C2380">
        <v>27</v>
      </c>
      <c r="D2380">
        <v>74</v>
      </c>
      <c r="E2380">
        <v>510</v>
      </c>
      <c r="F2380">
        <v>618</v>
      </c>
      <c r="K2380" s="1">
        <f t="shared" si="227"/>
        <v>510</v>
      </c>
      <c r="L2380" s="1" t="str">
        <f t="shared" si="228"/>
        <v>Normal</v>
      </c>
      <c r="M2380" s="2">
        <f t="shared" si="229"/>
        <v>52.5</v>
      </c>
      <c r="N2380" s="1" t="str">
        <f t="shared" si="230"/>
        <v>Lembab</v>
      </c>
      <c r="O2380" t="str">
        <f t="shared" si="231"/>
        <v>Fuzzy</v>
      </c>
      <c r="P2380" t="str">
        <f t="shared" si="232"/>
        <v>Fuzzy</v>
      </c>
    </row>
    <row r="2381" spans="1:16" x14ac:dyDescent="0.35">
      <c r="A2381" t="s">
        <v>2384</v>
      </c>
      <c r="B2381">
        <v>6594</v>
      </c>
      <c r="C2381">
        <v>27</v>
      </c>
      <c r="D2381">
        <v>77</v>
      </c>
      <c r="E2381">
        <v>454</v>
      </c>
      <c r="F2381">
        <v>618</v>
      </c>
      <c r="K2381" s="1">
        <f t="shared" ref="K2381:K2444" si="233">IF(E2381&lt;=1023, E2381, "")</f>
        <v>454</v>
      </c>
      <c r="L2381" s="1" t="str">
        <f t="shared" si="228"/>
        <v>Normal</v>
      </c>
      <c r="M2381" s="2">
        <f t="shared" si="229"/>
        <v>38.5</v>
      </c>
      <c r="N2381" s="1" t="str">
        <f t="shared" si="230"/>
        <v>Lembab</v>
      </c>
      <c r="O2381" t="str">
        <f t="shared" si="231"/>
        <v>Fuzzy</v>
      </c>
      <c r="P2381" t="str">
        <f t="shared" si="232"/>
        <v>Fuzzy</v>
      </c>
    </row>
    <row r="2382" spans="1:16" x14ac:dyDescent="0.35">
      <c r="A2382" t="s">
        <v>2385</v>
      </c>
      <c r="B2382">
        <v>6595</v>
      </c>
      <c r="C2382">
        <v>27</v>
      </c>
      <c r="D2382">
        <v>77</v>
      </c>
      <c r="E2382">
        <v>384</v>
      </c>
      <c r="F2382">
        <v>618</v>
      </c>
      <c r="K2382" s="1">
        <f t="shared" si="233"/>
        <v>384</v>
      </c>
      <c r="L2382" s="1" t="str">
        <f t="shared" si="228"/>
        <v>Normal</v>
      </c>
      <c r="M2382" s="2">
        <f t="shared" si="229"/>
        <v>21</v>
      </c>
      <c r="N2382" s="1" t="str">
        <f t="shared" si="230"/>
        <v>Kering</v>
      </c>
      <c r="O2382" t="str">
        <f t="shared" si="231"/>
        <v>Fuzzy</v>
      </c>
      <c r="P2382" t="str">
        <f t="shared" si="232"/>
        <v>Fuzzy</v>
      </c>
    </row>
    <row r="2383" spans="1:16" x14ac:dyDescent="0.35">
      <c r="A2383" t="s">
        <v>2386</v>
      </c>
      <c r="B2383">
        <v>6596</v>
      </c>
      <c r="C2383">
        <v>27</v>
      </c>
      <c r="D2383">
        <v>77</v>
      </c>
      <c r="E2383">
        <v>476</v>
      </c>
      <c r="F2383">
        <v>618</v>
      </c>
      <c r="K2383" s="1">
        <f t="shared" si="233"/>
        <v>476</v>
      </c>
      <c r="L2383" s="1" t="str">
        <f t="shared" si="228"/>
        <v>Normal</v>
      </c>
      <c r="M2383" s="2">
        <f t="shared" si="229"/>
        <v>44</v>
      </c>
      <c r="N2383" s="1" t="str">
        <f t="shared" si="230"/>
        <v>Lembab</v>
      </c>
      <c r="O2383" t="str">
        <f t="shared" si="231"/>
        <v>Fuzzy</v>
      </c>
      <c r="P2383" t="str">
        <f t="shared" si="232"/>
        <v>Fuzzy</v>
      </c>
    </row>
    <row r="2384" spans="1:16" x14ac:dyDescent="0.35">
      <c r="A2384" t="s">
        <v>2387</v>
      </c>
      <c r="B2384">
        <v>6597</v>
      </c>
      <c r="C2384">
        <v>27</v>
      </c>
      <c r="D2384">
        <v>77</v>
      </c>
      <c r="E2384">
        <v>449</v>
      </c>
      <c r="F2384">
        <v>618</v>
      </c>
      <c r="K2384" s="1">
        <f t="shared" si="233"/>
        <v>449</v>
      </c>
      <c r="L2384" s="1" t="str">
        <f t="shared" si="228"/>
        <v>Normal</v>
      </c>
      <c r="M2384" s="2">
        <f t="shared" si="229"/>
        <v>37.25</v>
      </c>
      <c r="N2384" s="1" t="str">
        <f t="shared" si="230"/>
        <v>Lembab</v>
      </c>
      <c r="O2384" t="str">
        <f t="shared" si="231"/>
        <v>Fuzzy</v>
      </c>
      <c r="P2384" t="str">
        <f t="shared" si="232"/>
        <v>Fuzzy</v>
      </c>
    </row>
    <row r="2385" spans="1:16" x14ac:dyDescent="0.35">
      <c r="A2385" t="s">
        <v>2388</v>
      </c>
      <c r="B2385">
        <v>6598</v>
      </c>
      <c r="C2385">
        <v>27</v>
      </c>
      <c r="D2385">
        <v>77</v>
      </c>
      <c r="E2385">
        <v>468</v>
      </c>
      <c r="F2385">
        <v>618</v>
      </c>
      <c r="K2385" s="1">
        <f t="shared" si="233"/>
        <v>468</v>
      </c>
      <c r="L2385" s="1" t="str">
        <f t="shared" si="228"/>
        <v>Normal</v>
      </c>
      <c r="M2385" s="2">
        <f t="shared" si="229"/>
        <v>42</v>
      </c>
      <c r="N2385" s="1" t="str">
        <f t="shared" si="230"/>
        <v>Lembab</v>
      </c>
      <c r="O2385" t="str">
        <f t="shared" si="231"/>
        <v>Fuzzy</v>
      </c>
      <c r="P2385" t="str">
        <f t="shared" si="232"/>
        <v>Fuzzy</v>
      </c>
    </row>
    <row r="2386" spans="1:16" x14ac:dyDescent="0.35">
      <c r="A2386" t="s">
        <v>2389</v>
      </c>
      <c r="B2386">
        <v>6599</v>
      </c>
      <c r="C2386">
        <v>27</v>
      </c>
      <c r="D2386">
        <v>76</v>
      </c>
      <c r="E2386">
        <v>439</v>
      </c>
      <c r="F2386">
        <v>618</v>
      </c>
      <c r="K2386" s="1">
        <f t="shared" si="233"/>
        <v>439</v>
      </c>
      <c r="L2386" s="1" t="str">
        <f t="shared" si="228"/>
        <v>Normal</v>
      </c>
      <c r="M2386" s="2">
        <f t="shared" si="229"/>
        <v>34.75</v>
      </c>
      <c r="N2386" s="1" t="str">
        <f t="shared" si="230"/>
        <v>Lembab</v>
      </c>
      <c r="O2386" t="str">
        <f t="shared" si="231"/>
        <v>Fuzzy</v>
      </c>
      <c r="P2386" t="str">
        <f t="shared" si="232"/>
        <v>Fuzzy</v>
      </c>
    </row>
    <row r="2387" spans="1:16" x14ac:dyDescent="0.35">
      <c r="A2387" t="s">
        <v>2390</v>
      </c>
      <c r="B2387">
        <v>6600</v>
      </c>
      <c r="C2387">
        <v>27</v>
      </c>
      <c r="D2387">
        <v>76</v>
      </c>
      <c r="E2387">
        <v>445</v>
      </c>
      <c r="F2387">
        <v>619</v>
      </c>
      <c r="K2387" s="1">
        <f t="shared" si="233"/>
        <v>445</v>
      </c>
      <c r="L2387" s="1" t="str">
        <f t="shared" si="228"/>
        <v>Normal</v>
      </c>
      <c r="M2387" s="2">
        <f t="shared" si="229"/>
        <v>36.25</v>
      </c>
      <c r="N2387" s="1" t="str">
        <f t="shared" si="230"/>
        <v>Lembab</v>
      </c>
      <c r="O2387" t="str">
        <f t="shared" si="231"/>
        <v>Fuzzy</v>
      </c>
      <c r="P2387" t="str">
        <f t="shared" si="232"/>
        <v>Fuzzy</v>
      </c>
    </row>
    <row r="2388" spans="1:16" x14ac:dyDescent="0.35">
      <c r="A2388" t="s">
        <v>2391</v>
      </c>
      <c r="B2388">
        <v>6601</v>
      </c>
      <c r="C2388">
        <v>27</v>
      </c>
      <c r="D2388">
        <v>77</v>
      </c>
      <c r="E2388">
        <v>461</v>
      </c>
      <c r="F2388">
        <v>618</v>
      </c>
      <c r="K2388" s="1">
        <f t="shared" si="233"/>
        <v>461</v>
      </c>
      <c r="L2388" s="1" t="str">
        <f t="shared" si="228"/>
        <v>Normal</v>
      </c>
      <c r="M2388" s="2">
        <f t="shared" si="229"/>
        <v>40.25</v>
      </c>
      <c r="N2388" s="1" t="str">
        <f t="shared" si="230"/>
        <v>Lembab</v>
      </c>
      <c r="O2388" t="str">
        <f t="shared" si="231"/>
        <v>Fuzzy</v>
      </c>
      <c r="P2388" t="str">
        <f t="shared" si="232"/>
        <v>Fuzzy</v>
      </c>
    </row>
    <row r="2389" spans="1:16" x14ac:dyDescent="0.35">
      <c r="A2389" t="s">
        <v>2392</v>
      </c>
      <c r="B2389">
        <v>6602</v>
      </c>
      <c r="C2389">
        <v>27</v>
      </c>
      <c r="D2389">
        <v>77</v>
      </c>
      <c r="E2389">
        <v>471</v>
      </c>
      <c r="F2389">
        <v>619</v>
      </c>
      <c r="K2389" s="1">
        <f t="shared" si="233"/>
        <v>471</v>
      </c>
      <c r="L2389" s="1" t="str">
        <f t="shared" si="228"/>
        <v>Normal</v>
      </c>
      <c r="M2389" s="2">
        <f t="shared" si="229"/>
        <v>42.75</v>
      </c>
      <c r="N2389" s="1" t="str">
        <f t="shared" si="230"/>
        <v>Lembab</v>
      </c>
      <c r="O2389" t="str">
        <f t="shared" si="231"/>
        <v>Fuzzy</v>
      </c>
      <c r="P2389" t="str">
        <f t="shared" si="232"/>
        <v>Fuzzy</v>
      </c>
    </row>
    <row r="2390" spans="1:16" x14ac:dyDescent="0.35">
      <c r="A2390" t="s">
        <v>2393</v>
      </c>
      <c r="B2390">
        <v>6603</v>
      </c>
      <c r="C2390">
        <v>27</v>
      </c>
      <c r="D2390">
        <v>77</v>
      </c>
      <c r="E2390">
        <v>412</v>
      </c>
      <c r="F2390">
        <v>619</v>
      </c>
      <c r="K2390" s="1">
        <f t="shared" si="233"/>
        <v>412</v>
      </c>
      <c r="L2390" s="1" t="str">
        <f t="shared" si="228"/>
        <v>Normal</v>
      </c>
      <c r="M2390" s="2">
        <f t="shared" si="229"/>
        <v>28.000000000000004</v>
      </c>
      <c r="N2390" s="1" t="str">
        <f t="shared" si="230"/>
        <v>Kering</v>
      </c>
      <c r="O2390" t="str">
        <f t="shared" si="231"/>
        <v>Fuzzy</v>
      </c>
      <c r="P2390" t="str">
        <f t="shared" si="232"/>
        <v>Fuzzy</v>
      </c>
    </row>
    <row r="2391" spans="1:16" x14ac:dyDescent="0.35">
      <c r="A2391" t="s">
        <v>2394</v>
      </c>
      <c r="B2391">
        <v>6604</v>
      </c>
      <c r="C2391">
        <v>27</v>
      </c>
      <c r="D2391">
        <v>77</v>
      </c>
      <c r="E2391">
        <v>465</v>
      </c>
      <c r="F2391">
        <v>619</v>
      </c>
      <c r="K2391" s="1">
        <f t="shared" si="233"/>
        <v>465</v>
      </c>
      <c r="L2391" s="1" t="str">
        <f t="shared" si="228"/>
        <v>Normal</v>
      </c>
      <c r="M2391" s="2">
        <f t="shared" si="229"/>
        <v>41.25</v>
      </c>
      <c r="N2391" s="1" t="str">
        <f t="shared" si="230"/>
        <v>Lembab</v>
      </c>
      <c r="O2391" t="str">
        <f t="shared" si="231"/>
        <v>Fuzzy</v>
      </c>
      <c r="P2391" t="str">
        <f t="shared" si="232"/>
        <v>Fuzzy</v>
      </c>
    </row>
    <row r="2392" spans="1:16" x14ac:dyDescent="0.35">
      <c r="A2392" t="s">
        <v>2395</v>
      </c>
      <c r="B2392">
        <v>6605</v>
      </c>
      <c r="C2392">
        <v>27</v>
      </c>
      <c r="D2392">
        <v>77</v>
      </c>
      <c r="E2392">
        <v>501</v>
      </c>
      <c r="F2392">
        <v>618</v>
      </c>
      <c r="K2392" s="1">
        <f t="shared" si="233"/>
        <v>501</v>
      </c>
      <c r="L2392" s="1" t="str">
        <f t="shared" si="228"/>
        <v>Normal</v>
      </c>
      <c r="M2392" s="2">
        <f t="shared" si="229"/>
        <v>50.249999999999993</v>
      </c>
      <c r="N2392" s="1" t="str">
        <f t="shared" si="230"/>
        <v>Lembab</v>
      </c>
      <c r="O2392" t="str">
        <f t="shared" si="231"/>
        <v>Fuzzy</v>
      </c>
      <c r="P2392" t="str">
        <f t="shared" si="232"/>
        <v>Fuzzy</v>
      </c>
    </row>
    <row r="2393" spans="1:16" x14ac:dyDescent="0.35">
      <c r="A2393" t="s">
        <v>2396</v>
      </c>
      <c r="B2393">
        <v>6606</v>
      </c>
      <c r="C2393">
        <v>27</v>
      </c>
      <c r="D2393">
        <v>75</v>
      </c>
      <c r="E2393">
        <v>408</v>
      </c>
      <c r="F2393">
        <v>618</v>
      </c>
      <c r="K2393" s="1">
        <f t="shared" si="233"/>
        <v>408</v>
      </c>
      <c r="L2393" s="1" t="str">
        <f t="shared" si="228"/>
        <v>Normal</v>
      </c>
      <c r="M2393" s="2">
        <f t="shared" si="229"/>
        <v>27</v>
      </c>
      <c r="N2393" s="1" t="str">
        <f t="shared" si="230"/>
        <v>Kering</v>
      </c>
      <c r="O2393" t="str">
        <f t="shared" si="231"/>
        <v>Fuzzy</v>
      </c>
      <c r="P2393" t="str">
        <f t="shared" si="232"/>
        <v>Fuzzy</v>
      </c>
    </row>
    <row r="2394" spans="1:16" x14ac:dyDescent="0.35">
      <c r="A2394" t="s">
        <v>2397</v>
      </c>
      <c r="B2394">
        <v>6607</v>
      </c>
      <c r="C2394">
        <v>27</v>
      </c>
      <c r="D2394">
        <v>74</v>
      </c>
      <c r="E2394">
        <v>396</v>
      </c>
      <c r="F2394">
        <v>619</v>
      </c>
      <c r="K2394" s="1">
        <f t="shared" si="233"/>
        <v>396</v>
      </c>
      <c r="L2394" s="1" t="str">
        <f t="shared" si="228"/>
        <v>Normal</v>
      </c>
      <c r="M2394" s="2">
        <f t="shared" si="229"/>
        <v>24</v>
      </c>
      <c r="N2394" s="1" t="str">
        <f t="shared" si="230"/>
        <v>Kering</v>
      </c>
      <c r="O2394" t="str">
        <f t="shared" si="231"/>
        <v>Fuzzy</v>
      </c>
      <c r="P2394" t="str">
        <f t="shared" si="232"/>
        <v>Fuzzy</v>
      </c>
    </row>
    <row r="2395" spans="1:16" x14ac:dyDescent="0.35">
      <c r="A2395" t="s">
        <v>2398</v>
      </c>
      <c r="B2395">
        <v>6608</v>
      </c>
      <c r="C2395">
        <v>27</v>
      </c>
      <c r="D2395">
        <v>73</v>
      </c>
      <c r="E2395">
        <v>482</v>
      </c>
      <c r="F2395">
        <v>617</v>
      </c>
      <c r="K2395" s="1">
        <f t="shared" si="233"/>
        <v>482</v>
      </c>
      <c r="L2395" s="1" t="str">
        <f t="shared" si="228"/>
        <v>Normal</v>
      </c>
      <c r="M2395" s="2">
        <f t="shared" si="229"/>
        <v>45.5</v>
      </c>
      <c r="N2395" s="1" t="str">
        <f t="shared" si="230"/>
        <v>Lembab</v>
      </c>
      <c r="O2395" t="str">
        <f t="shared" si="231"/>
        <v>Fuzzy</v>
      </c>
      <c r="P2395" t="str">
        <f t="shared" si="232"/>
        <v>Fuzzy</v>
      </c>
    </row>
    <row r="2396" spans="1:16" x14ac:dyDescent="0.35">
      <c r="A2396" t="s">
        <v>2399</v>
      </c>
      <c r="B2396">
        <v>6609</v>
      </c>
      <c r="C2396">
        <v>27</v>
      </c>
      <c r="D2396">
        <v>72</v>
      </c>
      <c r="E2396">
        <v>472</v>
      </c>
      <c r="F2396">
        <v>618</v>
      </c>
      <c r="K2396" s="1">
        <f t="shared" si="233"/>
        <v>472</v>
      </c>
      <c r="L2396" s="1" t="str">
        <f t="shared" si="228"/>
        <v>Normal</v>
      </c>
      <c r="M2396" s="2">
        <f t="shared" si="229"/>
        <v>43</v>
      </c>
      <c r="N2396" s="1" t="str">
        <f t="shared" si="230"/>
        <v>Lembab</v>
      </c>
      <c r="O2396" t="str">
        <f t="shared" si="231"/>
        <v>Fuzzy</v>
      </c>
      <c r="P2396" t="str">
        <f t="shared" si="232"/>
        <v>Fuzzy</v>
      </c>
    </row>
    <row r="2397" spans="1:16" x14ac:dyDescent="0.35">
      <c r="A2397" t="s">
        <v>2400</v>
      </c>
      <c r="B2397">
        <v>6610</v>
      </c>
      <c r="C2397">
        <v>27</v>
      </c>
      <c r="D2397">
        <v>70</v>
      </c>
      <c r="E2397">
        <v>303</v>
      </c>
      <c r="F2397">
        <v>619</v>
      </c>
      <c r="K2397" s="1">
        <f t="shared" si="233"/>
        <v>303</v>
      </c>
      <c r="L2397" s="1" t="str">
        <f t="shared" si="228"/>
        <v>Normal</v>
      </c>
      <c r="M2397" s="2">
        <f t="shared" si="229"/>
        <v>0.75</v>
      </c>
      <c r="N2397" s="1" t="str">
        <f t="shared" si="230"/>
        <v>Kering</v>
      </c>
      <c r="O2397" t="str">
        <f t="shared" si="231"/>
        <v>Fuzzy</v>
      </c>
      <c r="P2397" t="str">
        <f t="shared" si="232"/>
        <v>Fuzzy</v>
      </c>
    </row>
    <row r="2398" spans="1:16" x14ac:dyDescent="0.35">
      <c r="A2398" t="s">
        <v>2401</v>
      </c>
      <c r="B2398">
        <v>6611</v>
      </c>
      <c r="C2398">
        <v>27</v>
      </c>
      <c r="D2398">
        <v>70</v>
      </c>
      <c r="E2398">
        <v>592</v>
      </c>
      <c r="F2398">
        <v>618</v>
      </c>
      <c r="K2398" s="1">
        <f t="shared" si="233"/>
        <v>592</v>
      </c>
      <c r="L2398" s="1" t="str">
        <f t="shared" si="228"/>
        <v>Normal</v>
      </c>
      <c r="M2398" s="2">
        <f t="shared" si="229"/>
        <v>73</v>
      </c>
      <c r="N2398" s="1" t="str">
        <f t="shared" si="230"/>
        <v>Basah</v>
      </c>
      <c r="O2398" t="str">
        <f t="shared" si="231"/>
        <v>Fuzzy</v>
      </c>
      <c r="P2398" t="str">
        <f t="shared" si="232"/>
        <v>Fuzzy</v>
      </c>
    </row>
    <row r="2399" spans="1:16" x14ac:dyDescent="0.35">
      <c r="A2399" t="s">
        <v>2402</v>
      </c>
      <c r="B2399">
        <v>6612</v>
      </c>
      <c r="C2399">
        <v>27</v>
      </c>
      <c r="D2399">
        <v>70</v>
      </c>
      <c r="E2399">
        <v>469</v>
      </c>
      <c r="F2399">
        <v>619</v>
      </c>
      <c r="K2399" s="1">
        <f t="shared" si="233"/>
        <v>469</v>
      </c>
      <c r="L2399" s="1" t="str">
        <f t="shared" si="228"/>
        <v>Normal</v>
      </c>
      <c r="M2399" s="2">
        <f t="shared" si="229"/>
        <v>42.25</v>
      </c>
      <c r="N2399" s="1" t="str">
        <f t="shared" si="230"/>
        <v>Lembab</v>
      </c>
      <c r="O2399" t="str">
        <f t="shared" si="231"/>
        <v>Fuzzy</v>
      </c>
      <c r="P2399" t="str">
        <f t="shared" si="232"/>
        <v>Fuzzy</v>
      </c>
    </row>
    <row r="2400" spans="1:16" x14ac:dyDescent="0.35">
      <c r="A2400" t="s">
        <v>2403</v>
      </c>
      <c r="B2400">
        <v>6613</v>
      </c>
      <c r="C2400">
        <v>27</v>
      </c>
      <c r="D2400">
        <v>68</v>
      </c>
      <c r="E2400">
        <v>378</v>
      </c>
      <c r="F2400">
        <v>618</v>
      </c>
      <c r="K2400" s="1">
        <f t="shared" si="233"/>
        <v>378</v>
      </c>
      <c r="L2400" s="1" t="str">
        <f t="shared" si="228"/>
        <v>Normal</v>
      </c>
      <c r="M2400" s="2">
        <f t="shared" si="229"/>
        <v>19.5</v>
      </c>
      <c r="N2400" s="1" t="str">
        <f t="shared" si="230"/>
        <v>Kering</v>
      </c>
      <c r="O2400" t="str">
        <f t="shared" si="231"/>
        <v>Fuzzy</v>
      </c>
      <c r="P2400" t="str">
        <f t="shared" si="232"/>
        <v>Fuzzy</v>
      </c>
    </row>
    <row r="2401" spans="1:16" x14ac:dyDescent="0.35">
      <c r="A2401" t="s">
        <v>2404</v>
      </c>
      <c r="B2401">
        <v>6614</v>
      </c>
      <c r="C2401">
        <v>27</v>
      </c>
      <c r="D2401">
        <v>69</v>
      </c>
      <c r="E2401">
        <v>495</v>
      </c>
      <c r="F2401">
        <v>618</v>
      </c>
      <c r="K2401" s="1">
        <f t="shared" si="233"/>
        <v>495</v>
      </c>
      <c r="L2401" s="1" t="str">
        <f t="shared" si="228"/>
        <v>Normal</v>
      </c>
      <c r="M2401" s="2">
        <f t="shared" si="229"/>
        <v>48.75</v>
      </c>
      <c r="N2401" s="1" t="str">
        <f t="shared" si="230"/>
        <v>Lembab</v>
      </c>
      <c r="O2401" t="str">
        <f t="shared" si="231"/>
        <v>Fuzzy</v>
      </c>
      <c r="P2401" t="str">
        <f t="shared" si="232"/>
        <v>Fuzzy</v>
      </c>
    </row>
    <row r="2402" spans="1:16" x14ac:dyDescent="0.35">
      <c r="A2402" t="s">
        <v>2405</v>
      </c>
      <c r="B2402">
        <v>6615</v>
      </c>
      <c r="C2402">
        <v>27</v>
      </c>
      <c r="D2402">
        <v>71</v>
      </c>
      <c r="E2402">
        <v>449</v>
      </c>
      <c r="F2402">
        <v>618</v>
      </c>
      <c r="K2402" s="1">
        <f t="shared" si="233"/>
        <v>449</v>
      </c>
      <c r="L2402" s="1" t="str">
        <f t="shared" si="228"/>
        <v>Normal</v>
      </c>
      <c r="M2402" s="2">
        <f t="shared" si="229"/>
        <v>37.25</v>
      </c>
      <c r="N2402" s="1" t="str">
        <f t="shared" si="230"/>
        <v>Lembab</v>
      </c>
      <c r="O2402" t="str">
        <f t="shared" si="231"/>
        <v>Fuzzy</v>
      </c>
      <c r="P2402" t="str">
        <f t="shared" si="232"/>
        <v>Fuzzy</v>
      </c>
    </row>
    <row r="2403" spans="1:16" x14ac:dyDescent="0.35">
      <c r="A2403" t="s">
        <v>2406</v>
      </c>
      <c r="B2403">
        <v>6616</v>
      </c>
      <c r="C2403">
        <v>27</v>
      </c>
      <c r="D2403">
        <v>71</v>
      </c>
      <c r="E2403">
        <v>358</v>
      </c>
      <c r="F2403">
        <v>618</v>
      </c>
      <c r="K2403" s="1">
        <f t="shared" si="233"/>
        <v>358</v>
      </c>
      <c r="L2403" s="1" t="str">
        <f t="shared" si="228"/>
        <v>Normal</v>
      </c>
      <c r="M2403" s="2">
        <f t="shared" si="229"/>
        <v>14.499999999999998</v>
      </c>
      <c r="N2403" s="1" t="str">
        <f t="shared" si="230"/>
        <v>Kering</v>
      </c>
      <c r="O2403" t="str">
        <f t="shared" si="231"/>
        <v>Fuzzy</v>
      </c>
      <c r="P2403" t="str">
        <f t="shared" si="232"/>
        <v>Fuzzy</v>
      </c>
    </row>
    <row r="2404" spans="1:16" x14ac:dyDescent="0.35">
      <c r="A2404" t="s">
        <v>2407</v>
      </c>
      <c r="B2404">
        <v>6617</v>
      </c>
      <c r="C2404">
        <v>27</v>
      </c>
      <c r="D2404">
        <v>71</v>
      </c>
      <c r="E2404">
        <v>423</v>
      </c>
      <c r="F2404">
        <v>618</v>
      </c>
      <c r="K2404" s="1">
        <f t="shared" si="233"/>
        <v>423</v>
      </c>
      <c r="L2404" s="1" t="str">
        <f t="shared" si="228"/>
        <v>Normal</v>
      </c>
      <c r="M2404" s="2">
        <f t="shared" si="229"/>
        <v>30.75</v>
      </c>
      <c r="N2404" s="1" t="str">
        <f t="shared" si="230"/>
        <v>Lembab</v>
      </c>
      <c r="O2404" t="str">
        <f t="shared" si="231"/>
        <v>Fuzzy</v>
      </c>
      <c r="P2404" t="str">
        <f t="shared" si="232"/>
        <v>Fuzzy</v>
      </c>
    </row>
    <row r="2405" spans="1:16" x14ac:dyDescent="0.35">
      <c r="A2405" t="s">
        <v>2408</v>
      </c>
      <c r="B2405">
        <v>6618</v>
      </c>
      <c r="C2405">
        <v>27</v>
      </c>
      <c r="D2405">
        <v>72</v>
      </c>
      <c r="E2405">
        <v>472</v>
      </c>
      <c r="F2405">
        <v>619</v>
      </c>
      <c r="K2405" s="1">
        <f t="shared" si="233"/>
        <v>472</v>
      </c>
      <c r="L2405" s="1" t="str">
        <f t="shared" si="228"/>
        <v>Normal</v>
      </c>
      <c r="M2405" s="2">
        <f t="shared" si="229"/>
        <v>43</v>
      </c>
      <c r="N2405" s="1" t="str">
        <f t="shared" si="230"/>
        <v>Lembab</v>
      </c>
      <c r="O2405" t="str">
        <f t="shared" si="231"/>
        <v>Fuzzy</v>
      </c>
      <c r="P2405" t="str">
        <f t="shared" si="232"/>
        <v>Fuzzy</v>
      </c>
    </row>
    <row r="2406" spans="1:16" x14ac:dyDescent="0.35">
      <c r="A2406" t="s">
        <v>2409</v>
      </c>
      <c r="B2406">
        <v>6619</v>
      </c>
      <c r="C2406">
        <v>27</v>
      </c>
      <c r="D2406">
        <v>72</v>
      </c>
      <c r="E2406">
        <v>501</v>
      </c>
      <c r="F2406">
        <v>618</v>
      </c>
      <c r="K2406" s="1">
        <f t="shared" si="233"/>
        <v>501</v>
      </c>
      <c r="L2406" s="1" t="str">
        <f t="shared" si="228"/>
        <v>Normal</v>
      </c>
      <c r="M2406" s="2">
        <f t="shared" si="229"/>
        <v>50.249999999999993</v>
      </c>
      <c r="N2406" s="1" t="str">
        <f t="shared" si="230"/>
        <v>Lembab</v>
      </c>
      <c r="O2406" t="str">
        <f t="shared" si="231"/>
        <v>Fuzzy</v>
      </c>
      <c r="P2406" t="str">
        <f t="shared" si="232"/>
        <v>Fuzzy</v>
      </c>
    </row>
    <row r="2407" spans="1:16" x14ac:dyDescent="0.35">
      <c r="A2407" t="s">
        <v>2410</v>
      </c>
      <c r="B2407">
        <v>6620</v>
      </c>
      <c r="C2407">
        <v>27</v>
      </c>
      <c r="D2407">
        <v>73</v>
      </c>
      <c r="E2407">
        <v>547</v>
      </c>
      <c r="F2407">
        <v>618</v>
      </c>
      <c r="K2407" s="1">
        <f t="shared" si="233"/>
        <v>547</v>
      </c>
      <c r="L2407" s="1" t="str">
        <f t="shared" si="228"/>
        <v>Normal</v>
      </c>
      <c r="M2407" s="2">
        <f t="shared" si="229"/>
        <v>61.750000000000007</v>
      </c>
      <c r="N2407" s="1" t="str">
        <f t="shared" si="230"/>
        <v>Lembab</v>
      </c>
      <c r="O2407" t="str">
        <f t="shared" si="231"/>
        <v>Fuzzy</v>
      </c>
      <c r="P2407" t="str">
        <f t="shared" si="232"/>
        <v>Fuzzy</v>
      </c>
    </row>
    <row r="2408" spans="1:16" x14ac:dyDescent="0.35">
      <c r="A2408" t="s">
        <v>2411</v>
      </c>
      <c r="B2408">
        <v>6621</v>
      </c>
      <c r="C2408">
        <v>27</v>
      </c>
      <c r="D2408">
        <v>73</v>
      </c>
      <c r="E2408">
        <v>499</v>
      </c>
      <c r="F2408">
        <v>618</v>
      </c>
      <c r="K2408" s="1">
        <f t="shared" si="233"/>
        <v>499</v>
      </c>
      <c r="L2408" s="1" t="str">
        <f t="shared" si="228"/>
        <v>Normal</v>
      </c>
      <c r="M2408" s="2">
        <f t="shared" si="229"/>
        <v>49.75</v>
      </c>
      <c r="N2408" s="1" t="str">
        <f t="shared" si="230"/>
        <v>Lembab</v>
      </c>
      <c r="O2408" t="str">
        <f t="shared" si="231"/>
        <v>Fuzzy</v>
      </c>
      <c r="P2408" t="str">
        <f t="shared" si="232"/>
        <v>Fuzzy</v>
      </c>
    </row>
    <row r="2409" spans="1:16" x14ac:dyDescent="0.35">
      <c r="A2409" t="s">
        <v>2412</v>
      </c>
      <c r="B2409">
        <v>6622</v>
      </c>
      <c r="C2409">
        <v>27</v>
      </c>
      <c r="D2409">
        <v>73</v>
      </c>
      <c r="E2409">
        <v>642</v>
      </c>
      <c r="F2409">
        <v>619</v>
      </c>
      <c r="K2409" s="1">
        <f t="shared" si="233"/>
        <v>642</v>
      </c>
      <c r="L2409" s="1" t="str">
        <f t="shared" si="228"/>
        <v>Normal</v>
      </c>
      <c r="M2409" s="2">
        <f t="shared" si="229"/>
        <v>85.5</v>
      </c>
      <c r="N2409" s="1" t="str">
        <f t="shared" si="230"/>
        <v>Basah</v>
      </c>
      <c r="O2409" t="str">
        <f t="shared" si="231"/>
        <v>Fuzzy</v>
      </c>
      <c r="P2409" t="str">
        <f t="shared" si="232"/>
        <v>Fuzzy</v>
      </c>
    </row>
    <row r="2410" spans="1:16" x14ac:dyDescent="0.35">
      <c r="A2410" t="s">
        <v>2413</v>
      </c>
      <c r="B2410">
        <v>6623</v>
      </c>
      <c r="C2410">
        <v>27</v>
      </c>
      <c r="D2410">
        <v>74</v>
      </c>
      <c r="E2410">
        <v>448</v>
      </c>
      <c r="F2410">
        <v>619</v>
      </c>
      <c r="K2410" s="1">
        <f t="shared" si="233"/>
        <v>448</v>
      </c>
      <c r="L2410" s="1" t="str">
        <f t="shared" si="228"/>
        <v>Normal</v>
      </c>
      <c r="M2410" s="2">
        <f t="shared" si="229"/>
        <v>37</v>
      </c>
      <c r="N2410" s="1" t="str">
        <f t="shared" si="230"/>
        <v>Lembab</v>
      </c>
      <c r="O2410" t="str">
        <f t="shared" si="231"/>
        <v>Fuzzy</v>
      </c>
      <c r="P2410" t="str">
        <f t="shared" si="232"/>
        <v>Fuzzy</v>
      </c>
    </row>
    <row r="2411" spans="1:16" x14ac:dyDescent="0.35">
      <c r="A2411" t="s">
        <v>2414</v>
      </c>
      <c r="B2411">
        <v>6624</v>
      </c>
      <c r="C2411">
        <v>27</v>
      </c>
      <c r="D2411">
        <v>74</v>
      </c>
      <c r="E2411">
        <v>427</v>
      </c>
      <c r="F2411">
        <v>618</v>
      </c>
      <c r="K2411" s="1">
        <f t="shared" si="233"/>
        <v>427</v>
      </c>
      <c r="L2411" s="1" t="str">
        <f t="shared" si="228"/>
        <v>Normal</v>
      </c>
      <c r="M2411" s="2">
        <f t="shared" si="229"/>
        <v>31.75</v>
      </c>
      <c r="N2411" s="1" t="str">
        <f t="shared" si="230"/>
        <v>Lembab</v>
      </c>
      <c r="O2411" t="str">
        <f t="shared" si="231"/>
        <v>Fuzzy</v>
      </c>
      <c r="P2411" t="str">
        <f t="shared" si="232"/>
        <v>Fuzzy</v>
      </c>
    </row>
    <row r="2412" spans="1:16" x14ac:dyDescent="0.35">
      <c r="A2412" t="s">
        <v>2415</v>
      </c>
      <c r="B2412">
        <v>6625</v>
      </c>
      <c r="C2412">
        <v>27</v>
      </c>
      <c r="D2412">
        <v>74</v>
      </c>
      <c r="E2412">
        <v>435</v>
      </c>
      <c r="F2412">
        <v>619</v>
      </c>
      <c r="K2412" s="1">
        <f t="shared" si="233"/>
        <v>435</v>
      </c>
      <c r="L2412" s="1" t="str">
        <f t="shared" si="228"/>
        <v>Normal</v>
      </c>
      <c r="M2412" s="2">
        <f t="shared" si="229"/>
        <v>33.75</v>
      </c>
      <c r="N2412" s="1" t="str">
        <f t="shared" si="230"/>
        <v>Lembab</v>
      </c>
      <c r="O2412" t="str">
        <f t="shared" si="231"/>
        <v>Fuzzy</v>
      </c>
      <c r="P2412" t="str">
        <f t="shared" si="232"/>
        <v>Fuzzy</v>
      </c>
    </row>
    <row r="2413" spans="1:16" x14ac:dyDescent="0.35">
      <c r="A2413" t="s">
        <v>2416</v>
      </c>
      <c r="B2413">
        <v>6626</v>
      </c>
      <c r="C2413">
        <v>27</v>
      </c>
      <c r="D2413">
        <v>74</v>
      </c>
      <c r="E2413">
        <v>493</v>
      </c>
      <c r="F2413">
        <v>619</v>
      </c>
      <c r="K2413" s="1">
        <f t="shared" si="233"/>
        <v>493</v>
      </c>
      <c r="L2413" s="1" t="str">
        <f t="shared" si="228"/>
        <v>Normal</v>
      </c>
      <c r="M2413" s="2">
        <f t="shared" si="229"/>
        <v>48.25</v>
      </c>
      <c r="N2413" s="1" t="str">
        <f t="shared" si="230"/>
        <v>Lembab</v>
      </c>
      <c r="O2413" t="str">
        <f t="shared" si="231"/>
        <v>Fuzzy</v>
      </c>
      <c r="P2413" t="str">
        <f t="shared" si="232"/>
        <v>Fuzzy</v>
      </c>
    </row>
    <row r="2414" spans="1:16" x14ac:dyDescent="0.35">
      <c r="A2414" t="s">
        <v>2417</v>
      </c>
      <c r="B2414">
        <v>6627</v>
      </c>
      <c r="C2414">
        <v>27</v>
      </c>
      <c r="D2414">
        <v>75</v>
      </c>
      <c r="E2414">
        <v>443</v>
      </c>
      <c r="F2414">
        <v>619</v>
      </c>
      <c r="K2414" s="1">
        <f t="shared" si="233"/>
        <v>443</v>
      </c>
      <c r="L2414" s="1" t="str">
        <f t="shared" si="228"/>
        <v>Normal</v>
      </c>
      <c r="M2414" s="2">
        <f t="shared" si="229"/>
        <v>35.75</v>
      </c>
      <c r="N2414" s="1" t="str">
        <f t="shared" si="230"/>
        <v>Lembab</v>
      </c>
      <c r="O2414" t="str">
        <f t="shared" si="231"/>
        <v>Fuzzy</v>
      </c>
      <c r="P2414" t="str">
        <f t="shared" si="232"/>
        <v>Fuzzy</v>
      </c>
    </row>
    <row r="2415" spans="1:16" x14ac:dyDescent="0.35">
      <c r="A2415" t="s">
        <v>2418</v>
      </c>
      <c r="B2415">
        <v>6628</v>
      </c>
      <c r="C2415">
        <v>27</v>
      </c>
      <c r="D2415">
        <v>75</v>
      </c>
      <c r="E2415">
        <v>450</v>
      </c>
      <c r="F2415">
        <v>619</v>
      </c>
      <c r="K2415" s="1">
        <f t="shared" si="233"/>
        <v>450</v>
      </c>
      <c r="L2415" s="1" t="str">
        <f t="shared" si="228"/>
        <v>Normal</v>
      </c>
      <c r="M2415" s="2">
        <f t="shared" si="229"/>
        <v>37.5</v>
      </c>
      <c r="N2415" s="1" t="str">
        <f t="shared" si="230"/>
        <v>Lembab</v>
      </c>
      <c r="O2415" t="str">
        <f t="shared" si="231"/>
        <v>Fuzzy</v>
      </c>
      <c r="P2415" t="str">
        <f t="shared" si="232"/>
        <v>Fuzzy</v>
      </c>
    </row>
    <row r="2416" spans="1:16" x14ac:dyDescent="0.35">
      <c r="A2416" t="s">
        <v>2419</v>
      </c>
      <c r="B2416">
        <v>6629</v>
      </c>
      <c r="C2416">
        <v>27</v>
      </c>
      <c r="D2416">
        <v>75</v>
      </c>
      <c r="E2416">
        <v>437</v>
      </c>
      <c r="F2416">
        <v>619</v>
      </c>
      <c r="K2416" s="1">
        <f t="shared" si="233"/>
        <v>437</v>
      </c>
      <c r="L2416" s="1" t="str">
        <f t="shared" si="228"/>
        <v>Normal</v>
      </c>
      <c r="M2416" s="2">
        <f t="shared" si="229"/>
        <v>34.25</v>
      </c>
      <c r="N2416" s="1" t="str">
        <f t="shared" si="230"/>
        <v>Lembab</v>
      </c>
      <c r="O2416" t="str">
        <f t="shared" si="231"/>
        <v>Fuzzy</v>
      </c>
      <c r="P2416" t="str">
        <f t="shared" si="232"/>
        <v>Fuzzy</v>
      </c>
    </row>
    <row r="2417" spans="1:16" x14ac:dyDescent="0.35">
      <c r="A2417" t="s">
        <v>2420</v>
      </c>
      <c r="B2417">
        <v>6630</v>
      </c>
      <c r="C2417">
        <v>27</v>
      </c>
      <c r="D2417">
        <v>75</v>
      </c>
      <c r="E2417">
        <v>456</v>
      </c>
      <c r="F2417">
        <v>619</v>
      </c>
      <c r="K2417" s="1">
        <f t="shared" si="233"/>
        <v>456</v>
      </c>
      <c r="L2417" s="1" t="str">
        <f t="shared" si="228"/>
        <v>Normal</v>
      </c>
      <c r="M2417" s="2">
        <f t="shared" si="229"/>
        <v>39</v>
      </c>
      <c r="N2417" s="1" t="str">
        <f t="shared" si="230"/>
        <v>Lembab</v>
      </c>
      <c r="O2417" t="str">
        <f t="shared" si="231"/>
        <v>Fuzzy</v>
      </c>
      <c r="P2417" t="str">
        <f t="shared" si="232"/>
        <v>Fuzzy</v>
      </c>
    </row>
    <row r="2418" spans="1:16" x14ac:dyDescent="0.35">
      <c r="A2418" t="s">
        <v>2421</v>
      </c>
      <c r="B2418">
        <v>6631</v>
      </c>
      <c r="C2418">
        <v>27</v>
      </c>
      <c r="D2418">
        <v>75</v>
      </c>
      <c r="E2418">
        <v>467</v>
      </c>
      <c r="F2418">
        <v>619</v>
      </c>
      <c r="K2418" s="1">
        <f t="shared" si="233"/>
        <v>467</v>
      </c>
      <c r="L2418" s="1" t="str">
        <f t="shared" si="228"/>
        <v>Normal</v>
      </c>
      <c r="M2418" s="2">
        <f t="shared" si="229"/>
        <v>41.75</v>
      </c>
      <c r="N2418" s="1" t="str">
        <f t="shared" si="230"/>
        <v>Lembab</v>
      </c>
      <c r="O2418" t="str">
        <f t="shared" si="231"/>
        <v>Fuzzy</v>
      </c>
      <c r="P2418" t="str">
        <f t="shared" si="232"/>
        <v>Fuzzy</v>
      </c>
    </row>
    <row r="2419" spans="1:16" x14ac:dyDescent="0.35">
      <c r="A2419" t="s">
        <v>2422</v>
      </c>
      <c r="B2419">
        <v>6632</v>
      </c>
      <c r="C2419">
        <v>27</v>
      </c>
      <c r="D2419">
        <v>76</v>
      </c>
      <c r="E2419">
        <v>446</v>
      </c>
      <c r="F2419">
        <v>619</v>
      </c>
      <c r="K2419" s="1">
        <f t="shared" si="233"/>
        <v>446</v>
      </c>
      <c r="L2419" s="1" t="str">
        <f t="shared" si="228"/>
        <v>Normal</v>
      </c>
      <c r="M2419" s="2">
        <f t="shared" si="229"/>
        <v>36.5</v>
      </c>
      <c r="N2419" s="1" t="str">
        <f t="shared" si="230"/>
        <v>Lembab</v>
      </c>
      <c r="O2419" t="str">
        <f t="shared" si="231"/>
        <v>Fuzzy</v>
      </c>
      <c r="P2419" t="str">
        <f t="shared" si="232"/>
        <v>Fuzzy</v>
      </c>
    </row>
    <row r="2420" spans="1:16" x14ac:dyDescent="0.35">
      <c r="A2420" t="s">
        <v>2423</v>
      </c>
      <c r="B2420">
        <v>6633</v>
      </c>
      <c r="C2420">
        <v>27</v>
      </c>
      <c r="D2420">
        <v>75</v>
      </c>
      <c r="E2420">
        <v>518</v>
      </c>
      <c r="F2420">
        <v>619</v>
      </c>
      <c r="K2420" s="1">
        <f t="shared" si="233"/>
        <v>518</v>
      </c>
      <c r="L2420" s="1" t="str">
        <f t="shared" si="228"/>
        <v>Normal</v>
      </c>
      <c r="M2420" s="2">
        <f t="shared" si="229"/>
        <v>54.500000000000007</v>
      </c>
      <c r="N2420" s="1" t="str">
        <f t="shared" si="230"/>
        <v>Lembab</v>
      </c>
      <c r="O2420" t="str">
        <f t="shared" si="231"/>
        <v>Fuzzy</v>
      </c>
      <c r="P2420" t="str">
        <f t="shared" si="232"/>
        <v>Fuzzy</v>
      </c>
    </row>
    <row r="2421" spans="1:16" x14ac:dyDescent="0.35">
      <c r="A2421" t="s">
        <v>2424</v>
      </c>
      <c r="B2421">
        <v>6634</v>
      </c>
      <c r="C2421">
        <v>27</v>
      </c>
      <c r="D2421">
        <v>75</v>
      </c>
      <c r="E2421">
        <v>501</v>
      </c>
      <c r="F2421">
        <v>619</v>
      </c>
      <c r="K2421" s="1">
        <f t="shared" si="233"/>
        <v>501</v>
      </c>
      <c r="L2421" s="1" t="str">
        <f t="shared" si="228"/>
        <v>Normal</v>
      </c>
      <c r="M2421" s="2">
        <f t="shared" si="229"/>
        <v>50.249999999999993</v>
      </c>
      <c r="N2421" s="1" t="str">
        <f t="shared" si="230"/>
        <v>Lembab</v>
      </c>
      <c r="O2421" t="str">
        <f t="shared" si="231"/>
        <v>Fuzzy</v>
      </c>
      <c r="P2421" t="str">
        <f t="shared" si="232"/>
        <v>Fuzzy</v>
      </c>
    </row>
    <row r="2422" spans="1:16" x14ac:dyDescent="0.35">
      <c r="A2422" t="s">
        <v>2425</v>
      </c>
      <c r="B2422">
        <v>6635</v>
      </c>
      <c r="C2422">
        <v>27</v>
      </c>
      <c r="D2422">
        <v>75</v>
      </c>
      <c r="E2422">
        <v>551</v>
      </c>
      <c r="F2422">
        <v>619</v>
      </c>
      <c r="K2422" s="1">
        <f t="shared" si="233"/>
        <v>551</v>
      </c>
      <c r="L2422" s="1" t="str">
        <f t="shared" si="228"/>
        <v>Normal</v>
      </c>
      <c r="M2422" s="2">
        <f t="shared" si="229"/>
        <v>62.749999999999993</v>
      </c>
      <c r="N2422" s="1" t="str">
        <f t="shared" si="230"/>
        <v>Lembab</v>
      </c>
      <c r="O2422" t="str">
        <f t="shared" si="231"/>
        <v>Fuzzy</v>
      </c>
      <c r="P2422" t="str">
        <f t="shared" si="232"/>
        <v>Fuzzy</v>
      </c>
    </row>
    <row r="2423" spans="1:16" x14ac:dyDescent="0.35">
      <c r="A2423" t="s">
        <v>2426</v>
      </c>
      <c r="B2423">
        <v>6636</v>
      </c>
      <c r="C2423">
        <v>27</v>
      </c>
      <c r="D2423">
        <v>72</v>
      </c>
      <c r="E2423">
        <v>496</v>
      </c>
      <c r="F2423">
        <v>619</v>
      </c>
      <c r="K2423" s="1">
        <f t="shared" si="233"/>
        <v>496</v>
      </c>
      <c r="L2423" s="1" t="str">
        <f t="shared" si="228"/>
        <v>Normal</v>
      </c>
      <c r="M2423" s="2">
        <f t="shared" si="229"/>
        <v>49</v>
      </c>
      <c r="N2423" s="1" t="str">
        <f t="shared" si="230"/>
        <v>Lembab</v>
      </c>
      <c r="O2423" t="str">
        <f t="shared" si="231"/>
        <v>Fuzzy</v>
      </c>
      <c r="P2423" t="str">
        <f t="shared" si="232"/>
        <v>Fuzzy</v>
      </c>
    </row>
    <row r="2424" spans="1:16" x14ac:dyDescent="0.35">
      <c r="A2424" t="s">
        <v>2427</v>
      </c>
      <c r="B2424">
        <v>6637</v>
      </c>
      <c r="C2424">
        <v>27</v>
      </c>
      <c r="D2424">
        <v>72</v>
      </c>
      <c r="E2424">
        <v>468</v>
      </c>
      <c r="F2424">
        <v>619</v>
      </c>
      <c r="K2424" s="1">
        <f t="shared" si="233"/>
        <v>468</v>
      </c>
      <c r="L2424" s="1" t="str">
        <f t="shared" si="228"/>
        <v>Normal</v>
      </c>
      <c r="M2424" s="2">
        <f t="shared" si="229"/>
        <v>42</v>
      </c>
      <c r="N2424" s="1" t="str">
        <f t="shared" si="230"/>
        <v>Lembab</v>
      </c>
      <c r="O2424" t="str">
        <f t="shared" si="231"/>
        <v>Fuzzy</v>
      </c>
      <c r="P2424" t="str">
        <f t="shared" si="232"/>
        <v>Fuzzy</v>
      </c>
    </row>
    <row r="2425" spans="1:16" x14ac:dyDescent="0.35">
      <c r="A2425" t="s">
        <v>2428</v>
      </c>
      <c r="B2425">
        <v>6638</v>
      </c>
      <c r="C2425">
        <v>27</v>
      </c>
      <c r="D2425">
        <v>71</v>
      </c>
      <c r="E2425">
        <v>463</v>
      </c>
      <c r="F2425">
        <v>619</v>
      </c>
      <c r="K2425" s="1">
        <f t="shared" si="233"/>
        <v>463</v>
      </c>
      <c r="L2425" s="1" t="str">
        <f t="shared" si="228"/>
        <v>Normal</v>
      </c>
      <c r="M2425" s="2">
        <f t="shared" si="229"/>
        <v>40.75</v>
      </c>
      <c r="N2425" s="1" t="str">
        <f t="shared" si="230"/>
        <v>Lembab</v>
      </c>
      <c r="O2425" t="str">
        <f t="shared" si="231"/>
        <v>Fuzzy</v>
      </c>
      <c r="P2425" t="str">
        <f t="shared" si="232"/>
        <v>Fuzzy</v>
      </c>
    </row>
    <row r="2426" spans="1:16" x14ac:dyDescent="0.35">
      <c r="A2426" t="s">
        <v>2429</v>
      </c>
      <c r="B2426">
        <v>6639</v>
      </c>
      <c r="C2426">
        <v>27</v>
      </c>
      <c r="D2426">
        <v>70</v>
      </c>
      <c r="E2426">
        <v>540</v>
      </c>
      <c r="F2426">
        <v>619</v>
      </c>
      <c r="K2426" s="1">
        <f t="shared" si="233"/>
        <v>540</v>
      </c>
      <c r="L2426" s="1" t="str">
        <f t="shared" si="228"/>
        <v>Normal</v>
      </c>
      <c r="M2426" s="2">
        <f t="shared" si="229"/>
        <v>60</v>
      </c>
      <c r="N2426" s="1" t="str">
        <f t="shared" si="230"/>
        <v>Lembab</v>
      </c>
      <c r="O2426" t="str">
        <f t="shared" si="231"/>
        <v>Fuzzy</v>
      </c>
      <c r="P2426" t="str">
        <f t="shared" si="232"/>
        <v>Fuzzy</v>
      </c>
    </row>
    <row r="2427" spans="1:16" x14ac:dyDescent="0.35">
      <c r="A2427" t="s">
        <v>2430</v>
      </c>
      <c r="B2427">
        <v>6640</v>
      </c>
      <c r="C2427">
        <v>27</v>
      </c>
      <c r="D2427">
        <v>68</v>
      </c>
      <c r="E2427">
        <v>696</v>
      </c>
      <c r="F2427">
        <v>620</v>
      </c>
      <c r="K2427" s="1">
        <f t="shared" si="233"/>
        <v>696</v>
      </c>
      <c r="L2427" s="1" t="str">
        <f t="shared" si="228"/>
        <v>Normal</v>
      </c>
      <c r="M2427" s="2">
        <f t="shared" si="229"/>
        <v>99</v>
      </c>
      <c r="N2427" s="1" t="str">
        <f t="shared" si="230"/>
        <v>Basah</v>
      </c>
      <c r="O2427" t="str">
        <f t="shared" si="231"/>
        <v>Fuzzy</v>
      </c>
      <c r="P2427" t="str">
        <f t="shared" si="232"/>
        <v>Fuzzy</v>
      </c>
    </row>
    <row r="2428" spans="1:16" x14ac:dyDescent="0.35">
      <c r="A2428" t="s">
        <v>2431</v>
      </c>
      <c r="B2428">
        <v>6641</v>
      </c>
      <c r="C2428">
        <v>27</v>
      </c>
      <c r="D2428">
        <v>67</v>
      </c>
      <c r="E2428">
        <v>435</v>
      </c>
      <c r="F2428">
        <v>618</v>
      </c>
      <c r="K2428" s="1">
        <f t="shared" si="233"/>
        <v>435</v>
      </c>
      <c r="L2428" s="1" t="str">
        <f t="shared" si="228"/>
        <v>Normal</v>
      </c>
      <c r="M2428" s="2">
        <f t="shared" si="229"/>
        <v>33.75</v>
      </c>
      <c r="N2428" s="1" t="str">
        <f t="shared" si="230"/>
        <v>Lembab</v>
      </c>
      <c r="O2428" t="str">
        <f t="shared" si="231"/>
        <v>Fuzzy</v>
      </c>
      <c r="P2428" t="str">
        <f t="shared" si="232"/>
        <v>Fuzzy</v>
      </c>
    </row>
    <row r="2429" spans="1:16" x14ac:dyDescent="0.35">
      <c r="A2429" t="s">
        <v>2432</v>
      </c>
      <c r="B2429">
        <v>6642</v>
      </c>
      <c r="C2429">
        <v>27</v>
      </c>
      <c r="D2429">
        <v>66</v>
      </c>
      <c r="E2429">
        <v>475</v>
      </c>
      <c r="F2429">
        <v>618</v>
      </c>
      <c r="K2429" s="1">
        <f t="shared" si="233"/>
        <v>475</v>
      </c>
      <c r="L2429" s="1" t="str">
        <f t="shared" si="228"/>
        <v>Normal</v>
      </c>
      <c r="M2429" s="2">
        <f t="shared" si="229"/>
        <v>43.75</v>
      </c>
      <c r="N2429" s="1" t="str">
        <f t="shared" si="230"/>
        <v>Lembab</v>
      </c>
      <c r="O2429" t="str">
        <f t="shared" si="231"/>
        <v>Fuzzy</v>
      </c>
      <c r="P2429" t="str">
        <f t="shared" si="232"/>
        <v>Fuzzy</v>
      </c>
    </row>
    <row r="2430" spans="1:16" x14ac:dyDescent="0.35">
      <c r="A2430" t="s">
        <v>2433</v>
      </c>
      <c r="B2430">
        <v>6643</v>
      </c>
      <c r="C2430">
        <v>27</v>
      </c>
      <c r="D2430">
        <v>67</v>
      </c>
      <c r="E2430">
        <v>403</v>
      </c>
      <c r="F2430">
        <v>618</v>
      </c>
      <c r="K2430" s="1">
        <f t="shared" si="233"/>
        <v>403</v>
      </c>
      <c r="L2430" s="1" t="str">
        <f t="shared" si="228"/>
        <v>Normal</v>
      </c>
      <c r="M2430" s="2">
        <f t="shared" si="229"/>
        <v>25.75</v>
      </c>
      <c r="N2430" s="1" t="str">
        <f t="shared" si="230"/>
        <v>Kering</v>
      </c>
      <c r="O2430" t="str">
        <f t="shared" si="231"/>
        <v>Fuzzy</v>
      </c>
      <c r="P2430" t="str">
        <f t="shared" si="232"/>
        <v>Fuzzy</v>
      </c>
    </row>
    <row r="2431" spans="1:16" x14ac:dyDescent="0.35">
      <c r="A2431" t="s">
        <v>2434</v>
      </c>
      <c r="B2431">
        <v>6644</v>
      </c>
      <c r="C2431">
        <v>27</v>
      </c>
      <c r="D2431">
        <v>67</v>
      </c>
      <c r="E2431">
        <v>436</v>
      </c>
      <c r="F2431">
        <v>618</v>
      </c>
      <c r="K2431" s="1">
        <f t="shared" si="233"/>
        <v>436</v>
      </c>
      <c r="L2431" s="1" t="str">
        <f t="shared" si="228"/>
        <v>Normal</v>
      </c>
      <c r="M2431" s="2">
        <f t="shared" si="229"/>
        <v>34</v>
      </c>
      <c r="N2431" s="1" t="str">
        <f t="shared" si="230"/>
        <v>Lembab</v>
      </c>
      <c r="O2431" t="str">
        <f t="shared" si="231"/>
        <v>Fuzzy</v>
      </c>
      <c r="P2431" t="str">
        <f t="shared" si="232"/>
        <v>Fuzzy</v>
      </c>
    </row>
    <row r="2432" spans="1:16" x14ac:dyDescent="0.35">
      <c r="A2432" t="s">
        <v>2435</v>
      </c>
      <c r="B2432">
        <v>6645</v>
      </c>
      <c r="C2432">
        <v>27</v>
      </c>
      <c r="D2432">
        <v>69</v>
      </c>
      <c r="E2432">
        <v>470</v>
      </c>
      <c r="F2432">
        <v>618</v>
      </c>
      <c r="K2432" s="1">
        <f t="shared" si="233"/>
        <v>470</v>
      </c>
      <c r="L2432" s="1" t="str">
        <f t="shared" si="228"/>
        <v>Normal</v>
      </c>
      <c r="M2432" s="2">
        <f t="shared" si="229"/>
        <v>42.5</v>
      </c>
      <c r="N2432" s="1" t="str">
        <f t="shared" si="230"/>
        <v>Lembab</v>
      </c>
      <c r="O2432" t="str">
        <f t="shared" si="231"/>
        <v>Fuzzy</v>
      </c>
      <c r="P2432" t="str">
        <f t="shared" si="232"/>
        <v>Fuzzy</v>
      </c>
    </row>
    <row r="2433" spans="1:16" x14ac:dyDescent="0.35">
      <c r="A2433" t="s">
        <v>2436</v>
      </c>
      <c r="B2433">
        <v>6646</v>
      </c>
      <c r="C2433">
        <v>27</v>
      </c>
      <c r="D2433">
        <v>70</v>
      </c>
      <c r="E2433">
        <v>427</v>
      </c>
      <c r="F2433">
        <v>618</v>
      </c>
      <c r="K2433" s="1">
        <f t="shared" si="233"/>
        <v>427</v>
      </c>
      <c r="L2433" s="1" t="str">
        <f t="shared" si="228"/>
        <v>Normal</v>
      </c>
      <c r="M2433" s="2">
        <f t="shared" si="229"/>
        <v>31.75</v>
      </c>
      <c r="N2433" s="1" t="str">
        <f t="shared" si="230"/>
        <v>Lembab</v>
      </c>
      <c r="O2433" t="str">
        <f t="shared" si="231"/>
        <v>Fuzzy</v>
      </c>
      <c r="P2433" t="str">
        <f t="shared" si="232"/>
        <v>Fuzzy</v>
      </c>
    </row>
    <row r="2434" spans="1:16" x14ac:dyDescent="0.35">
      <c r="A2434" t="s">
        <v>2437</v>
      </c>
      <c r="B2434">
        <v>6647</v>
      </c>
      <c r="C2434">
        <v>27</v>
      </c>
      <c r="D2434">
        <v>70</v>
      </c>
      <c r="E2434">
        <v>410</v>
      </c>
      <c r="F2434">
        <v>618</v>
      </c>
      <c r="K2434" s="1">
        <f t="shared" si="233"/>
        <v>410</v>
      </c>
      <c r="L2434" s="1" t="str">
        <f t="shared" si="228"/>
        <v>Normal</v>
      </c>
      <c r="M2434" s="2">
        <f t="shared" si="229"/>
        <v>27.500000000000004</v>
      </c>
      <c r="N2434" s="1" t="str">
        <f t="shared" si="230"/>
        <v>Kering</v>
      </c>
      <c r="O2434" t="str">
        <f t="shared" si="231"/>
        <v>Fuzzy</v>
      </c>
      <c r="P2434" t="str">
        <f t="shared" si="232"/>
        <v>Fuzzy</v>
      </c>
    </row>
    <row r="2435" spans="1:16" x14ac:dyDescent="0.35">
      <c r="A2435" t="s">
        <v>2438</v>
      </c>
      <c r="B2435">
        <v>6648</v>
      </c>
      <c r="C2435">
        <v>27</v>
      </c>
      <c r="D2435">
        <v>70</v>
      </c>
      <c r="E2435">
        <v>470</v>
      </c>
      <c r="F2435">
        <v>619</v>
      </c>
      <c r="K2435" s="1">
        <f t="shared" si="233"/>
        <v>470</v>
      </c>
      <c r="L2435" s="1" t="str">
        <f t="shared" ref="L2435:L2498" si="234">IF(A2434 &lt;= 10, "Dingin", IF(OR(A2434 &gt;= 10, A2434 &lt; 35), "Normal", "Panas"))</f>
        <v>Normal</v>
      </c>
      <c r="M2435" s="2">
        <f t="shared" ref="M2435:M2498" si="235">IF(K2435&lt;=300, K2435/1023*100, IF(K2435&lt;=700, (K2435-300)/(700-301+1)*100, (K2435-700)/(1023-701+1)*100))</f>
        <v>42.5</v>
      </c>
      <c r="N2435" s="1" t="str">
        <f t="shared" ref="N2435:N2498" si="236">IF(M2435&lt;=29.32, "Kering", IF(M2435&lt;=68.53, "Lembab", "Basah"))</f>
        <v>Lembab</v>
      </c>
      <c r="O2435" t="str">
        <f t="shared" ref="O2435:O2498" si="237">IF(OR(AND(C2435 &gt; 10, C2435 &lt; 22.5), AND(C2435 &gt;= 22.5, C2435 &lt; 35)), "Fuzzy", "")</f>
        <v>Fuzzy</v>
      </c>
      <c r="P2435" t="str">
        <f t="shared" ref="P2435:P2498" si="238">IF(OR(AND(M2435 &gt;= 0, M2435 &lt; 50), AND(M2435 &gt;= 50, M2435 &lt; 100)), "Fuzzy", "")</f>
        <v>Fuzzy</v>
      </c>
    </row>
    <row r="2436" spans="1:16" x14ac:dyDescent="0.35">
      <c r="A2436" t="s">
        <v>2439</v>
      </c>
      <c r="B2436">
        <v>6649</v>
      </c>
      <c r="C2436">
        <v>27</v>
      </c>
      <c r="D2436">
        <v>71</v>
      </c>
      <c r="E2436">
        <v>572</v>
      </c>
      <c r="F2436">
        <v>618</v>
      </c>
      <c r="K2436" s="1">
        <f t="shared" si="233"/>
        <v>572</v>
      </c>
      <c r="L2436" s="1" t="str">
        <f t="shared" si="234"/>
        <v>Normal</v>
      </c>
      <c r="M2436" s="2">
        <f t="shared" si="235"/>
        <v>68</v>
      </c>
      <c r="N2436" s="1" t="str">
        <f t="shared" si="236"/>
        <v>Lembab</v>
      </c>
      <c r="O2436" t="str">
        <f t="shared" si="237"/>
        <v>Fuzzy</v>
      </c>
      <c r="P2436" t="str">
        <f t="shared" si="238"/>
        <v>Fuzzy</v>
      </c>
    </row>
    <row r="2437" spans="1:16" x14ac:dyDescent="0.35">
      <c r="A2437" t="s">
        <v>2440</v>
      </c>
      <c r="B2437">
        <v>6650</v>
      </c>
      <c r="C2437">
        <v>27</v>
      </c>
      <c r="D2437">
        <v>72</v>
      </c>
      <c r="E2437">
        <v>428</v>
      </c>
      <c r="F2437">
        <v>619</v>
      </c>
      <c r="K2437" s="1">
        <f t="shared" si="233"/>
        <v>428</v>
      </c>
      <c r="L2437" s="1" t="str">
        <f t="shared" si="234"/>
        <v>Normal</v>
      </c>
      <c r="M2437" s="2">
        <f t="shared" si="235"/>
        <v>32</v>
      </c>
      <c r="N2437" s="1" t="str">
        <f t="shared" si="236"/>
        <v>Lembab</v>
      </c>
      <c r="O2437" t="str">
        <f t="shared" si="237"/>
        <v>Fuzzy</v>
      </c>
      <c r="P2437" t="str">
        <f t="shared" si="238"/>
        <v>Fuzzy</v>
      </c>
    </row>
    <row r="2438" spans="1:16" x14ac:dyDescent="0.35">
      <c r="A2438" t="s">
        <v>2441</v>
      </c>
      <c r="B2438">
        <v>6651</v>
      </c>
      <c r="C2438">
        <v>27</v>
      </c>
      <c r="D2438">
        <v>74</v>
      </c>
      <c r="E2438">
        <v>417</v>
      </c>
      <c r="F2438">
        <v>619</v>
      </c>
      <c r="K2438" s="1">
        <f t="shared" si="233"/>
        <v>417</v>
      </c>
      <c r="L2438" s="1" t="str">
        <f t="shared" si="234"/>
        <v>Normal</v>
      </c>
      <c r="M2438" s="2">
        <f t="shared" si="235"/>
        <v>29.25</v>
      </c>
      <c r="N2438" s="1" t="str">
        <f t="shared" si="236"/>
        <v>Kering</v>
      </c>
      <c r="O2438" t="str">
        <f t="shared" si="237"/>
        <v>Fuzzy</v>
      </c>
      <c r="P2438" t="str">
        <f t="shared" si="238"/>
        <v>Fuzzy</v>
      </c>
    </row>
    <row r="2439" spans="1:16" x14ac:dyDescent="0.35">
      <c r="A2439" t="s">
        <v>2442</v>
      </c>
      <c r="B2439">
        <v>6652</v>
      </c>
      <c r="C2439">
        <v>27</v>
      </c>
      <c r="D2439">
        <v>74</v>
      </c>
      <c r="E2439">
        <v>423</v>
      </c>
      <c r="F2439">
        <v>619</v>
      </c>
      <c r="K2439" s="1">
        <f t="shared" si="233"/>
        <v>423</v>
      </c>
      <c r="L2439" s="1" t="str">
        <f t="shared" si="234"/>
        <v>Normal</v>
      </c>
      <c r="M2439" s="2">
        <f t="shared" si="235"/>
        <v>30.75</v>
      </c>
      <c r="N2439" s="1" t="str">
        <f t="shared" si="236"/>
        <v>Lembab</v>
      </c>
      <c r="O2439" t="str">
        <f t="shared" si="237"/>
        <v>Fuzzy</v>
      </c>
      <c r="P2439" t="str">
        <f t="shared" si="238"/>
        <v>Fuzzy</v>
      </c>
    </row>
    <row r="2440" spans="1:16" x14ac:dyDescent="0.35">
      <c r="A2440" t="s">
        <v>2443</v>
      </c>
      <c r="B2440">
        <v>6653</v>
      </c>
      <c r="C2440">
        <v>27</v>
      </c>
      <c r="D2440">
        <v>75</v>
      </c>
      <c r="E2440">
        <v>519</v>
      </c>
      <c r="F2440">
        <v>619</v>
      </c>
      <c r="K2440" s="1">
        <f t="shared" si="233"/>
        <v>519</v>
      </c>
      <c r="L2440" s="1" t="str">
        <f t="shared" si="234"/>
        <v>Normal</v>
      </c>
      <c r="M2440" s="2">
        <f t="shared" si="235"/>
        <v>54.75</v>
      </c>
      <c r="N2440" s="1" t="str">
        <f t="shared" si="236"/>
        <v>Lembab</v>
      </c>
      <c r="O2440" t="str">
        <f t="shared" si="237"/>
        <v>Fuzzy</v>
      </c>
      <c r="P2440" t="str">
        <f t="shared" si="238"/>
        <v>Fuzzy</v>
      </c>
    </row>
    <row r="2441" spans="1:16" x14ac:dyDescent="0.35">
      <c r="A2441" t="s">
        <v>2444</v>
      </c>
      <c r="B2441">
        <v>6654</v>
      </c>
      <c r="C2441">
        <v>27</v>
      </c>
      <c r="D2441">
        <v>76</v>
      </c>
      <c r="E2441">
        <v>441</v>
      </c>
      <c r="F2441">
        <v>619</v>
      </c>
      <c r="K2441" s="1">
        <f t="shared" si="233"/>
        <v>441</v>
      </c>
      <c r="L2441" s="1" t="str">
        <f t="shared" si="234"/>
        <v>Normal</v>
      </c>
      <c r="M2441" s="2">
        <f t="shared" si="235"/>
        <v>35.25</v>
      </c>
      <c r="N2441" s="1" t="str">
        <f t="shared" si="236"/>
        <v>Lembab</v>
      </c>
      <c r="O2441" t="str">
        <f t="shared" si="237"/>
        <v>Fuzzy</v>
      </c>
      <c r="P2441" t="str">
        <f t="shared" si="238"/>
        <v>Fuzzy</v>
      </c>
    </row>
    <row r="2442" spans="1:16" x14ac:dyDescent="0.35">
      <c r="A2442" t="s">
        <v>2445</v>
      </c>
      <c r="B2442">
        <v>6655</v>
      </c>
      <c r="C2442">
        <v>27</v>
      </c>
      <c r="D2442">
        <v>76</v>
      </c>
      <c r="E2442">
        <v>465</v>
      </c>
      <c r="F2442">
        <v>619</v>
      </c>
      <c r="K2442" s="1">
        <f t="shared" si="233"/>
        <v>465</v>
      </c>
      <c r="L2442" s="1" t="str">
        <f t="shared" si="234"/>
        <v>Normal</v>
      </c>
      <c r="M2442" s="2">
        <f t="shared" si="235"/>
        <v>41.25</v>
      </c>
      <c r="N2442" s="1" t="str">
        <f t="shared" si="236"/>
        <v>Lembab</v>
      </c>
      <c r="O2442" t="str">
        <f t="shared" si="237"/>
        <v>Fuzzy</v>
      </c>
      <c r="P2442" t="str">
        <f t="shared" si="238"/>
        <v>Fuzzy</v>
      </c>
    </row>
    <row r="2443" spans="1:16" x14ac:dyDescent="0.35">
      <c r="A2443" t="s">
        <v>2446</v>
      </c>
      <c r="B2443">
        <v>6656</v>
      </c>
      <c r="C2443">
        <v>27</v>
      </c>
      <c r="D2443">
        <v>76</v>
      </c>
      <c r="E2443">
        <v>464</v>
      </c>
      <c r="F2443">
        <v>619</v>
      </c>
      <c r="K2443" s="1">
        <f t="shared" si="233"/>
        <v>464</v>
      </c>
      <c r="L2443" s="1" t="str">
        <f t="shared" si="234"/>
        <v>Normal</v>
      </c>
      <c r="M2443" s="2">
        <f t="shared" si="235"/>
        <v>41</v>
      </c>
      <c r="N2443" s="1" t="str">
        <f t="shared" si="236"/>
        <v>Lembab</v>
      </c>
      <c r="O2443" t="str">
        <f t="shared" si="237"/>
        <v>Fuzzy</v>
      </c>
      <c r="P2443" t="str">
        <f t="shared" si="238"/>
        <v>Fuzzy</v>
      </c>
    </row>
    <row r="2444" spans="1:16" x14ac:dyDescent="0.35">
      <c r="A2444" t="s">
        <v>2447</v>
      </c>
      <c r="B2444">
        <v>6657</v>
      </c>
      <c r="C2444">
        <v>27</v>
      </c>
      <c r="D2444">
        <v>75</v>
      </c>
      <c r="E2444">
        <v>428</v>
      </c>
      <c r="F2444">
        <v>619</v>
      </c>
      <c r="K2444" s="1">
        <f t="shared" si="233"/>
        <v>428</v>
      </c>
      <c r="L2444" s="1" t="str">
        <f t="shared" si="234"/>
        <v>Normal</v>
      </c>
      <c r="M2444" s="2">
        <f t="shared" si="235"/>
        <v>32</v>
      </c>
      <c r="N2444" s="1" t="str">
        <f t="shared" si="236"/>
        <v>Lembab</v>
      </c>
      <c r="O2444" t="str">
        <f t="shared" si="237"/>
        <v>Fuzzy</v>
      </c>
      <c r="P2444" t="str">
        <f t="shared" si="238"/>
        <v>Fuzzy</v>
      </c>
    </row>
    <row r="2445" spans="1:16" x14ac:dyDescent="0.35">
      <c r="A2445" t="s">
        <v>2448</v>
      </c>
      <c r="B2445">
        <v>6658</v>
      </c>
      <c r="C2445">
        <v>27</v>
      </c>
      <c r="D2445">
        <v>75</v>
      </c>
      <c r="E2445">
        <v>282</v>
      </c>
      <c r="F2445">
        <v>619</v>
      </c>
      <c r="K2445" s="1">
        <f t="shared" ref="K2445:K2508" si="239">IF(E2445&lt;=1023, E2445, "")</f>
        <v>282</v>
      </c>
      <c r="L2445" s="1" t="str">
        <f t="shared" si="234"/>
        <v>Normal</v>
      </c>
      <c r="M2445" s="2">
        <f t="shared" si="235"/>
        <v>27.565982404692079</v>
      </c>
      <c r="N2445" s="1" t="str">
        <f t="shared" si="236"/>
        <v>Kering</v>
      </c>
      <c r="O2445" t="str">
        <f t="shared" si="237"/>
        <v>Fuzzy</v>
      </c>
      <c r="P2445" t="str">
        <f t="shared" si="238"/>
        <v>Fuzzy</v>
      </c>
    </row>
    <row r="2446" spans="1:16" x14ac:dyDescent="0.35">
      <c r="A2446" t="s">
        <v>2449</v>
      </c>
      <c r="B2446">
        <v>6659</v>
      </c>
      <c r="C2446">
        <v>27</v>
      </c>
      <c r="D2446">
        <v>75</v>
      </c>
      <c r="E2446">
        <v>488</v>
      </c>
      <c r="F2446">
        <v>618</v>
      </c>
      <c r="K2446" s="1">
        <f t="shared" si="239"/>
        <v>488</v>
      </c>
      <c r="L2446" s="1" t="str">
        <f t="shared" si="234"/>
        <v>Normal</v>
      </c>
      <c r="M2446" s="2">
        <f t="shared" si="235"/>
        <v>47</v>
      </c>
      <c r="N2446" s="1" t="str">
        <f t="shared" si="236"/>
        <v>Lembab</v>
      </c>
      <c r="O2446" t="str">
        <f t="shared" si="237"/>
        <v>Fuzzy</v>
      </c>
      <c r="P2446" t="str">
        <f t="shared" si="238"/>
        <v>Fuzzy</v>
      </c>
    </row>
    <row r="2447" spans="1:16" x14ac:dyDescent="0.35">
      <c r="A2447" t="s">
        <v>2450</v>
      </c>
      <c r="B2447">
        <v>6660</v>
      </c>
      <c r="C2447">
        <v>27</v>
      </c>
      <c r="D2447">
        <v>75</v>
      </c>
      <c r="E2447">
        <v>629</v>
      </c>
      <c r="F2447">
        <v>619</v>
      </c>
      <c r="K2447" s="1">
        <f t="shared" si="239"/>
        <v>629</v>
      </c>
      <c r="L2447" s="1" t="str">
        <f t="shared" si="234"/>
        <v>Normal</v>
      </c>
      <c r="M2447" s="2">
        <f t="shared" si="235"/>
        <v>82.25</v>
      </c>
      <c r="N2447" s="1" t="str">
        <f t="shared" si="236"/>
        <v>Basah</v>
      </c>
      <c r="O2447" t="str">
        <f t="shared" si="237"/>
        <v>Fuzzy</v>
      </c>
      <c r="P2447" t="str">
        <f t="shared" si="238"/>
        <v>Fuzzy</v>
      </c>
    </row>
    <row r="2448" spans="1:16" x14ac:dyDescent="0.35">
      <c r="A2448" t="s">
        <v>2451</v>
      </c>
      <c r="B2448">
        <v>6661</v>
      </c>
      <c r="C2448">
        <v>27</v>
      </c>
      <c r="D2448">
        <v>76</v>
      </c>
      <c r="E2448">
        <v>422</v>
      </c>
      <c r="F2448">
        <v>620</v>
      </c>
      <c r="K2448" s="1">
        <f t="shared" si="239"/>
        <v>422</v>
      </c>
      <c r="L2448" s="1" t="str">
        <f t="shared" si="234"/>
        <v>Normal</v>
      </c>
      <c r="M2448" s="2">
        <f t="shared" si="235"/>
        <v>30.5</v>
      </c>
      <c r="N2448" s="1" t="str">
        <f t="shared" si="236"/>
        <v>Lembab</v>
      </c>
      <c r="O2448" t="str">
        <f t="shared" si="237"/>
        <v>Fuzzy</v>
      </c>
      <c r="P2448" t="str">
        <f t="shared" si="238"/>
        <v>Fuzzy</v>
      </c>
    </row>
    <row r="2449" spans="1:16" x14ac:dyDescent="0.35">
      <c r="A2449" t="s">
        <v>2452</v>
      </c>
      <c r="B2449">
        <v>6662</v>
      </c>
      <c r="C2449">
        <v>27</v>
      </c>
      <c r="D2449">
        <v>76</v>
      </c>
      <c r="E2449">
        <v>270</v>
      </c>
      <c r="F2449">
        <v>619</v>
      </c>
      <c r="K2449" s="1">
        <f t="shared" si="239"/>
        <v>270</v>
      </c>
      <c r="L2449" s="1" t="str">
        <f t="shared" si="234"/>
        <v>Normal</v>
      </c>
      <c r="M2449" s="2">
        <f t="shared" si="235"/>
        <v>26.392961876832842</v>
      </c>
      <c r="N2449" s="1" t="str">
        <f t="shared" si="236"/>
        <v>Kering</v>
      </c>
      <c r="O2449" t="str">
        <f t="shared" si="237"/>
        <v>Fuzzy</v>
      </c>
      <c r="P2449" t="str">
        <f t="shared" si="238"/>
        <v>Fuzzy</v>
      </c>
    </row>
    <row r="2450" spans="1:16" x14ac:dyDescent="0.35">
      <c r="A2450" t="s">
        <v>2453</v>
      </c>
      <c r="B2450">
        <v>6663</v>
      </c>
      <c r="C2450">
        <v>27</v>
      </c>
      <c r="D2450">
        <v>76</v>
      </c>
      <c r="E2450">
        <v>480</v>
      </c>
      <c r="F2450">
        <v>619</v>
      </c>
      <c r="K2450" s="1">
        <f t="shared" si="239"/>
        <v>480</v>
      </c>
      <c r="L2450" s="1" t="str">
        <f t="shared" si="234"/>
        <v>Normal</v>
      </c>
      <c r="M2450" s="2">
        <f t="shared" si="235"/>
        <v>45</v>
      </c>
      <c r="N2450" s="1" t="str">
        <f t="shared" si="236"/>
        <v>Lembab</v>
      </c>
      <c r="O2450" t="str">
        <f t="shared" si="237"/>
        <v>Fuzzy</v>
      </c>
      <c r="P2450" t="str">
        <f t="shared" si="238"/>
        <v>Fuzzy</v>
      </c>
    </row>
    <row r="2451" spans="1:16" x14ac:dyDescent="0.35">
      <c r="A2451" t="s">
        <v>2454</v>
      </c>
      <c r="B2451">
        <v>6664</v>
      </c>
      <c r="C2451">
        <v>27</v>
      </c>
      <c r="D2451">
        <v>75</v>
      </c>
      <c r="E2451">
        <v>435</v>
      </c>
      <c r="F2451">
        <v>619</v>
      </c>
      <c r="K2451" s="1">
        <f t="shared" si="239"/>
        <v>435</v>
      </c>
      <c r="L2451" s="1" t="str">
        <f t="shared" si="234"/>
        <v>Normal</v>
      </c>
      <c r="M2451" s="2">
        <f t="shared" si="235"/>
        <v>33.75</v>
      </c>
      <c r="N2451" s="1" t="str">
        <f t="shared" si="236"/>
        <v>Lembab</v>
      </c>
      <c r="O2451" t="str">
        <f t="shared" si="237"/>
        <v>Fuzzy</v>
      </c>
      <c r="P2451" t="str">
        <f t="shared" si="238"/>
        <v>Fuzzy</v>
      </c>
    </row>
    <row r="2452" spans="1:16" x14ac:dyDescent="0.35">
      <c r="A2452" t="s">
        <v>2455</v>
      </c>
      <c r="B2452">
        <v>6665</v>
      </c>
      <c r="C2452">
        <v>27</v>
      </c>
      <c r="D2452">
        <v>72</v>
      </c>
      <c r="E2452">
        <v>414</v>
      </c>
      <c r="F2452">
        <v>619</v>
      </c>
      <c r="K2452" s="1">
        <f t="shared" si="239"/>
        <v>414</v>
      </c>
      <c r="L2452" s="1" t="str">
        <f t="shared" si="234"/>
        <v>Normal</v>
      </c>
      <c r="M2452" s="2">
        <f t="shared" si="235"/>
        <v>28.499999999999996</v>
      </c>
      <c r="N2452" s="1" t="str">
        <f t="shared" si="236"/>
        <v>Kering</v>
      </c>
      <c r="O2452" t="str">
        <f t="shared" si="237"/>
        <v>Fuzzy</v>
      </c>
      <c r="P2452" t="str">
        <f t="shared" si="238"/>
        <v>Fuzzy</v>
      </c>
    </row>
    <row r="2453" spans="1:16" x14ac:dyDescent="0.35">
      <c r="A2453" t="s">
        <v>2456</v>
      </c>
      <c r="B2453">
        <v>6666</v>
      </c>
      <c r="C2453">
        <v>27</v>
      </c>
      <c r="D2453">
        <v>72</v>
      </c>
      <c r="E2453">
        <v>374</v>
      </c>
      <c r="F2453">
        <v>619</v>
      </c>
      <c r="K2453" s="1">
        <f t="shared" si="239"/>
        <v>374</v>
      </c>
      <c r="L2453" s="1" t="str">
        <f t="shared" si="234"/>
        <v>Normal</v>
      </c>
      <c r="M2453" s="2">
        <f t="shared" si="235"/>
        <v>18.5</v>
      </c>
      <c r="N2453" s="1" t="str">
        <f t="shared" si="236"/>
        <v>Kering</v>
      </c>
      <c r="O2453" t="str">
        <f t="shared" si="237"/>
        <v>Fuzzy</v>
      </c>
      <c r="P2453" t="str">
        <f t="shared" si="238"/>
        <v>Fuzzy</v>
      </c>
    </row>
    <row r="2454" spans="1:16" x14ac:dyDescent="0.35">
      <c r="A2454" t="s">
        <v>2457</v>
      </c>
      <c r="B2454">
        <v>6667</v>
      </c>
      <c r="C2454">
        <v>27</v>
      </c>
      <c r="D2454">
        <v>70</v>
      </c>
      <c r="E2454">
        <v>412</v>
      </c>
      <c r="F2454">
        <v>619</v>
      </c>
      <c r="K2454" s="1">
        <f t="shared" si="239"/>
        <v>412</v>
      </c>
      <c r="L2454" s="1" t="str">
        <f t="shared" si="234"/>
        <v>Normal</v>
      </c>
      <c r="M2454" s="2">
        <f t="shared" si="235"/>
        <v>28.000000000000004</v>
      </c>
      <c r="N2454" s="1" t="str">
        <f t="shared" si="236"/>
        <v>Kering</v>
      </c>
      <c r="O2454" t="str">
        <f t="shared" si="237"/>
        <v>Fuzzy</v>
      </c>
      <c r="P2454" t="str">
        <f t="shared" si="238"/>
        <v>Fuzzy</v>
      </c>
    </row>
    <row r="2455" spans="1:16" x14ac:dyDescent="0.35">
      <c r="A2455" t="s">
        <v>2458</v>
      </c>
      <c r="B2455">
        <v>6668</v>
      </c>
      <c r="C2455">
        <v>27</v>
      </c>
      <c r="D2455">
        <v>69</v>
      </c>
      <c r="E2455">
        <v>377</v>
      </c>
      <c r="F2455">
        <v>619</v>
      </c>
      <c r="K2455" s="1">
        <f t="shared" si="239"/>
        <v>377</v>
      </c>
      <c r="L2455" s="1" t="str">
        <f t="shared" si="234"/>
        <v>Normal</v>
      </c>
      <c r="M2455" s="2">
        <f t="shared" si="235"/>
        <v>19.25</v>
      </c>
      <c r="N2455" s="1" t="str">
        <f t="shared" si="236"/>
        <v>Kering</v>
      </c>
      <c r="O2455" t="str">
        <f t="shared" si="237"/>
        <v>Fuzzy</v>
      </c>
      <c r="P2455" t="str">
        <f t="shared" si="238"/>
        <v>Fuzzy</v>
      </c>
    </row>
    <row r="2456" spans="1:16" x14ac:dyDescent="0.35">
      <c r="A2456" t="s">
        <v>2459</v>
      </c>
      <c r="B2456">
        <v>6669</v>
      </c>
      <c r="C2456">
        <v>27</v>
      </c>
      <c r="D2456">
        <v>68</v>
      </c>
      <c r="E2456">
        <v>438</v>
      </c>
      <c r="F2456">
        <v>618</v>
      </c>
      <c r="K2456" s="1">
        <f t="shared" si="239"/>
        <v>438</v>
      </c>
      <c r="L2456" s="1" t="str">
        <f t="shared" si="234"/>
        <v>Normal</v>
      </c>
      <c r="M2456" s="2">
        <f t="shared" si="235"/>
        <v>34.5</v>
      </c>
      <c r="N2456" s="1" t="str">
        <f t="shared" si="236"/>
        <v>Lembab</v>
      </c>
      <c r="O2456" t="str">
        <f t="shared" si="237"/>
        <v>Fuzzy</v>
      </c>
      <c r="P2456" t="str">
        <f t="shared" si="238"/>
        <v>Fuzzy</v>
      </c>
    </row>
    <row r="2457" spans="1:16" x14ac:dyDescent="0.35">
      <c r="A2457" t="s">
        <v>2460</v>
      </c>
      <c r="B2457">
        <v>6670</v>
      </c>
      <c r="C2457">
        <v>27</v>
      </c>
      <c r="D2457">
        <v>67</v>
      </c>
      <c r="E2457">
        <v>477</v>
      </c>
      <c r="F2457">
        <v>618</v>
      </c>
      <c r="K2457" s="1">
        <f t="shared" si="239"/>
        <v>477</v>
      </c>
      <c r="L2457" s="1" t="str">
        <f t="shared" si="234"/>
        <v>Normal</v>
      </c>
      <c r="M2457" s="2">
        <f t="shared" si="235"/>
        <v>44.25</v>
      </c>
      <c r="N2457" s="1" t="str">
        <f t="shared" si="236"/>
        <v>Lembab</v>
      </c>
      <c r="O2457" t="str">
        <f t="shared" si="237"/>
        <v>Fuzzy</v>
      </c>
      <c r="P2457" t="str">
        <f t="shared" si="238"/>
        <v>Fuzzy</v>
      </c>
    </row>
    <row r="2458" spans="1:16" x14ac:dyDescent="0.35">
      <c r="A2458" t="s">
        <v>2461</v>
      </c>
      <c r="B2458">
        <v>6671</v>
      </c>
      <c r="C2458">
        <v>27</v>
      </c>
      <c r="D2458">
        <v>66</v>
      </c>
      <c r="E2458">
        <v>413</v>
      </c>
      <c r="F2458">
        <v>618</v>
      </c>
      <c r="K2458" s="1">
        <f t="shared" si="239"/>
        <v>413</v>
      </c>
      <c r="L2458" s="1" t="str">
        <f t="shared" si="234"/>
        <v>Normal</v>
      </c>
      <c r="M2458" s="2">
        <f t="shared" si="235"/>
        <v>28.249999999999996</v>
      </c>
      <c r="N2458" s="1" t="str">
        <f t="shared" si="236"/>
        <v>Kering</v>
      </c>
      <c r="O2458" t="str">
        <f t="shared" si="237"/>
        <v>Fuzzy</v>
      </c>
      <c r="P2458" t="str">
        <f t="shared" si="238"/>
        <v>Fuzzy</v>
      </c>
    </row>
    <row r="2459" spans="1:16" x14ac:dyDescent="0.35">
      <c r="A2459" t="s">
        <v>2462</v>
      </c>
      <c r="B2459">
        <v>6672</v>
      </c>
      <c r="C2459">
        <v>27</v>
      </c>
      <c r="D2459">
        <v>66</v>
      </c>
      <c r="E2459">
        <v>416</v>
      </c>
      <c r="F2459">
        <v>619</v>
      </c>
      <c r="K2459" s="1">
        <f t="shared" si="239"/>
        <v>416</v>
      </c>
      <c r="L2459" s="1" t="str">
        <f t="shared" si="234"/>
        <v>Normal</v>
      </c>
      <c r="M2459" s="2">
        <f t="shared" si="235"/>
        <v>28.999999999999996</v>
      </c>
      <c r="N2459" s="1" t="str">
        <f t="shared" si="236"/>
        <v>Kering</v>
      </c>
      <c r="O2459" t="str">
        <f t="shared" si="237"/>
        <v>Fuzzy</v>
      </c>
      <c r="P2459" t="str">
        <f t="shared" si="238"/>
        <v>Fuzzy</v>
      </c>
    </row>
    <row r="2460" spans="1:16" x14ac:dyDescent="0.35">
      <c r="A2460" t="s">
        <v>2463</v>
      </c>
      <c r="B2460">
        <v>6673</v>
      </c>
      <c r="C2460">
        <v>27</v>
      </c>
      <c r="D2460">
        <v>64</v>
      </c>
      <c r="E2460">
        <v>408</v>
      </c>
      <c r="F2460">
        <v>618</v>
      </c>
      <c r="K2460" s="1">
        <f t="shared" si="239"/>
        <v>408</v>
      </c>
      <c r="L2460" s="1" t="str">
        <f t="shared" si="234"/>
        <v>Normal</v>
      </c>
      <c r="M2460" s="2">
        <f t="shared" si="235"/>
        <v>27</v>
      </c>
      <c r="N2460" s="1" t="str">
        <f t="shared" si="236"/>
        <v>Kering</v>
      </c>
      <c r="O2460" t="str">
        <f t="shared" si="237"/>
        <v>Fuzzy</v>
      </c>
      <c r="P2460" t="str">
        <f t="shared" si="238"/>
        <v>Fuzzy</v>
      </c>
    </row>
    <row r="2461" spans="1:16" x14ac:dyDescent="0.35">
      <c r="A2461" t="s">
        <v>2464</v>
      </c>
      <c r="B2461">
        <v>6674</v>
      </c>
      <c r="C2461">
        <v>27</v>
      </c>
      <c r="D2461">
        <v>64</v>
      </c>
      <c r="E2461">
        <v>320</v>
      </c>
      <c r="F2461">
        <v>618</v>
      </c>
      <c r="K2461" s="1">
        <f t="shared" si="239"/>
        <v>320</v>
      </c>
      <c r="L2461" s="1" t="str">
        <f t="shared" si="234"/>
        <v>Normal</v>
      </c>
      <c r="M2461" s="2">
        <f t="shared" si="235"/>
        <v>5</v>
      </c>
      <c r="N2461" s="1" t="str">
        <f t="shared" si="236"/>
        <v>Kering</v>
      </c>
      <c r="O2461" t="str">
        <f t="shared" si="237"/>
        <v>Fuzzy</v>
      </c>
      <c r="P2461" t="str">
        <f t="shared" si="238"/>
        <v>Fuzzy</v>
      </c>
    </row>
    <row r="2462" spans="1:16" x14ac:dyDescent="0.35">
      <c r="A2462" t="s">
        <v>2465</v>
      </c>
      <c r="B2462">
        <v>6675</v>
      </c>
      <c r="C2462">
        <v>27</v>
      </c>
      <c r="D2462">
        <v>66</v>
      </c>
      <c r="E2462">
        <v>475</v>
      </c>
      <c r="F2462">
        <v>618</v>
      </c>
      <c r="K2462" s="1">
        <f t="shared" si="239"/>
        <v>475</v>
      </c>
      <c r="L2462" s="1" t="str">
        <f t="shared" si="234"/>
        <v>Normal</v>
      </c>
      <c r="M2462" s="2">
        <f t="shared" si="235"/>
        <v>43.75</v>
      </c>
      <c r="N2462" s="1" t="str">
        <f t="shared" si="236"/>
        <v>Lembab</v>
      </c>
      <c r="O2462" t="str">
        <f t="shared" si="237"/>
        <v>Fuzzy</v>
      </c>
      <c r="P2462" t="str">
        <f t="shared" si="238"/>
        <v>Fuzzy</v>
      </c>
    </row>
    <row r="2463" spans="1:16" x14ac:dyDescent="0.35">
      <c r="A2463" t="s">
        <v>2466</v>
      </c>
      <c r="B2463">
        <v>6676</v>
      </c>
      <c r="C2463">
        <v>27</v>
      </c>
      <c r="D2463">
        <v>69</v>
      </c>
      <c r="E2463">
        <v>364</v>
      </c>
      <c r="F2463">
        <v>618</v>
      </c>
      <c r="K2463" s="1">
        <f t="shared" si="239"/>
        <v>364</v>
      </c>
      <c r="L2463" s="1" t="str">
        <f t="shared" si="234"/>
        <v>Normal</v>
      </c>
      <c r="M2463" s="2">
        <f t="shared" si="235"/>
        <v>16</v>
      </c>
      <c r="N2463" s="1" t="str">
        <f t="shared" si="236"/>
        <v>Kering</v>
      </c>
      <c r="O2463" t="str">
        <f t="shared" si="237"/>
        <v>Fuzzy</v>
      </c>
      <c r="P2463" t="str">
        <f t="shared" si="238"/>
        <v>Fuzzy</v>
      </c>
    </row>
    <row r="2464" spans="1:16" x14ac:dyDescent="0.35">
      <c r="A2464" t="s">
        <v>2467</v>
      </c>
      <c r="B2464">
        <v>6677</v>
      </c>
      <c r="C2464">
        <v>27</v>
      </c>
      <c r="D2464">
        <v>69</v>
      </c>
      <c r="E2464">
        <v>441</v>
      </c>
      <c r="F2464">
        <v>618</v>
      </c>
      <c r="K2464" s="1">
        <f t="shared" si="239"/>
        <v>441</v>
      </c>
      <c r="L2464" s="1" t="str">
        <f t="shared" si="234"/>
        <v>Normal</v>
      </c>
      <c r="M2464" s="2">
        <f t="shared" si="235"/>
        <v>35.25</v>
      </c>
      <c r="N2464" s="1" t="str">
        <f t="shared" si="236"/>
        <v>Lembab</v>
      </c>
      <c r="O2464" t="str">
        <f t="shared" si="237"/>
        <v>Fuzzy</v>
      </c>
      <c r="P2464" t="str">
        <f t="shared" si="238"/>
        <v>Fuzzy</v>
      </c>
    </row>
    <row r="2465" spans="1:16" x14ac:dyDescent="0.35">
      <c r="A2465" t="s">
        <v>2468</v>
      </c>
      <c r="B2465">
        <v>6678</v>
      </c>
      <c r="C2465">
        <v>27</v>
      </c>
      <c r="D2465">
        <v>69</v>
      </c>
      <c r="E2465">
        <v>466</v>
      </c>
      <c r="F2465">
        <v>618</v>
      </c>
      <c r="K2465" s="1">
        <f t="shared" si="239"/>
        <v>466</v>
      </c>
      <c r="L2465" s="1" t="str">
        <f t="shared" si="234"/>
        <v>Normal</v>
      </c>
      <c r="M2465" s="2">
        <f t="shared" si="235"/>
        <v>41.5</v>
      </c>
      <c r="N2465" s="1" t="str">
        <f t="shared" si="236"/>
        <v>Lembab</v>
      </c>
      <c r="O2465" t="str">
        <f t="shared" si="237"/>
        <v>Fuzzy</v>
      </c>
      <c r="P2465" t="str">
        <f t="shared" si="238"/>
        <v>Fuzzy</v>
      </c>
    </row>
    <row r="2466" spans="1:16" x14ac:dyDescent="0.35">
      <c r="A2466" t="s">
        <v>2469</v>
      </c>
      <c r="B2466">
        <v>6679</v>
      </c>
      <c r="C2466">
        <v>27</v>
      </c>
      <c r="D2466">
        <v>72</v>
      </c>
      <c r="E2466">
        <v>400</v>
      </c>
      <c r="F2466">
        <v>618</v>
      </c>
      <c r="K2466" s="1">
        <f t="shared" si="239"/>
        <v>400</v>
      </c>
      <c r="L2466" s="1" t="str">
        <f t="shared" si="234"/>
        <v>Normal</v>
      </c>
      <c r="M2466" s="2">
        <f t="shared" si="235"/>
        <v>25</v>
      </c>
      <c r="N2466" s="1" t="str">
        <f t="shared" si="236"/>
        <v>Kering</v>
      </c>
      <c r="O2466" t="str">
        <f t="shared" si="237"/>
        <v>Fuzzy</v>
      </c>
      <c r="P2466" t="str">
        <f t="shared" si="238"/>
        <v>Fuzzy</v>
      </c>
    </row>
    <row r="2467" spans="1:16" x14ac:dyDescent="0.35">
      <c r="A2467" t="s">
        <v>2470</v>
      </c>
      <c r="B2467">
        <v>6680</v>
      </c>
      <c r="C2467">
        <v>27</v>
      </c>
      <c r="D2467">
        <v>72</v>
      </c>
      <c r="E2467">
        <v>365</v>
      </c>
      <c r="F2467">
        <v>618</v>
      </c>
      <c r="K2467" s="1">
        <f t="shared" si="239"/>
        <v>365</v>
      </c>
      <c r="L2467" s="1" t="str">
        <f t="shared" si="234"/>
        <v>Normal</v>
      </c>
      <c r="M2467" s="2">
        <f t="shared" si="235"/>
        <v>16.25</v>
      </c>
      <c r="N2467" s="1" t="str">
        <f t="shared" si="236"/>
        <v>Kering</v>
      </c>
      <c r="O2467" t="str">
        <f t="shared" si="237"/>
        <v>Fuzzy</v>
      </c>
      <c r="P2467" t="str">
        <f t="shared" si="238"/>
        <v>Fuzzy</v>
      </c>
    </row>
    <row r="2468" spans="1:16" x14ac:dyDescent="0.35">
      <c r="A2468" t="s">
        <v>2471</v>
      </c>
      <c r="B2468">
        <v>6681</v>
      </c>
      <c r="C2468">
        <v>27</v>
      </c>
      <c r="D2468">
        <v>72</v>
      </c>
      <c r="E2468">
        <v>419</v>
      </c>
      <c r="F2468">
        <v>618</v>
      </c>
      <c r="K2468" s="1">
        <f t="shared" si="239"/>
        <v>419</v>
      </c>
      <c r="L2468" s="1" t="str">
        <f t="shared" si="234"/>
        <v>Normal</v>
      </c>
      <c r="M2468" s="2">
        <f t="shared" si="235"/>
        <v>29.75</v>
      </c>
      <c r="N2468" s="1" t="str">
        <f t="shared" si="236"/>
        <v>Lembab</v>
      </c>
      <c r="O2468" t="str">
        <f t="shared" si="237"/>
        <v>Fuzzy</v>
      </c>
      <c r="P2468" t="str">
        <f t="shared" si="238"/>
        <v>Fuzzy</v>
      </c>
    </row>
    <row r="2469" spans="1:16" x14ac:dyDescent="0.35">
      <c r="A2469" t="s">
        <v>2472</v>
      </c>
      <c r="B2469">
        <v>6682</v>
      </c>
      <c r="C2469">
        <v>27</v>
      </c>
      <c r="D2469">
        <v>72</v>
      </c>
      <c r="E2469">
        <v>385</v>
      </c>
      <c r="F2469">
        <v>618</v>
      </c>
      <c r="K2469" s="1">
        <f t="shared" si="239"/>
        <v>385</v>
      </c>
      <c r="L2469" s="1" t="str">
        <f t="shared" si="234"/>
        <v>Normal</v>
      </c>
      <c r="M2469" s="2">
        <f t="shared" si="235"/>
        <v>21.25</v>
      </c>
      <c r="N2469" s="1" t="str">
        <f t="shared" si="236"/>
        <v>Kering</v>
      </c>
      <c r="O2469" t="str">
        <f t="shared" si="237"/>
        <v>Fuzzy</v>
      </c>
      <c r="P2469" t="str">
        <f t="shared" si="238"/>
        <v>Fuzzy</v>
      </c>
    </row>
    <row r="2470" spans="1:16" x14ac:dyDescent="0.35">
      <c r="A2470" t="s">
        <v>2473</v>
      </c>
      <c r="B2470">
        <v>6683</v>
      </c>
      <c r="C2470">
        <v>27</v>
      </c>
      <c r="D2470">
        <v>72</v>
      </c>
      <c r="E2470">
        <v>386</v>
      </c>
      <c r="F2470">
        <v>618</v>
      </c>
      <c r="K2470" s="1">
        <f t="shared" si="239"/>
        <v>386</v>
      </c>
      <c r="L2470" s="1" t="str">
        <f t="shared" si="234"/>
        <v>Normal</v>
      </c>
      <c r="M2470" s="2">
        <f t="shared" si="235"/>
        <v>21.5</v>
      </c>
      <c r="N2470" s="1" t="str">
        <f t="shared" si="236"/>
        <v>Kering</v>
      </c>
      <c r="O2470" t="str">
        <f t="shared" si="237"/>
        <v>Fuzzy</v>
      </c>
      <c r="P2470" t="str">
        <f t="shared" si="238"/>
        <v>Fuzzy</v>
      </c>
    </row>
    <row r="2471" spans="1:16" x14ac:dyDescent="0.35">
      <c r="A2471" t="s">
        <v>2474</v>
      </c>
      <c r="B2471">
        <v>6684</v>
      </c>
      <c r="C2471">
        <v>27</v>
      </c>
      <c r="D2471">
        <v>74</v>
      </c>
      <c r="E2471">
        <v>795</v>
      </c>
      <c r="F2471">
        <v>619</v>
      </c>
      <c r="K2471" s="1">
        <f t="shared" si="239"/>
        <v>795</v>
      </c>
      <c r="L2471" s="1" t="str">
        <f t="shared" si="234"/>
        <v>Normal</v>
      </c>
      <c r="M2471" s="2">
        <f t="shared" si="235"/>
        <v>29.411764705882355</v>
      </c>
      <c r="N2471" s="1" t="str">
        <f t="shared" si="236"/>
        <v>Lembab</v>
      </c>
      <c r="O2471" t="str">
        <f t="shared" si="237"/>
        <v>Fuzzy</v>
      </c>
      <c r="P2471" t="str">
        <f t="shared" si="238"/>
        <v>Fuzzy</v>
      </c>
    </row>
    <row r="2472" spans="1:16" x14ac:dyDescent="0.35">
      <c r="A2472" t="s">
        <v>2475</v>
      </c>
      <c r="B2472">
        <v>6685</v>
      </c>
      <c r="C2472">
        <v>27</v>
      </c>
      <c r="D2472">
        <v>74</v>
      </c>
      <c r="E2472">
        <v>393</v>
      </c>
      <c r="F2472">
        <v>618</v>
      </c>
      <c r="K2472" s="1">
        <f t="shared" si="239"/>
        <v>393</v>
      </c>
      <c r="L2472" s="1" t="str">
        <f t="shared" si="234"/>
        <v>Normal</v>
      </c>
      <c r="M2472" s="2">
        <f t="shared" si="235"/>
        <v>23.25</v>
      </c>
      <c r="N2472" s="1" t="str">
        <f t="shared" si="236"/>
        <v>Kering</v>
      </c>
      <c r="O2472" t="str">
        <f t="shared" si="237"/>
        <v>Fuzzy</v>
      </c>
      <c r="P2472" t="str">
        <f t="shared" si="238"/>
        <v>Fuzzy</v>
      </c>
    </row>
    <row r="2473" spans="1:16" x14ac:dyDescent="0.35">
      <c r="A2473" t="s">
        <v>2476</v>
      </c>
      <c r="B2473">
        <v>6686</v>
      </c>
      <c r="C2473">
        <v>27</v>
      </c>
      <c r="D2473">
        <v>74</v>
      </c>
      <c r="E2473">
        <v>422</v>
      </c>
      <c r="F2473">
        <v>618</v>
      </c>
      <c r="K2473" s="1">
        <f t="shared" si="239"/>
        <v>422</v>
      </c>
      <c r="L2473" s="1" t="str">
        <f t="shared" si="234"/>
        <v>Normal</v>
      </c>
      <c r="M2473" s="2">
        <f t="shared" si="235"/>
        <v>30.5</v>
      </c>
      <c r="N2473" s="1" t="str">
        <f t="shared" si="236"/>
        <v>Lembab</v>
      </c>
      <c r="O2473" t="str">
        <f t="shared" si="237"/>
        <v>Fuzzy</v>
      </c>
      <c r="P2473" t="str">
        <f t="shared" si="238"/>
        <v>Fuzzy</v>
      </c>
    </row>
    <row r="2474" spans="1:16" x14ac:dyDescent="0.35">
      <c r="A2474" t="s">
        <v>2477</v>
      </c>
      <c r="B2474">
        <v>6687</v>
      </c>
      <c r="C2474">
        <v>27</v>
      </c>
      <c r="D2474">
        <v>75</v>
      </c>
      <c r="E2474">
        <v>412</v>
      </c>
      <c r="F2474">
        <v>618</v>
      </c>
      <c r="K2474" s="1">
        <f t="shared" si="239"/>
        <v>412</v>
      </c>
      <c r="L2474" s="1" t="str">
        <f t="shared" si="234"/>
        <v>Normal</v>
      </c>
      <c r="M2474" s="2">
        <f t="shared" si="235"/>
        <v>28.000000000000004</v>
      </c>
      <c r="N2474" s="1" t="str">
        <f t="shared" si="236"/>
        <v>Kering</v>
      </c>
      <c r="O2474" t="str">
        <f t="shared" si="237"/>
        <v>Fuzzy</v>
      </c>
      <c r="P2474" t="str">
        <f t="shared" si="238"/>
        <v>Fuzzy</v>
      </c>
    </row>
    <row r="2475" spans="1:16" x14ac:dyDescent="0.35">
      <c r="A2475" t="s">
        <v>2478</v>
      </c>
      <c r="B2475">
        <v>6688</v>
      </c>
      <c r="C2475">
        <v>27</v>
      </c>
      <c r="D2475">
        <v>76</v>
      </c>
      <c r="E2475">
        <v>415</v>
      </c>
      <c r="F2475">
        <v>619</v>
      </c>
      <c r="K2475" s="1">
        <f t="shared" si="239"/>
        <v>415</v>
      </c>
      <c r="L2475" s="1" t="str">
        <f t="shared" si="234"/>
        <v>Normal</v>
      </c>
      <c r="M2475" s="2">
        <f t="shared" si="235"/>
        <v>28.749999999999996</v>
      </c>
      <c r="N2475" s="1" t="str">
        <f t="shared" si="236"/>
        <v>Kering</v>
      </c>
      <c r="O2475" t="str">
        <f t="shared" si="237"/>
        <v>Fuzzy</v>
      </c>
      <c r="P2475" t="str">
        <f t="shared" si="238"/>
        <v>Fuzzy</v>
      </c>
    </row>
    <row r="2476" spans="1:16" x14ac:dyDescent="0.35">
      <c r="A2476" t="s">
        <v>2479</v>
      </c>
      <c r="B2476">
        <v>6689</v>
      </c>
      <c r="C2476">
        <v>27</v>
      </c>
      <c r="D2476">
        <v>76</v>
      </c>
      <c r="E2476">
        <v>425</v>
      </c>
      <c r="F2476">
        <v>619</v>
      </c>
      <c r="K2476" s="1">
        <f t="shared" si="239"/>
        <v>425</v>
      </c>
      <c r="L2476" s="1" t="str">
        <f t="shared" si="234"/>
        <v>Normal</v>
      </c>
      <c r="M2476" s="2">
        <f t="shared" si="235"/>
        <v>31.25</v>
      </c>
      <c r="N2476" s="1" t="str">
        <f t="shared" si="236"/>
        <v>Lembab</v>
      </c>
      <c r="O2476" t="str">
        <f t="shared" si="237"/>
        <v>Fuzzy</v>
      </c>
      <c r="P2476" t="str">
        <f t="shared" si="238"/>
        <v>Fuzzy</v>
      </c>
    </row>
    <row r="2477" spans="1:16" x14ac:dyDescent="0.35">
      <c r="A2477" t="s">
        <v>2480</v>
      </c>
      <c r="B2477">
        <v>6690</v>
      </c>
      <c r="C2477">
        <v>27</v>
      </c>
      <c r="D2477">
        <v>75</v>
      </c>
      <c r="E2477">
        <v>439</v>
      </c>
      <c r="F2477">
        <v>618</v>
      </c>
      <c r="K2477" s="1">
        <f t="shared" si="239"/>
        <v>439</v>
      </c>
      <c r="L2477" s="1" t="str">
        <f t="shared" si="234"/>
        <v>Normal</v>
      </c>
      <c r="M2477" s="2">
        <f t="shared" si="235"/>
        <v>34.75</v>
      </c>
      <c r="N2477" s="1" t="str">
        <f t="shared" si="236"/>
        <v>Lembab</v>
      </c>
      <c r="O2477" t="str">
        <f t="shared" si="237"/>
        <v>Fuzzy</v>
      </c>
      <c r="P2477" t="str">
        <f t="shared" si="238"/>
        <v>Fuzzy</v>
      </c>
    </row>
    <row r="2478" spans="1:16" x14ac:dyDescent="0.35">
      <c r="A2478" t="s">
        <v>2481</v>
      </c>
      <c r="B2478">
        <v>6691</v>
      </c>
      <c r="C2478">
        <v>27</v>
      </c>
      <c r="D2478">
        <v>75</v>
      </c>
      <c r="E2478">
        <v>431</v>
      </c>
      <c r="F2478">
        <v>619</v>
      </c>
      <c r="K2478" s="1">
        <f t="shared" si="239"/>
        <v>431</v>
      </c>
      <c r="L2478" s="1" t="str">
        <f t="shared" si="234"/>
        <v>Normal</v>
      </c>
      <c r="M2478" s="2">
        <f t="shared" si="235"/>
        <v>32.75</v>
      </c>
      <c r="N2478" s="1" t="str">
        <f t="shared" si="236"/>
        <v>Lembab</v>
      </c>
      <c r="O2478" t="str">
        <f t="shared" si="237"/>
        <v>Fuzzy</v>
      </c>
      <c r="P2478" t="str">
        <f t="shared" si="238"/>
        <v>Fuzzy</v>
      </c>
    </row>
    <row r="2479" spans="1:16" x14ac:dyDescent="0.35">
      <c r="A2479" t="s">
        <v>2482</v>
      </c>
      <c r="B2479">
        <v>6692</v>
      </c>
      <c r="C2479">
        <v>27</v>
      </c>
      <c r="D2479">
        <v>75</v>
      </c>
      <c r="E2479">
        <v>617</v>
      </c>
      <c r="F2479">
        <v>619</v>
      </c>
      <c r="K2479" s="1">
        <f t="shared" si="239"/>
        <v>617</v>
      </c>
      <c r="L2479" s="1" t="str">
        <f t="shared" si="234"/>
        <v>Normal</v>
      </c>
      <c r="M2479" s="2">
        <f t="shared" si="235"/>
        <v>79.25</v>
      </c>
      <c r="N2479" s="1" t="str">
        <f t="shared" si="236"/>
        <v>Basah</v>
      </c>
      <c r="O2479" t="str">
        <f t="shared" si="237"/>
        <v>Fuzzy</v>
      </c>
      <c r="P2479" t="str">
        <f t="shared" si="238"/>
        <v>Fuzzy</v>
      </c>
    </row>
    <row r="2480" spans="1:16" x14ac:dyDescent="0.35">
      <c r="A2480" t="s">
        <v>2483</v>
      </c>
      <c r="B2480">
        <v>6693</v>
      </c>
      <c r="C2480">
        <v>27</v>
      </c>
      <c r="D2480">
        <v>76</v>
      </c>
      <c r="E2480">
        <v>456</v>
      </c>
      <c r="F2480">
        <v>619</v>
      </c>
      <c r="K2480" s="1">
        <f t="shared" si="239"/>
        <v>456</v>
      </c>
      <c r="L2480" s="1" t="str">
        <f t="shared" si="234"/>
        <v>Normal</v>
      </c>
      <c r="M2480" s="2">
        <f t="shared" si="235"/>
        <v>39</v>
      </c>
      <c r="N2480" s="1" t="str">
        <f t="shared" si="236"/>
        <v>Lembab</v>
      </c>
      <c r="O2480" t="str">
        <f t="shared" si="237"/>
        <v>Fuzzy</v>
      </c>
      <c r="P2480" t="str">
        <f t="shared" si="238"/>
        <v>Fuzzy</v>
      </c>
    </row>
    <row r="2481" spans="1:16" x14ac:dyDescent="0.35">
      <c r="A2481" t="s">
        <v>2484</v>
      </c>
      <c r="B2481">
        <v>6694</v>
      </c>
      <c r="C2481">
        <v>27</v>
      </c>
      <c r="D2481">
        <v>76</v>
      </c>
      <c r="E2481">
        <v>633</v>
      </c>
      <c r="F2481">
        <v>619</v>
      </c>
      <c r="K2481" s="1">
        <f t="shared" si="239"/>
        <v>633</v>
      </c>
      <c r="L2481" s="1" t="str">
        <f t="shared" si="234"/>
        <v>Normal</v>
      </c>
      <c r="M2481" s="2">
        <f t="shared" si="235"/>
        <v>83.25</v>
      </c>
      <c r="N2481" s="1" t="str">
        <f t="shared" si="236"/>
        <v>Basah</v>
      </c>
      <c r="O2481" t="str">
        <f t="shared" si="237"/>
        <v>Fuzzy</v>
      </c>
      <c r="P2481" t="str">
        <f t="shared" si="238"/>
        <v>Fuzzy</v>
      </c>
    </row>
    <row r="2482" spans="1:16" x14ac:dyDescent="0.35">
      <c r="A2482" t="s">
        <v>2485</v>
      </c>
      <c r="B2482">
        <v>6695</v>
      </c>
      <c r="C2482">
        <v>27</v>
      </c>
      <c r="D2482">
        <v>74</v>
      </c>
      <c r="E2482">
        <v>412</v>
      </c>
      <c r="F2482">
        <v>619</v>
      </c>
      <c r="K2482" s="1">
        <f t="shared" si="239"/>
        <v>412</v>
      </c>
      <c r="L2482" s="1" t="str">
        <f t="shared" si="234"/>
        <v>Normal</v>
      </c>
      <c r="M2482" s="2">
        <f t="shared" si="235"/>
        <v>28.000000000000004</v>
      </c>
      <c r="N2482" s="1" t="str">
        <f t="shared" si="236"/>
        <v>Kering</v>
      </c>
      <c r="O2482" t="str">
        <f t="shared" si="237"/>
        <v>Fuzzy</v>
      </c>
      <c r="P2482" t="str">
        <f t="shared" si="238"/>
        <v>Fuzzy</v>
      </c>
    </row>
    <row r="2483" spans="1:16" x14ac:dyDescent="0.35">
      <c r="A2483" t="s">
        <v>2486</v>
      </c>
      <c r="B2483">
        <v>6696</v>
      </c>
      <c r="C2483">
        <v>27</v>
      </c>
      <c r="D2483">
        <v>74</v>
      </c>
      <c r="E2483">
        <v>697</v>
      </c>
      <c r="F2483">
        <v>619</v>
      </c>
      <c r="K2483" s="1">
        <f t="shared" si="239"/>
        <v>697</v>
      </c>
      <c r="L2483" s="1" t="str">
        <f t="shared" si="234"/>
        <v>Normal</v>
      </c>
      <c r="M2483" s="2">
        <f t="shared" si="235"/>
        <v>99.25</v>
      </c>
      <c r="N2483" s="1" t="str">
        <f t="shared" si="236"/>
        <v>Basah</v>
      </c>
      <c r="O2483" t="str">
        <f t="shared" si="237"/>
        <v>Fuzzy</v>
      </c>
      <c r="P2483" t="str">
        <f t="shared" si="238"/>
        <v>Fuzzy</v>
      </c>
    </row>
    <row r="2484" spans="1:16" x14ac:dyDescent="0.35">
      <c r="A2484" t="s">
        <v>2487</v>
      </c>
      <c r="B2484">
        <v>6697</v>
      </c>
      <c r="C2484">
        <v>27</v>
      </c>
      <c r="D2484">
        <v>71</v>
      </c>
      <c r="E2484">
        <v>454</v>
      </c>
      <c r="F2484">
        <v>619</v>
      </c>
      <c r="K2484" s="1">
        <f t="shared" si="239"/>
        <v>454</v>
      </c>
      <c r="L2484" s="1" t="str">
        <f t="shared" si="234"/>
        <v>Normal</v>
      </c>
      <c r="M2484" s="2">
        <f t="shared" si="235"/>
        <v>38.5</v>
      </c>
      <c r="N2484" s="1" t="str">
        <f t="shared" si="236"/>
        <v>Lembab</v>
      </c>
      <c r="O2484" t="str">
        <f t="shared" si="237"/>
        <v>Fuzzy</v>
      </c>
      <c r="P2484" t="str">
        <f t="shared" si="238"/>
        <v>Fuzzy</v>
      </c>
    </row>
    <row r="2485" spans="1:16" x14ac:dyDescent="0.35">
      <c r="A2485" t="s">
        <v>2488</v>
      </c>
      <c r="B2485">
        <v>6698</v>
      </c>
      <c r="C2485">
        <v>27</v>
      </c>
      <c r="D2485">
        <v>71</v>
      </c>
      <c r="E2485">
        <v>360</v>
      </c>
      <c r="F2485">
        <v>619</v>
      </c>
      <c r="K2485" s="1">
        <f t="shared" si="239"/>
        <v>360</v>
      </c>
      <c r="L2485" s="1" t="str">
        <f t="shared" si="234"/>
        <v>Normal</v>
      </c>
      <c r="M2485" s="2">
        <f t="shared" si="235"/>
        <v>15</v>
      </c>
      <c r="N2485" s="1" t="str">
        <f t="shared" si="236"/>
        <v>Kering</v>
      </c>
      <c r="O2485" t="str">
        <f t="shared" si="237"/>
        <v>Fuzzy</v>
      </c>
      <c r="P2485" t="str">
        <f t="shared" si="238"/>
        <v>Fuzzy</v>
      </c>
    </row>
    <row r="2486" spans="1:16" x14ac:dyDescent="0.35">
      <c r="A2486" t="s">
        <v>2489</v>
      </c>
      <c r="B2486">
        <v>6699</v>
      </c>
      <c r="C2486">
        <v>27</v>
      </c>
      <c r="D2486">
        <v>69</v>
      </c>
      <c r="E2486">
        <v>318</v>
      </c>
      <c r="F2486">
        <v>619</v>
      </c>
      <c r="K2486" s="1">
        <f t="shared" si="239"/>
        <v>318</v>
      </c>
      <c r="L2486" s="1" t="str">
        <f t="shared" si="234"/>
        <v>Normal</v>
      </c>
      <c r="M2486" s="2">
        <f t="shared" si="235"/>
        <v>4.5</v>
      </c>
      <c r="N2486" s="1" t="str">
        <f t="shared" si="236"/>
        <v>Kering</v>
      </c>
      <c r="O2486" t="str">
        <f t="shared" si="237"/>
        <v>Fuzzy</v>
      </c>
      <c r="P2486" t="str">
        <f t="shared" si="238"/>
        <v>Fuzzy</v>
      </c>
    </row>
    <row r="2487" spans="1:16" x14ac:dyDescent="0.35">
      <c r="A2487" t="s">
        <v>2490</v>
      </c>
      <c r="B2487">
        <v>6700</v>
      </c>
      <c r="C2487">
        <v>27</v>
      </c>
      <c r="D2487">
        <v>67</v>
      </c>
      <c r="E2487">
        <v>460</v>
      </c>
      <c r="F2487">
        <v>618</v>
      </c>
      <c r="K2487" s="1">
        <f t="shared" si="239"/>
        <v>460</v>
      </c>
      <c r="L2487" s="1" t="str">
        <f t="shared" si="234"/>
        <v>Normal</v>
      </c>
      <c r="M2487" s="2">
        <f t="shared" si="235"/>
        <v>40</v>
      </c>
      <c r="N2487" s="1" t="str">
        <f t="shared" si="236"/>
        <v>Lembab</v>
      </c>
      <c r="O2487" t="str">
        <f t="shared" si="237"/>
        <v>Fuzzy</v>
      </c>
      <c r="P2487" t="str">
        <f t="shared" si="238"/>
        <v>Fuzzy</v>
      </c>
    </row>
    <row r="2488" spans="1:16" x14ac:dyDescent="0.35">
      <c r="A2488" t="s">
        <v>2491</v>
      </c>
      <c r="B2488">
        <v>6701</v>
      </c>
      <c r="C2488">
        <v>27</v>
      </c>
      <c r="D2488">
        <v>67</v>
      </c>
      <c r="E2488">
        <v>553</v>
      </c>
      <c r="F2488">
        <v>619</v>
      </c>
      <c r="K2488" s="1">
        <f t="shared" si="239"/>
        <v>553</v>
      </c>
      <c r="L2488" s="1" t="str">
        <f t="shared" si="234"/>
        <v>Normal</v>
      </c>
      <c r="M2488" s="2">
        <f t="shared" si="235"/>
        <v>63.249999999999993</v>
      </c>
      <c r="N2488" s="1" t="str">
        <f t="shared" si="236"/>
        <v>Lembab</v>
      </c>
      <c r="O2488" t="str">
        <f t="shared" si="237"/>
        <v>Fuzzy</v>
      </c>
      <c r="P2488" t="str">
        <f t="shared" si="238"/>
        <v>Fuzzy</v>
      </c>
    </row>
    <row r="2489" spans="1:16" x14ac:dyDescent="0.35">
      <c r="A2489" t="s">
        <v>2492</v>
      </c>
      <c r="B2489">
        <v>6702</v>
      </c>
      <c r="C2489">
        <v>27</v>
      </c>
      <c r="D2489">
        <v>66</v>
      </c>
      <c r="E2489">
        <v>504</v>
      </c>
      <c r="F2489">
        <v>619</v>
      </c>
      <c r="K2489" s="1">
        <f t="shared" si="239"/>
        <v>504</v>
      </c>
      <c r="L2489" s="1" t="str">
        <f t="shared" si="234"/>
        <v>Normal</v>
      </c>
      <c r="M2489" s="2">
        <f t="shared" si="235"/>
        <v>51</v>
      </c>
      <c r="N2489" s="1" t="str">
        <f t="shared" si="236"/>
        <v>Lembab</v>
      </c>
      <c r="O2489" t="str">
        <f t="shared" si="237"/>
        <v>Fuzzy</v>
      </c>
      <c r="P2489" t="str">
        <f t="shared" si="238"/>
        <v>Fuzzy</v>
      </c>
    </row>
    <row r="2490" spans="1:16" x14ac:dyDescent="0.35">
      <c r="A2490" t="s">
        <v>2493</v>
      </c>
      <c r="B2490">
        <v>6703</v>
      </c>
      <c r="C2490">
        <v>27</v>
      </c>
      <c r="D2490">
        <v>71</v>
      </c>
      <c r="E2490">
        <v>467</v>
      </c>
      <c r="F2490">
        <v>618</v>
      </c>
      <c r="K2490" s="1">
        <f t="shared" si="239"/>
        <v>467</v>
      </c>
      <c r="L2490" s="1" t="str">
        <f t="shared" si="234"/>
        <v>Normal</v>
      </c>
      <c r="M2490" s="2">
        <f t="shared" si="235"/>
        <v>41.75</v>
      </c>
      <c r="N2490" s="1" t="str">
        <f t="shared" si="236"/>
        <v>Lembab</v>
      </c>
      <c r="O2490" t="str">
        <f t="shared" si="237"/>
        <v>Fuzzy</v>
      </c>
      <c r="P2490" t="str">
        <f t="shared" si="238"/>
        <v>Fuzzy</v>
      </c>
    </row>
    <row r="2491" spans="1:16" x14ac:dyDescent="0.35">
      <c r="A2491" t="s">
        <v>2494</v>
      </c>
      <c r="B2491">
        <v>6704</v>
      </c>
      <c r="C2491">
        <v>27</v>
      </c>
      <c r="D2491">
        <v>72</v>
      </c>
      <c r="E2491">
        <v>488</v>
      </c>
      <c r="F2491">
        <v>619</v>
      </c>
      <c r="K2491" s="1">
        <f t="shared" si="239"/>
        <v>488</v>
      </c>
      <c r="L2491" s="1" t="str">
        <f t="shared" si="234"/>
        <v>Normal</v>
      </c>
      <c r="M2491" s="2">
        <f t="shared" si="235"/>
        <v>47</v>
      </c>
      <c r="N2491" s="1" t="str">
        <f t="shared" si="236"/>
        <v>Lembab</v>
      </c>
      <c r="O2491" t="str">
        <f t="shared" si="237"/>
        <v>Fuzzy</v>
      </c>
      <c r="P2491" t="str">
        <f t="shared" si="238"/>
        <v>Fuzzy</v>
      </c>
    </row>
    <row r="2492" spans="1:16" x14ac:dyDescent="0.35">
      <c r="A2492" t="s">
        <v>2495</v>
      </c>
      <c r="B2492">
        <v>6705</v>
      </c>
      <c r="C2492">
        <v>27</v>
      </c>
      <c r="D2492">
        <v>72</v>
      </c>
      <c r="E2492">
        <v>520</v>
      </c>
      <c r="F2492">
        <v>618</v>
      </c>
      <c r="K2492" s="1">
        <f t="shared" si="239"/>
        <v>520</v>
      </c>
      <c r="L2492" s="1" t="str">
        <f t="shared" si="234"/>
        <v>Normal</v>
      </c>
      <c r="M2492" s="2">
        <f t="shared" si="235"/>
        <v>55.000000000000007</v>
      </c>
      <c r="N2492" s="1" t="str">
        <f t="shared" si="236"/>
        <v>Lembab</v>
      </c>
      <c r="O2492" t="str">
        <f t="shared" si="237"/>
        <v>Fuzzy</v>
      </c>
      <c r="P2492" t="str">
        <f t="shared" si="238"/>
        <v>Fuzzy</v>
      </c>
    </row>
    <row r="2493" spans="1:16" x14ac:dyDescent="0.35">
      <c r="A2493" t="s">
        <v>2496</v>
      </c>
      <c r="B2493">
        <v>6706</v>
      </c>
      <c r="C2493">
        <v>27</v>
      </c>
      <c r="D2493">
        <v>71</v>
      </c>
      <c r="E2493">
        <v>530</v>
      </c>
      <c r="F2493">
        <v>618</v>
      </c>
      <c r="K2493" s="1">
        <f t="shared" si="239"/>
        <v>530</v>
      </c>
      <c r="L2493" s="1" t="str">
        <f t="shared" si="234"/>
        <v>Normal</v>
      </c>
      <c r="M2493" s="2">
        <f t="shared" si="235"/>
        <v>57.499999999999993</v>
      </c>
      <c r="N2493" s="1" t="str">
        <f t="shared" si="236"/>
        <v>Lembab</v>
      </c>
      <c r="O2493" t="str">
        <f t="shared" si="237"/>
        <v>Fuzzy</v>
      </c>
      <c r="P2493" t="str">
        <f t="shared" si="238"/>
        <v>Fuzzy</v>
      </c>
    </row>
    <row r="2494" spans="1:16" x14ac:dyDescent="0.35">
      <c r="A2494" t="s">
        <v>2497</v>
      </c>
      <c r="B2494">
        <v>6707</v>
      </c>
      <c r="C2494">
        <v>27</v>
      </c>
      <c r="D2494">
        <v>71</v>
      </c>
      <c r="E2494">
        <v>444</v>
      </c>
      <c r="F2494">
        <v>618</v>
      </c>
      <c r="K2494" s="1">
        <f t="shared" si="239"/>
        <v>444</v>
      </c>
      <c r="L2494" s="1" t="str">
        <f t="shared" si="234"/>
        <v>Normal</v>
      </c>
      <c r="M2494" s="2">
        <f t="shared" si="235"/>
        <v>36</v>
      </c>
      <c r="N2494" s="1" t="str">
        <f t="shared" si="236"/>
        <v>Lembab</v>
      </c>
      <c r="O2494" t="str">
        <f t="shared" si="237"/>
        <v>Fuzzy</v>
      </c>
      <c r="P2494" t="str">
        <f t="shared" si="238"/>
        <v>Fuzzy</v>
      </c>
    </row>
    <row r="2495" spans="1:16" x14ac:dyDescent="0.35">
      <c r="A2495" t="s">
        <v>2498</v>
      </c>
      <c r="B2495">
        <v>6708</v>
      </c>
      <c r="C2495">
        <v>27</v>
      </c>
      <c r="D2495">
        <v>71</v>
      </c>
      <c r="E2495">
        <v>458</v>
      </c>
      <c r="F2495">
        <v>618</v>
      </c>
      <c r="K2495" s="1">
        <f t="shared" si="239"/>
        <v>458</v>
      </c>
      <c r="L2495" s="1" t="str">
        <f t="shared" si="234"/>
        <v>Normal</v>
      </c>
      <c r="M2495" s="2">
        <f t="shared" si="235"/>
        <v>39.5</v>
      </c>
      <c r="N2495" s="1" t="str">
        <f t="shared" si="236"/>
        <v>Lembab</v>
      </c>
      <c r="O2495" t="str">
        <f t="shared" si="237"/>
        <v>Fuzzy</v>
      </c>
      <c r="P2495" t="str">
        <f t="shared" si="238"/>
        <v>Fuzzy</v>
      </c>
    </row>
    <row r="2496" spans="1:16" x14ac:dyDescent="0.35">
      <c r="A2496" t="s">
        <v>2499</v>
      </c>
      <c r="B2496">
        <v>6709</v>
      </c>
      <c r="C2496">
        <v>27</v>
      </c>
      <c r="D2496">
        <v>71</v>
      </c>
      <c r="E2496">
        <v>524</v>
      </c>
      <c r="F2496">
        <v>618</v>
      </c>
      <c r="K2496" s="1">
        <f t="shared" si="239"/>
        <v>524</v>
      </c>
      <c r="L2496" s="1" t="str">
        <f t="shared" si="234"/>
        <v>Normal</v>
      </c>
      <c r="M2496" s="2">
        <f t="shared" si="235"/>
        <v>56.000000000000007</v>
      </c>
      <c r="N2496" s="1" t="str">
        <f t="shared" si="236"/>
        <v>Lembab</v>
      </c>
      <c r="O2496" t="str">
        <f t="shared" si="237"/>
        <v>Fuzzy</v>
      </c>
      <c r="P2496" t="str">
        <f t="shared" si="238"/>
        <v>Fuzzy</v>
      </c>
    </row>
    <row r="2497" spans="1:16" x14ac:dyDescent="0.35">
      <c r="A2497" t="s">
        <v>2500</v>
      </c>
      <c r="B2497">
        <v>6710</v>
      </c>
      <c r="C2497">
        <v>27</v>
      </c>
      <c r="D2497">
        <v>74</v>
      </c>
      <c r="E2497">
        <v>480</v>
      </c>
      <c r="F2497">
        <v>619</v>
      </c>
      <c r="K2497" s="1">
        <f t="shared" si="239"/>
        <v>480</v>
      </c>
      <c r="L2497" s="1" t="str">
        <f t="shared" si="234"/>
        <v>Normal</v>
      </c>
      <c r="M2497" s="2">
        <f t="shared" si="235"/>
        <v>45</v>
      </c>
      <c r="N2497" s="1" t="str">
        <f t="shared" si="236"/>
        <v>Lembab</v>
      </c>
      <c r="O2497" t="str">
        <f t="shared" si="237"/>
        <v>Fuzzy</v>
      </c>
      <c r="P2497" t="str">
        <f t="shared" si="238"/>
        <v>Fuzzy</v>
      </c>
    </row>
    <row r="2498" spans="1:16" x14ac:dyDescent="0.35">
      <c r="A2498" t="s">
        <v>2501</v>
      </c>
      <c r="B2498">
        <v>6711</v>
      </c>
      <c r="C2498">
        <v>27</v>
      </c>
      <c r="D2498">
        <v>74</v>
      </c>
      <c r="E2498">
        <v>489</v>
      </c>
      <c r="F2498">
        <v>618</v>
      </c>
      <c r="K2498" s="1">
        <f t="shared" si="239"/>
        <v>489</v>
      </c>
      <c r="L2498" s="1" t="str">
        <f t="shared" si="234"/>
        <v>Normal</v>
      </c>
      <c r="M2498" s="2">
        <f t="shared" si="235"/>
        <v>47.25</v>
      </c>
      <c r="N2498" s="1" t="str">
        <f t="shared" si="236"/>
        <v>Lembab</v>
      </c>
      <c r="O2498" t="str">
        <f t="shared" si="237"/>
        <v>Fuzzy</v>
      </c>
      <c r="P2498" t="str">
        <f t="shared" si="238"/>
        <v>Fuzzy</v>
      </c>
    </row>
    <row r="2499" spans="1:16" x14ac:dyDescent="0.35">
      <c r="A2499" t="s">
        <v>2502</v>
      </c>
      <c r="B2499">
        <v>6712</v>
      </c>
      <c r="C2499">
        <v>27</v>
      </c>
      <c r="D2499">
        <v>74</v>
      </c>
      <c r="E2499">
        <v>506</v>
      </c>
      <c r="F2499">
        <v>619</v>
      </c>
      <c r="K2499" s="1">
        <f t="shared" si="239"/>
        <v>506</v>
      </c>
      <c r="L2499" s="1" t="str">
        <f t="shared" ref="L2499:L2534" si="240">IF(A2498 &lt;= 10, "Dingin", IF(OR(A2498 &gt;= 10, A2498 &lt; 35), "Normal", "Panas"))</f>
        <v>Normal</v>
      </c>
      <c r="M2499" s="2">
        <f t="shared" ref="M2499:M2534" si="241">IF(K2499&lt;=300, K2499/1023*100, IF(K2499&lt;=700, (K2499-300)/(700-301+1)*100, (K2499-700)/(1023-701+1)*100))</f>
        <v>51.5</v>
      </c>
      <c r="N2499" s="1" t="str">
        <f t="shared" ref="N2499:N2534" si="242">IF(M2499&lt;=29.32, "Kering", IF(M2499&lt;=68.53, "Lembab", "Basah"))</f>
        <v>Lembab</v>
      </c>
      <c r="O2499" t="str">
        <f t="shared" ref="O2499:O2534" si="243">IF(OR(AND(C2499 &gt; 10, C2499 &lt; 22.5), AND(C2499 &gt;= 22.5, C2499 &lt; 35)), "Fuzzy", "")</f>
        <v>Fuzzy</v>
      </c>
      <c r="P2499" t="str">
        <f t="shared" ref="P2499:P2534" si="244">IF(OR(AND(M2499 &gt;= 0, M2499 &lt; 50), AND(M2499 &gt;= 50, M2499 &lt; 100)), "Fuzzy", "")</f>
        <v>Fuzzy</v>
      </c>
    </row>
    <row r="2500" spans="1:16" x14ac:dyDescent="0.35">
      <c r="A2500" t="s">
        <v>2503</v>
      </c>
      <c r="B2500">
        <v>6713</v>
      </c>
      <c r="C2500">
        <v>27</v>
      </c>
      <c r="D2500">
        <v>75</v>
      </c>
      <c r="E2500">
        <v>491</v>
      </c>
      <c r="F2500">
        <v>619</v>
      </c>
      <c r="K2500" s="1">
        <f t="shared" si="239"/>
        <v>491</v>
      </c>
      <c r="L2500" s="1" t="str">
        <f t="shared" si="240"/>
        <v>Normal</v>
      </c>
      <c r="M2500" s="2">
        <f t="shared" si="241"/>
        <v>47.75</v>
      </c>
      <c r="N2500" s="1" t="str">
        <f t="shared" si="242"/>
        <v>Lembab</v>
      </c>
      <c r="O2500" t="str">
        <f t="shared" si="243"/>
        <v>Fuzzy</v>
      </c>
      <c r="P2500" t="str">
        <f t="shared" si="244"/>
        <v>Fuzzy</v>
      </c>
    </row>
    <row r="2501" spans="1:16" x14ac:dyDescent="0.35">
      <c r="A2501" t="s">
        <v>2504</v>
      </c>
      <c r="B2501">
        <v>6714</v>
      </c>
      <c r="C2501">
        <v>27</v>
      </c>
      <c r="D2501">
        <v>75</v>
      </c>
      <c r="E2501">
        <v>504</v>
      </c>
      <c r="F2501">
        <v>619</v>
      </c>
      <c r="K2501" s="1">
        <f t="shared" si="239"/>
        <v>504</v>
      </c>
      <c r="L2501" s="1" t="str">
        <f t="shared" si="240"/>
        <v>Normal</v>
      </c>
      <c r="M2501" s="2">
        <f t="shared" si="241"/>
        <v>51</v>
      </c>
      <c r="N2501" s="1" t="str">
        <f t="shared" si="242"/>
        <v>Lembab</v>
      </c>
      <c r="O2501" t="str">
        <f t="shared" si="243"/>
        <v>Fuzzy</v>
      </c>
      <c r="P2501" t="str">
        <f t="shared" si="244"/>
        <v>Fuzzy</v>
      </c>
    </row>
    <row r="2502" spans="1:16" x14ac:dyDescent="0.35">
      <c r="A2502" t="s">
        <v>2505</v>
      </c>
      <c r="B2502">
        <v>6715</v>
      </c>
      <c r="C2502">
        <v>27</v>
      </c>
      <c r="D2502">
        <v>75</v>
      </c>
      <c r="E2502">
        <v>485</v>
      </c>
      <c r="F2502">
        <v>619</v>
      </c>
      <c r="K2502" s="1">
        <f t="shared" si="239"/>
        <v>485</v>
      </c>
      <c r="L2502" s="1" t="str">
        <f t="shared" si="240"/>
        <v>Normal</v>
      </c>
      <c r="M2502" s="2">
        <f t="shared" si="241"/>
        <v>46.25</v>
      </c>
      <c r="N2502" s="1" t="str">
        <f t="shared" si="242"/>
        <v>Lembab</v>
      </c>
      <c r="O2502" t="str">
        <f t="shared" si="243"/>
        <v>Fuzzy</v>
      </c>
      <c r="P2502" t="str">
        <f t="shared" si="244"/>
        <v>Fuzzy</v>
      </c>
    </row>
    <row r="2503" spans="1:16" x14ac:dyDescent="0.35">
      <c r="A2503" t="s">
        <v>2506</v>
      </c>
      <c r="B2503">
        <v>6716</v>
      </c>
      <c r="C2503">
        <v>27</v>
      </c>
      <c r="D2503">
        <v>75</v>
      </c>
      <c r="E2503">
        <v>491</v>
      </c>
      <c r="F2503">
        <v>619</v>
      </c>
      <c r="K2503" s="1">
        <f t="shared" si="239"/>
        <v>491</v>
      </c>
      <c r="L2503" s="1" t="str">
        <f t="shared" si="240"/>
        <v>Normal</v>
      </c>
      <c r="M2503" s="2">
        <f t="shared" si="241"/>
        <v>47.75</v>
      </c>
      <c r="N2503" s="1" t="str">
        <f t="shared" si="242"/>
        <v>Lembab</v>
      </c>
      <c r="O2503" t="str">
        <f t="shared" si="243"/>
        <v>Fuzzy</v>
      </c>
      <c r="P2503" t="str">
        <f t="shared" si="244"/>
        <v>Fuzzy</v>
      </c>
    </row>
    <row r="2504" spans="1:16" x14ac:dyDescent="0.35">
      <c r="A2504" t="s">
        <v>2507</v>
      </c>
      <c r="B2504">
        <v>6717</v>
      </c>
      <c r="C2504">
        <v>27</v>
      </c>
      <c r="D2504">
        <v>75</v>
      </c>
      <c r="E2504">
        <v>439</v>
      </c>
      <c r="F2504">
        <v>619</v>
      </c>
      <c r="K2504" s="1">
        <f t="shared" si="239"/>
        <v>439</v>
      </c>
      <c r="L2504" s="1" t="str">
        <f t="shared" si="240"/>
        <v>Normal</v>
      </c>
      <c r="M2504" s="2">
        <f t="shared" si="241"/>
        <v>34.75</v>
      </c>
      <c r="N2504" s="1" t="str">
        <f t="shared" si="242"/>
        <v>Lembab</v>
      </c>
      <c r="O2504" t="str">
        <f t="shared" si="243"/>
        <v>Fuzzy</v>
      </c>
      <c r="P2504" t="str">
        <f t="shared" si="244"/>
        <v>Fuzzy</v>
      </c>
    </row>
    <row r="2505" spans="1:16" x14ac:dyDescent="0.35">
      <c r="A2505" t="s">
        <v>2508</v>
      </c>
      <c r="B2505">
        <v>6718</v>
      </c>
      <c r="C2505">
        <v>27</v>
      </c>
      <c r="D2505">
        <v>74</v>
      </c>
      <c r="E2505">
        <v>444</v>
      </c>
      <c r="F2505">
        <v>619</v>
      </c>
      <c r="K2505" s="1">
        <f t="shared" si="239"/>
        <v>444</v>
      </c>
      <c r="L2505" s="1" t="str">
        <f t="shared" si="240"/>
        <v>Normal</v>
      </c>
      <c r="M2505" s="2">
        <f t="shared" si="241"/>
        <v>36</v>
      </c>
      <c r="N2505" s="1" t="str">
        <f t="shared" si="242"/>
        <v>Lembab</v>
      </c>
      <c r="O2505" t="str">
        <f t="shared" si="243"/>
        <v>Fuzzy</v>
      </c>
      <c r="P2505" t="str">
        <f t="shared" si="244"/>
        <v>Fuzzy</v>
      </c>
    </row>
    <row r="2506" spans="1:16" x14ac:dyDescent="0.35">
      <c r="A2506" t="s">
        <v>2509</v>
      </c>
      <c r="B2506">
        <v>6719</v>
      </c>
      <c r="C2506">
        <v>27</v>
      </c>
      <c r="D2506">
        <v>75</v>
      </c>
      <c r="E2506">
        <v>456</v>
      </c>
      <c r="F2506">
        <v>12</v>
      </c>
      <c r="K2506" s="1">
        <f t="shared" si="239"/>
        <v>456</v>
      </c>
      <c r="L2506" s="1" t="str">
        <f t="shared" si="240"/>
        <v>Normal</v>
      </c>
      <c r="M2506" s="2">
        <f t="shared" si="241"/>
        <v>39</v>
      </c>
      <c r="N2506" s="1" t="str">
        <f t="shared" si="242"/>
        <v>Lembab</v>
      </c>
      <c r="O2506" t="str">
        <f t="shared" si="243"/>
        <v>Fuzzy</v>
      </c>
      <c r="P2506" t="str">
        <f t="shared" si="244"/>
        <v>Fuzzy</v>
      </c>
    </row>
    <row r="2507" spans="1:16" x14ac:dyDescent="0.35">
      <c r="A2507" t="s">
        <v>2510</v>
      </c>
      <c r="B2507">
        <v>6720</v>
      </c>
      <c r="C2507">
        <v>27</v>
      </c>
      <c r="D2507">
        <v>75</v>
      </c>
      <c r="E2507">
        <v>533</v>
      </c>
      <c r="F2507">
        <v>11</v>
      </c>
      <c r="K2507" s="1">
        <f t="shared" si="239"/>
        <v>533</v>
      </c>
      <c r="L2507" s="1" t="str">
        <f t="shared" si="240"/>
        <v>Normal</v>
      </c>
      <c r="M2507" s="2">
        <f t="shared" si="241"/>
        <v>58.25</v>
      </c>
      <c r="N2507" s="1" t="str">
        <f t="shared" si="242"/>
        <v>Lembab</v>
      </c>
      <c r="O2507" t="str">
        <f t="shared" si="243"/>
        <v>Fuzzy</v>
      </c>
      <c r="P2507" t="str">
        <f t="shared" si="244"/>
        <v>Fuzzy</v>
      </c>
    </row>
    <row r="2508" spans="1:16" x14ac:dyDescent="0.35">
      <c r="A2508" t="s">
        <v>2511</v>
      </c>
      <c r="B2508">
        <v>6721</v>
      </c>
      <c r="C2508">
        <v>27</v>
      </c>
      <c r="D2508">
        <v>74</v>
      </c>
      <c r="E2508">
        <v>480</v>
      </c>
      <c r="F2508">
        <v>11</v>
      </c>
      <c r="K2508" s="1">
        <f t="shared" si="239"/>
        <v>480</v>
      </c>
      <c r="L2508" s="1" t="str">
        <f t="shared" si="240"/>
        <v>Normal</v>
      </c>
      <c r="M2508" s="2">
        <f t="shared" si="241"/>
        <v>45</v>
      </c>
      <c r="N2508" s="1" t="str">
        <f t="shared" si="242"/>
        <v>Lembab</v>
      </c>
      <c r="O2508" t="str">
        <f t="shared" si="243"/>
        <v>Fuzzy</v>
      </c>
      <c r="P2508" t="str">
        <f t="shared" si="244"/>
        <v>Fuzzy</v>
      </c>
    </row>
    <row r="2509" spans="1:16" x14ac:dyDescent="0.35">
      <c r="A2509" t="s">
        <v>2512</v>
      </c>
      <c r="B2509">
        <v>6722</v>
      </c>
      <c r="C2509">
        <v>27</v>
      </c>
      <c r="D2509">
        <v>74</v>
      </c>
      <c r="E2509">
        <v>472</v>
      </c>
      <c r="F2509">
        <v>11</v>
      </c>
      <c r="K2509" s="1">
        <f t="shared" ref="K2509:K2534" si="245">IF(E2509&lt;=1023, E2509, "")</f>
        <v>472</v>
      </c>
      <c r="L2509" s="1" t="str">
        <f t="shared" si="240"/>
        <v>Normal</v>
      </c>
      <c r="M2509" s="2">
        <f t="shared" si="241"/>
        <v>43</v>
      </c>
      <c r="N2509" s="1" t="str">
        <f t="shared" si="242"/>
        <v>Lembab</v>
      </c>
      <c r="O2509" t="str">
        <f t="shared" si="243"/>
        <v>Fuzzy</v>
      </c>
      <c r="P2509" t="str">
        <f t="shared" si="244"/>
        <v>Fuzzy</v>
      </c>
    </row>
    <row r="2510" spans="1:16" x14ac:dyDescent="0.35">
      <c r="A2510" t="s">
        <v>2513</v>
      </c>
      <c r="B2510">
        <v>6723</v>
      </c>
      <c r="C2510">
        <v>27</v>
      </c>
      <c r="D2510">
        <v>74</v>
      </c>
      <c r="E2510">
        <v>418</v>
      </c>
      <c r="F2510">
        <v>11</v>
      </c>
      <c r="K2510" s="1">
        <f t="shared" si="245"/>
        <v>418</v>
      </c>
      <c r="L2510" s="1" t="str">
        <f t="shared" si="240"/>
        <v>Normal</v>
      </c>
      <c r="M2510" s="2">
        <f t="shared" si="241"/>
        <v>29.5</v>
      </c>
      <c r="N2510" s="1" t="str">
        <f t="shared" si="242"/>
        <v>Lembab</v>
      </c>
      <c r="O2510" t="str">
        <f t="shared" si="243"/>
        <v>Fuzzy</v>
      </c>
      <c r="P2510" t="str">
        <f t="shared" si="244"/>
        <v>Fuzzy</v>
      </c>
    </row>
    <row r="2511" spans="1:16" x14ac:dyDescent="0.35">
      <c r="A2511" t="s">
        <v>2514</v>
      </c>
      <c r="B2511">
        <v>6724</v>
      </c>
      <c r="C2511">
        <v>27</v>
      </c>
      <c r="D2511">
        <v>74</v>
      </c>
      <c r="E2511">
        <v>455</v>
      </c>
      <c r="F2511">
        <v>11</v>
      </c>
      <c r="K2511" s="1">
        <f t="shared" si="245"/>
        <v>455</v>
      </c>
      <c r="L2511" s="1" t="str">
        <f t="shared" si="240"/>
        <v>Normal</v>
      </c>
      <c r="M2511" s="2">
        <f t="shared" si="241"/>
        <v>38.75</v>
      </c>
      <c r="N2511" s="1" t="str">
        <f t="shared" si="242"/>
        <v>Lembab</v>
      </c>
      <c r="O2511" t="str">
        <f t="shared" si="243"/>
        <v>Fuzzy</v>
      </c>
      <c r="P2511" t="str">
        <f t="shared" si="244"/>
        <v>Fuzzy</v>
      </c>
    </row>
    <row r="2512" spans="1:16" x14ac:dyDescent="0.35">
      <c r="A2512" t="s">
        <v>2515</v>
      </c>
      <c r="B2512">
        <v>6725</v>
      </c>
      <c r="C2512">
        <v>27</v>
      </c>
      <c r="D2512">
        <v>74</v>
      </c>
      <c r="E2512">
        <v>470</v>
      </c>
      <c r="F2512">
        <v>11</v>
      </c>
      <c r="K2512" s="1">
        <f t="shared" si="245"/>
        <v>470</v>
      </c>
      <c r="L2512" s="1" t="str">
        <f t="shared" si="240"/>
        <v>Normal</v>
      </c>
      <c r="M2512" s="2">
        <f t="shared" si="241"/>
        <v>42.5</v>
      </c>
      <c r="N2512" s="1" t="str">
        <f t="shared" si="242"/>
        <v>Lembab</v>
      </c>
      <c r="O2512" t="str">
        <f t="shared" si="243"/>
        <v>Fuzzy</v>
      </c>
      <c r="P2512" t="str">
        <f t="shared" si="244"/>
        <v>Fuzzy</v>
      </c>
    </row>
    <row r="2513" spans="1:16" x14ac:dyDescent="0.35">
      <c r="A2513" t="s">
        <v>2516</v>
      </c>
      <c r="B2513">
        <v>6726</v>
      </c>
      <c r="C2513">
        <v>27</v>
      </c>
      <c r="D2513">
        <v>74</v>
      </c>
      <c r="E2513">
        <v>489</v>
      </c>
      <c r="F2513">
        <v>11</v>
      </c>
      <c r="K2513" s="1">
        <f t="shared" si="245"/>
        <v>489</v>
      </c>
      <c r="L2513" s="1" t="str">
        <f t="shared" si="240"/>
        <v>Normal</v>
      </c>
      <c r="M2513" s="2">
        <f t="shared" si="241"/>
        <v>47.25</v>
      </c>
      <c r="N2513" s="1" t="str">
        <f t="shared" si="242"/>
        <v>Lembab</v>
      </c>
      <c r="O2513" t="str">
        <f t="shared" si="243"/>
        <v>Fuzzy</v>
      </c>
      <c r="P2513" t="str">
        <f t="shared" si="244"/>
        <v>Fuzzy</v>
      </c>
    </row>
    <row r="2514" spans="1:16" x14ac:dyDescent="0.35">
      <c r="A2514" t="s">
        <v>2517</v>
      </c>
      <c r="B2514">
        <v>6727</v>
      </c>
      <c r="C2514">
        <v>27</v>
      </c>
      <c r="D2514">
        <v>73</v>
      </c>
      <c r="E2514">
        <v>499</v>
      </c>
      <c r="F2514">
        <v>619</v>
      </c>
      <c r="K2514" s="1">
        <f t="shared" si="245"/>
        <v>499</v>
      </c>
      <c r="L2514" s="1" t="str">
        <f t="shared" si="240"/>
        <v>Normal</v>
      </c>
      <c r="M2514" s="2">
        <f t="shared" si="241"/>
        <v>49.75</v>
      </c>
      <c r="N2514" s="1" t="str">
        <f t="shared" si="242"/>
        <v>Lembab</v>
      </c>
      <c r="O2514" t="str">
        <f t="shared" si="243"/>
        <v>Fuzzy</v>
      </c>
      <c r="P2514" t="str">
        <f t="shared" si="244"/>
        <v>Fuzzy</v>
      </c>
    </row>
    <row r="2515" spans="1:16" x14ac:dyDescent="0.35">
      <c r="A2515" t="s">
        <v>2518</v>
      </c>
      <c r="B2515">
        <v>6728</v>
      </c>
      <c r="C2515">
        <v>27</v>
      </c>
      <c r="D2515">
        <v>72</v>
      </c>
      <c r="E2515">
        <v>489</v>
      </c>
      <c r="F2515">
        <v>619</v>
      </c>
      <c r="K2515" s="1">
        <f t="shared" si="245"/>
        <v>489</v>
      </c>
      <c r="L2515" s="1" t="str">
        <f t="shared" si="240"/>
        <v>Normal</v>
      </c>
      <c r="M2515" s="2">
        <f t="shared" si="241"/>
        <v>47.25</v>
      </c>
      <c r="N2515" s="1" t="str">
        <f t="shared" si="242"/>
        <v>Lembab</v>
      </c>
      <c r="O2515" t="str">
        <f t="shared" si="243"/>
        <v>Fuzzy</v>
      </c>
      <c r="P2515" t="str">
        <f t="shared" si="244"/>
        <v>Fuzzy</v>
      </c>
    </row>
    <row r="2516" spans="1:16" x14ac:dyDescent="0.35">
      <c r="A2516" t="s">
        <v>2519</v>
      </c>
      <c r="B2516">
        <v>6729</v>
      </c>
      <c r="C2516">
        <v>27</v>
      </c>
      <c r="D2516">
        <v>72</v>
      </c>
      <c r="E2516">
        <v>512</v>
      </c>
      <c r="F2516">
        <v>619</v>
      </c>
      <c r="K2516" s="1">
        <f t="shared" si="245"/>
        <v>512</v>
      </c>
      <c r="L2516" s="1" t="str">
        <f t="shared" si="240"/>
        <v>Normal</v>
      </c>
      <c r="M2516" s="2">
        <f t="shared" si="241"/>
        <v>53</v>
      </c>
      <c r="N2516" s="1" t="str">
        <f t="shared" si="242"/>
        <v>Lembab</v>
      </c>
      <c r="O2516" t="str">
        <f t="shared" si="243"/>
        <v>Fuzzy</v>
      </c>
      <c r="P2516" t="str">
        <f t="shared" si="244"/>
        <v>Fuzzy</v>
      </c>
    </row>
    <row r="2517" spans="1:16" x14ac:dyDescent="0.35">
      <c r="A2517" t="s">
        <v>2520</v>
      </c>
      <c r="B2517">
        <v>6730</v>
      </c>
      <c r="C2517">
        <v>27</v>
      </c>
      <c r="D2517">
        <v>73</v>
      </c>
      <c r="E2517">
        <v>515</v>
      </c>
      <c r="F2517">
        <v>619</v>
      </c>
      <c r="K2517" s="1">
        <f t="shared" si="245"/>
        <v>515</v>
      </c>
      <c r="L2517" s="1" t="str">
        <f t="shared" si="240"/>
        <v>Normal</v>
      </c>
      <c r="M2517" s="2">
        <f t="shared" si="241"/>
        <v>53.75</v>
      </c>
      <c r="N2517" s="1" t="str">
        <f t="shared" si="242"/>
        <v>Lembab</v>
      </c>
      <c r="O2517" t="str">
        <f t="shared" si="243"/>
        <v>Fuzzy</v>
      </c>
      <c r="P2517" t="str">
        <f t="shared" si="244"/>
        <v>Fuzzy</v>
      </c>
    </row>
    <row r="2518" spans="1:16" x14ac:dyDescent="0.35">
      <c r="A2518" t="s">
        <v>2521</v>
      </c>
      <c r="B2518">
        <v>6731</v>
      </c>
      <c r="C2518">
        <v>27</v>
      </c>
      <c r="D2518">
        <v>73</v>
      </c>
      <c r="E2518">
        <v>444</v>
      </c>
      <c r="F2518">
        <v>620</v>
      </c>
      <c r="K2518" s="1">
        <f t="shared" si="245"/>
        <v>444</v>
      </c>
      <c r="L2518" s="1" t="str">
        <f t="shared" si="240"/>
        <v>Normal</v>
      </c>
      <c r="M2518" s="2">
        <f t="shared" si="241"/>
        <v>36</v>
      </c>
      <c r="N2518" s="1" t="str">
        <f t="shared" si="242"/>
        <v>Lembab</v>
      </c>
      <c r="O2518" t="str">
        <f t="shared" si="243"/>
        <v>Fuzzy</v>
      </c>
      <c r="P2518" t="str">
        <f t="shared" si="244"/>
        <v>Fuzzy</v>
      </c>
    </row>
    <row r="2519" spans="1:16" x14ac:dyDescent="0.35">
      <c r="A2519" t="s">
        <v>2522</v>
      </c>
      <c r="B2519">
        <v>6732</v>
      </c>
      <c r="C2519">
        <v>27</v>
      </c>
      <c r="D2519">
        <v>73</v>
      </c>
      <c r="E2519">
        <v>495</v>
      </c>
      <c r="F2519">
        <v>619</v>
      </c>
      <c r="K2519" s="1">
        <f t="shared" si="245"/>
        <v>495</v>
      </c>
      <c r="L2519" s="1" t="str">
        <f t="shared" si="240"/>
        <v>Normal</v>
      </c>
      <c r="M2519" s="2">
        <f t="shared" si="241"/>
        <v>48.75</v>
      </c>
      <c r="N2519" s="1" t="str">
        <f t="shared" si="242"/>
        <v>Lembab</v>
      </c>
      <c r="O2519" t="str">
        <f t="shared" si="243"/>
        <v>Fuzzy</v>
      </c>
      <c r="P2519" t="str">
        <f t="shared" si="244"/>
        <v>Fuzzy</v>
      </c>
    </row>
    <row r="2520" spans="1:16" x14ac:dyDescent="0.35">
      <c r="A2520" t="s">
        <v>2523</v>
      </c>
      <c r="B2520">
        <v>6733</v>
      </c>
      <c r="C2520">
        <v>27</v>
      </c>
      <c r="D2520">
        <v>73</v>
      </c>
      <c r="E2520">
        <v>375</v>
      </c>
      <c r="F2520">
        <v>619</v>
      </c>
      <c r="K2520" s="1">
        <f t="shared" si="245"/>
        <v>375</v>
      </c>
      <c r="L2520" s="1" t="str">
        <f t="shared" si="240"/>
        <v>Normal</v>
      </c>
      <c r="M2520" s="2">
        <f t="shared" si="241"/>
        <v>18.75</v>
      </c>
      <c r="N2520" s="1" t="str">
        <f t="shared" si="242"/>
        <v>Kering</v>
      </c>
      <c r="O2520" t="str">
        <f t="shared" si="243"/>
        <v>Fuzzy</v>
      </c>
      <c r="P2520" t="str">
        <f t="shared" si="244"/>
        <v>Fuzzy</v>
      </c>
    </row>
    <row r="2521" spans="1:16" x14ac:dyDescent="0.35">
      <c r="A2521" t="s">
        <v>2524</v>
      </c>
      <c r="B2521">
        <v>6734</v>
      </c>
      <c r="C2521">
        <v>27</v>
      </c>
      <c r="D2521">
        <v>73</v>
      </c>
      <c r="E2521">
        <v>435</v>
      </c>
      <c r="F2521">
        <v>618</v>
      </c>
      <c r="K2521" s="1">
        <f t="shared" si="245"/>
        <v>435</v>
      </c>
      <c r="L2521" s="1" t="str">
        <f t="shared" si="240"/>
        <v>Normal</v>
      </c>
      <c r="M2521" s="2">
        <f t="shared" si="241"/>
        <v>33.75</v>
      </c>
      <c r="N2521" s="1" t="str">
        <f t="shared" si="242"/>
        <v>Lembab</v>
      </c>
      <c r="O2521" t="str">
        <f t="shared" si="243"/>
        <v>Fuzzy</v>
      </c>
      <c r="P2521" t="str">
        <f t="shared" si="244"/>
        <v>Fuzzy</v>
      </c>
    </row>
    <row r="2522" spans="1:16" x14ac:dyDescent="0.35">
      <c r="A2522" t="s">
        <v>2525</v>
      </c>
      <c r="B2522">
        <v>6735</v>
      </c>
      <c r="C2522">
        <v>27</v>
      </c>
      <c r="D2522">
        <v>73</v>
      </c>
      <c r="E2522">
        <v>489</v>
      </c>
      <c r="F2522">
        <v>619</v>
      </c>
      <c r="K2522" s="1">
        <f t="shared" si="245"/>
        <v>489</v>
      </c>
      <c r="L2522" s="1" t="str">
        <f t="shared" si="240"/>
        <v>Normal</v>
      </c>
      <c r="M2522" s="2">
        <f t="shared" si="241"/>
        <v>47.25</v>
      </c>
      <c r="N2522" s="1" t="str">
        <f t="shared" si="242"/>
        <v>Lembab</v>
      </c>
      <c r="O2522" t="str">
        <f t="shared" si="243"/>
        <v>Fuzzy</v>
      </c>
      <c r="P2522" t="str">
        <f t="shared" si="244"/>
        <v>Fuzzy</v>
      </c>
    </row>
    <row r="2523" spans="1:16" x14ac:dyDescent="0.35">
      <c r="A2523" t="s">
        <v>2526</v>
      </c>
      <c r="B2523">
        <v>6736</v>
      </c>
      <c r="C2523">
        <v>27</v>
      </c>
      <c r="D2523">
        <v>73</v>
      </c>
      <c r="E2523">
        <v>450</v>
      </c>
      <c r="F2523">
        <v>619</v>
      </c>
      <c r="K2523" s="1">
        <f t="shared" si="245"/>
        <v>450</v>
      </c>
      <c r="L2523" s="1" t="str">
        <f t="shared" si="240"/>
        <v>Normal</v>
      </c>
      <c r="M2523" s="2">
        <f t="shared" si="241"/>
        <v>37.5</v>
      </c>
      <c r="N2523" s="1" t="str">
        <f t="shared" si="242"/>
        <v>Lembab</v>
      </c>
      <c r="O2523" t="str">
        <f t="shared" si="243"/>
        <v>Fuzzy</v>
      </c>
      <c r="P2523" t="str">
        <f t="shared" si="244"/>
        <v>Fuzzy</v>
      </c>
    </row>
    <row r="2524" spans="1:16" x14ac:dyDescent="0.35">
      <c r="A2524" t="s">
        <v>2527</v>
      </c>
      <c r="B2524">
        <v>6737</v>
      </c>
      <c r="C2524">
        <v>27</v>
      </c>
      <c r="D2524">
        <v>73</v>
      </c>
      <c r="E2524">
        <v>471</v>
      </c>
      <c r="F2524">
        <v>619</v>
      </c>
      <c r="K2524" s="1">
        <f t="shared" si="245"/>
        <v>471</v>
      </c>
      <c r="L2524" s="1" t="str">
        <f t="shared" si="240"/>
        <v>Normal</v>
      </c>
      <c r="M2524" s="2">
        <f t="shared" si="241"/>
        <v>42.75</v>
      </c>
      <c r="N2524" s="1" t="str">
        <f t="shared" si="242"/>
        <v>Lembab</v>
      </c>
      <c r="O2524" t="str">
        <f t="shared" si="243"/>
        <v>Fuzzy</v>
      </c>
      <c r="P2524" t="str">
        <f t="shared" si="244"/>
        <v>Fuzzy</v>
      </c>
    </row>
    <row r="2525" spans="1:16" x14ac:dyDescent="0.35">
      <c r="A2525" t="s">
        <v>2528</v>
      </c>
      <c r="B2525">
        <v>6738</v>
      </c>
      <c r="C2525">
        <v>27</v>
      </c>
      <c r="D2525">
        <v>73</v>
      </c>
      <c r="E2525">
        <v>333</v>
      </c>
      <c r="F2525">
        <v>619</v>
      </c>
      <c r="K2525" s="1">
        <f t="shared" si="245"/>
        <v>333</v>
      </c>
      <c r="L2525" s="1" t="str">
        <f t="shared" si="240"/>
        <v>Normal</v>
      </c>
      <c r="M2525" s="2">
        <f t="shared" si="241"/>
        <v>8.25</v>
      </c>
      <c r="N2525" s="1" t="str">
        <f t="shared" si="242"/>
        <v>Kering</v>
      </c>
      <c r="O2525" t="str">
        <f t="shared" si="243"/>
        <v>Fuzzy</v>
      </c>
      <c r="P2525" t="str">
        <f t="shared" si="244"/>
        <v>Fuzzy</v>
      </c>
    </row>
    <row r="2526" spans="1:16" x14ac:dyDescent="0.35">
      <c r="A2526" t="s">
        <v>2529</v>
      </c>
      <c r="B2526">
        <v>6739</v>
      </c>
      <c r="C2526">
        <v>27</v>
      </c>
      <c r="D2526">
        <v>73</v>
      </c>
      <c r="E2526">
        <v>447</v>
      </c>
      <c r="F2526">
        <v>620</v>
      </c>
      <c r="K2526" s="1">
        <f t="shared" si="245"/>
        <v>447</v>
      </c>
      <c r="L2526" s="1" t="str">
        <f t="shared" si="240"/>
        <v>Normal</v>
      </c>
      <c r="M2526" s="2">
        <f t="shared" si="241"/>
        <v>36.75</v>
      </c>
      <c r="N2526" s="1" t="str">
        <f t="shared" si="242"/>
        <v>Lembab</v>
      </c>
      <c r="O2526" t="str">
        <f t="shared" si="243"/>
        <v>Fuzzy</v>
      </c>
      <c r="P2526" t="str">
        <f t="shared" si="244"/>
        <v>Fuzzy</v>
      </c>
    </row>
    <row r="2527" spans="1:16" x14ac:dyDescent="0.35">
      <c r="A2527" t="s">
        <v>2530</v>
      </c>
      <c r="B2527">
        <v>6740</v>
      </c>
      <c r="C2527">
        <v>27</v>
      </c>
      <c r="D2527">
        <v>73</v>
      </c>
      <c r="E2527">
        <v>389</v>
      </c>
      <c r="F2527">
        <v>619</v>
      </c>
      <c r="K2527" s="1">
        <f t="shared" si="245"/>
        <v>389</v>
      </c>
      <c r="L2527" s="1" t="str">
        <f t="shared" si="240"/>
        <v>Normal</v>
      </c>
      <c r="M2527" s="2">
        <f t="shared" si="241"/>
        <v>22.25</v>
      </c>
      <c r="N2527" s="1" t="str">
        <f t="shared" si="242"/>
        <v>Kering</v>
      </c>
      <c r="O2527" t="str">
        <f t="shared" si="243"/>
        <v>Fuzzy</v>
      </c>
      <c r="P2527" t="str">
        <f t="shared" si="244"/>
        <v>Fuzzy</v>
      </c>
    </row>
    <row r="2528" spans="1:16" x14ac:dyDescent="0.35">
      <c r="A2528" t="s">
        <v>2531</v>
      </c>
      <c r="B2528">
        <v>6741</v>
      </c>
      <c r="C2528">
        <v>27</v>
      </c>
      <c r="D2528">
        <v>73</v>
      </c>
      <c r="E2528">
        <v>453</v>
      </c>
      <c r="F2528">
        <v>620</v>
      </c>
      <c r="K2528" s="1">
        <f t="shared" si="245"/>
        <v>453</v>
      </c>
      <c r="L2528" s="1" t="str">
        <f t="shared" si="240"/>
        <v>Normal</v>
      </c>
      <c r="M2528" s="2">
        <f t="shared" si="241"/>
        <v>38.25</v>
      </c>
      <c r="N2528" s="1" t="str">
        <f t="shared" si="242"/>
        <v>Lembab</v>
      </c>
      <c r="O2528" t="str">
        <f t="shared" si="243"/>
        <v>Fuzzy</v>
      </c>
      <c r="P2528" t="str">
        <f t="shared" si="244"/>
        <v>Fuzzy</v>
      </c>
    </row>
    <row r="2529" spans="1:16" x14ac:dyDescent="0.35">
      <c r="A2529" t="s">
        <v>2532</v>
      </c>
      <c r="B2529">
        <v>6742</v>
      </c>
      <c r="C2529">
        <v>27</v>
      </c>
      <c r="D2529">
        <v>73</v>
      </c>
      <c r="E2529">
        <v>451</v>
      </c>
      <c r="F2529">
        <v>619</v>
      </c>
      <c r="K2529" s="1">
        <f t="shared" si="245"/>
        <v>451</v>
      </c>
      <c r="L2529" s="1" t="str">
        <f t="shared" si="240"/>
        <v>Normal</v>
      </c>
      <c r="M2529" s="2">
        <f t="shared" si="241"/>
        <v>37.75</v>
      </c>
      <c r="N2529" s="1" t="str">
        <f t="shared" si="242"/>
        <v>Lembab</v>
      </c>
      <c r="O2529" t="str">
        <f t="shared" si="243"/>
        <v>Fuzzy</v>
      </c>
      <c r="P2529" t="str">
        <f t="shared" si="244"/>
        <v>Fuzzy</v>
      </c>
    </row>
    <row r="2530" spans="1:16" x14ac:dyDescent="0.35">
      <c r="A2530" t="s">
        <v>2533</v>
      </c>
      <c r="B2530">
        <v>6743</v>
      </c>
      <c r="C2530">
        <v>27</v>
      </c>
      <c r="D2530">
        <v>73</v>
      </c>
      <c r="E2530">
        <v>461</v>
      </c>
      <c r="F2530">
        <v>619</v>
      </c>
      <c r="K2530" s="1">
        <f t="shared" si="245"/>
        <v>461</v>
      </c>
      <c r="L2530" s="1" t="str">
        <f t="shared" si="240"/>
        <v>Normal</v>
      </c>
      <c r="M2530" s="2">
        <f t="shared" si="241"/>
        <v>40.25</v>
      </c>
      <c r="N2530" s="1" t="str">
        <f t="shared" si="242"/>
        <v>Lembab</v>
      </c>
      <c r="O2530" t="str">
        <f t="shared" si="243"/>
        <v>Fuzzy</v>
      </c>
      <c r="P2530" t="str">
        <f t="shared" si="244"/>
        <v>Fuzzy</v>
      </c>
    </row>
    <row r="2531" spans="1:16" x14ac:dyDescent="0.35">
      <c r="A2531" t="s">
        <v>2534</v>
      </c>
      <c r="B2531">
        <v>6744</v>
      </c>
      <c r="C2531">
        <v>27</v>
      </c>
      <c r="D2531">
        <v>73</v>
      </c>
      <c r="E2531">
        <v>462</v>
      </c>
      <c r="F2531">
        <v>620</v>
      </c>
      <c r="K2531" s="1">
        <f t="shared" si="245"/>
        <v>462</v>
      </c>
      <c r="L2531" s="1" t="str">
        <f t="shared" si="240"/>
        <v>Normal</v>
      </c>
      <c r="M2531" s="2">
        <f t="shared" si="241"/>
        <v>40.5</v>
      </c>
      <c r="N2531" s="1" t="str">
        <f t="shared" si="242"/>
        <v>Lembab</v>
      </c>
      <c r="O2531" t="str">
        <f t="shared" si="243"/>
        <v>Fuzzy</v>
      </c>
      <c r="P2531" t="str">
        <f t="shared" si="244"/>
        <v>Fuzzy</v>
      </c>
    </row>
    <row r="2532" spans="1:16" x14ac:dyDescent="0.35">
      <c r="A2532" t="s">
        <v>2535</v>
      </c>
      <c r="B2532">
        <v>6745</v>
      </c>
      <c r="C2532">
        <v>27</v>
      </c>
      <c r="D2532">
        <v>73</v>
      </c>
      <c r="E2532">
        <v>435</v>
      </c>
      <c r="F2532">
        <v>620</v>
      </c>
      <c r="K2532" s="1">
        <f t="shared" si="245"/>
        <v>435</v>
      </c>
      <c r="L2532" s="1" t="str">
        <f t="shared" si="240"/>
        <v>Normal</v>
      </c>
      <c r="M2532" s="2">
        <f t="shared" si="241"/>
        <v>33.75</v>
      </c>
      <c r="N2532" s="1" t="str">
        <f t="shared" si="242"/>
        <v>Lembab</v>
      </c>
      <c r="O2532" t="str">
        <f t="shared" si="243"/>
        <v>Fuzzy</v>
      </c>
      <c r="P2532" t="str">
        <f t="shared" si="244"/>
        <v>Fuzzy</v>
      </c>
    </row>
    <row r="2533" spans="1:16" x14ac:dyDescent="0.35">
      <c r="A2533" t="s">
        <v>2536</v>
      </c>
      <c r="B2533">
        <v>6746</v>
      </c>
      <c r="C2533">
        <v>27</v>
      </c>
      <c r="D2533">
        <v>73</v>
      </c>
      <c r="E2533">
        <v>449</v>
      </c>
      <c r="F2533">
        <v>619</v>
      </c>
      <c r="K2533" s="1">
        <f t="shared" si="245"/>
        <v>449</v>
      </c>
      <c r="L2533" s="1" t="str">
        <f t="shared" si="240"/>
        <v>Normal</v>
      </c>
      <c r="M2533" s="2">
        <f t="shared" si="241"/>
        <v>37.25</v>
      </c>
      <c r="N2533" s="1" t="str">
        <f t="shared" si="242"/>
        <v>Lembab</v>
      </c>
      <c r="O2533" t="str">
        <f t="shared" si="243"/>
        <v>Fuzzy</v>
      </c>
      <c r="P2533" t="str">
        <f t="shared" si="244"/>
        <v>Fuzzy</v>
      </c>
    </row>
    <row r="2534" spans="1:16" x14ac:dyDescent="0.35">
      <c r="A2534" t="s">
        <v>2537</v>
      </c>
      <c r="B2534">
        <v>6747</v>
      </c>
      <c r="C2534">
        <v>27</v>
      </c>
      <c r="D2534">
        <v>73</v>
      </c>
      <c r="E2534">
        <v>456</v>
      </c>
      <c r="F2534">
        <v>620</v>
      </c>
      <c r="K2534" s="1">
        <f t="shared" si="245"/>
        <v>456</v>
      </c>
      <c r="L2534" s="1" t="str">
        <f t="shared" si="240"/>
        <v>Normal</v>
      </c>
      <c r="M2534" s="2">
        <f t="shared" si="241"/>
        <v>39</v>
      </c>
      <c r="N2534" s="1" t="str">
        <f t="shared" si="242"/>
        <v>Lembab</v>
      </c>
      <c r="O2534" t="str">
        <f t="shared" si="243"/>
        <v>Fuzzy</v>
      </c>
      <c r="P2534" t="str">
        <f t="shared" si="244"/>
        <v>Fuzzy</v>
      </c>
    </row>
    <row r="2535" spans="1:16" x14ac:dyDescent="0.35">
      <c r="M2535" s="2"/>
    </row>
    <row r="2536" spans="1:16" x14ac:dyDescent="0.35">
      <c r="M2536" s="2"/>
    </row>
    <row r="2537" spans="1:16" x14ac:dyDescent="0.35">
      <c r="M2537" s="2"/>
    </row>
    <row r="2538" spans="1:16" x14ac:dyDescent="0.35">
      <c r="M2538" s="2"/>
    </row>
    <row r="2539" spans="1:16" x14ac:dyDescent="0.35">
      <c r="M2539" s="2"/>
    </row>
    <row r="2540" spans="1:16" x14ac:dyDescent="0.35">
      <c r="M2540" s="2"/>
    </row>
    <row r="2541" spans="1:16" x14ac:dyDescent="0.35">
      <c r="M2541" s="2"/>
    </row>
    <row r="2542" spans="1:16" x14ac:dyDescent="0.35">
      <c r="M2542" s="2"/>
    </row>
    <row r="2543" spans="1:16" x14ac:dyDescent="0.35">
      <c r="M2543" s="2"/>
    </row>
    <row r="2544" spans="1:16" x14ac:dyDescent="0.35">
      <c r="M2544" s="2"/>
    </row>
    <row r="2545" spans="13:13" x14ac:dyDescent="0.35">
      <c r="M2545" s="2"/>
    </row>
    <row r="2546" spans="13:13" x14ac:dyDescent="0.35">
      <c r="M2546" s="2"/>
    </row>
    <row r="2547" spans="13:13" x14ac:dyDescent="0.35">
      <c r="M2547" s="2"/>
    </row>
    <row r="2548" spans="13:13" x14ac:dyDescent="0.35">
      <c r="M2548" s="2"/>
    </row>
    <row r="2549" spans="13:13" x14ac:dyDescent="0.35">
      <c r="M2549" s="2"/>
    </row>
    <row r="2550" spans="13:13" x14ac:dyDescent="0.35">
      <c r="M2550" s="2"/>
    </row>
    <row r="2551" spans="13:13" x14ac:dyDescent="0.35">
      <c r="M2551" s="2"/>
    </row>
    <row r="2552" spans="13:13" x14ac:dyDescent="0.35">
      <c r="M2552" s="2"/>
    </row>
    <row r="2553" spans="13:13" x14ac:dyDescent="0.35">
      <c r="M2553" s="2"/>
    </row>
    <row r="2554" spans="13:13" x14ac:dyDescent="0.35">
      <c r="M2554" s="2"/>
    </row>
    <row r="2555" spans="13:13" x14ac:dyDescent="0.35">
      <c r="M2555" s="2"/>
    </row>
    <row r="2556" spans="13:13" x14ac:dyDescent="0.35">
      <c r="M2556" s="2"/>
    </row>
    <row r="2557" spans="13:13" x14ac:dyDescent="0.35">
      <c r="M2557" s="2"/>
    </row>
    <row r="2558" spans="13:13" x14ac:dyDescent="0.35">
      <c r="M2558" s="2"/>
    </row>
    <row r="2559" spans="13:13" x14ac:dyDescent="0.35">
      <c r="M2559" s="2"/>
    </row>
    <row r="2560" spans="13:13" x14ac:dyDescent="0.35">
      <c r="M2560" s="2"/>
    </row>
    <row r="2561" spans="13:13" x14ac:dyDescent="0.35">
      <c r="M2561" s="2"/>
    </row>
    <row r="2562" spans="13:13" x14ac:dyDescent="0.35">
      <c r="M2562" s="2"/>
    </row>
    <row r="2563" spans="13:13" x14ac:dyDescent="0.35">
      <c r="M2563" s="2"/>
    </row>
    <row r="2564" spans="13:13" x14ac:dyDescent="0.35">
      <c r="M2564" s="2"/>
    </row>
    <row r="2565" spans="13:13" x14ac:dyDescent="0.35">
      <c r="M2565" s="2"/>
    </row>
    <row r="2566" spans="13:13" x14ac:dyDescent="0.35">
      <c r="M2566" s="2"/>
    </row>
    <row r="2567" spans="13:13" x14ac:dyDescent="0.35">
      <c r="M2567" s="2"/>
    </row>
    <row r="2568" spans="13:13" x14ac:dyDescent="0.35">
      <c r="M2568" s="2"/>
    </row>
    <row r="2569" spans="13:13" x14ac:dyDescent="0.35">
      <c r="M2569" s="2"/>
    </row>
    <row r="2570" spans="13:13" x14ac:dyDescent="0.35">
      <c r="M2570" s="2"/>
    </row>
    <row r="2571" spans="13:13" x14ac:dyDescent="0.35">
      <c r="M2571" s="2"/>
    </row>
    <row r="2572" spans="13:13" x14ac:dyDescent="0.35">
      <c r="M2572" s="2"/>
    </row>
    <row r="2573" spans="13:13" x14ac:dyDescent="0.35">
      <c r="M2573" s="2"/>
    </row>
    <row r="2574" spans="13:13" x14ac:dyDescent="0.35">
      <c r="M2574" s="2"/>
    </row>
    <row r="2575" spans="13:13" x14ac:dyDescent="0.35">
      <c r="M2575" s="2"/>
    </row>
    <row r="2576" spans="13:13" x14ac:dyDescent="0.35">
      <c r="M2576" s="2"/>
    </row>
    <row r="2577" spans="13:13" x14ac:dyDescent="0.35">
      <c r="M2577" s="2"/>
    </row>
    <row r="2578" spans="13:13" x14ac:dyDescent="0.35">
      <c r="M2578" s="2"/>
    </row>
    <row r="2579" spans="13:13" x14ac:dyDescent="0.35">
      <c r="M2579" s="2"/>
    </row>
    <row r="2580" spans="13:13" x14ac:dyDescent="0.35">
      <c r="M2580" s="2"/>
    </row>
    <row r="2581" spans="13:13" x14ac:dyDescent="0.35">
      <c r="M2581" s="2"/>
    </row>
    <row r="2582" spans="13:13" x14ac:dyDescent="0.35">
      <c r="M2582" s="2"/>
    </row>
    <row r="2583" spans="13:13" x14ac:dyDescent="0.35">
      <c r="M2583" s="2"/>
    </row>
    <row r="2584" spans="13:13" x14ac:dyDescent="0.35">
      <c r="M2584" s="2"/>
    </row>
    <row r="2585" spans="13:13" x14ac:dyDescent="0.35">
      <c r="M2585" s="2"/>
    </row>
    <row r="2586" spans="13:13" x14ac:dyDescent="0.35">
      <c r="M2586" s="2"/>
    </row>
    <row r="2587" spans="13:13" x14ac:dyDescent="0.35">
      <c r="M2587" s="2"/>
    </row>
    <row r="2588" spans="13:13" x14ac:dyDescent="0.35">
      <c r="M2588" s="2"/>
    </row>
    <row r="2589" spans="13:13" x14ac:dyDescent="0.35">
      <c r="M2589" s="2"/>
    </row>
    <row r="2590" spans="13:13" x14ac:dyDescent="0.35">
      <c r="M2590" s="2"/>
    </row>
    <row r="2591" spans="13:13" x14ac:dyDescent="0.35">
      <c r="M2591" s="2"/>
    </row>
    <row r="2592" spans="13:13" x14ac:dyDescent="0.35">
      <c r="M2592" s="2"/>
    </row>
    <row r="2593" spans="13:13" x14ac:dyDescent="0.35">
      <c r="M2593" s="2"/>
    </row>
    <row r="2594" spans="13:13" x14ac:dyDescent="0.35">
      <c r="M2594" s="2"/>
    </row>
    <row r="2595" spans="13:13" x14ac:dyDescent="0.35">
      <c r="M2595" s="2"/>
    </row>
    <row r="2596" spans="13:13" x14ac:dyDescent="0.35">
      <c r="M2596" s="2"/>
    </row>
    <row r="2597" spans="13:13" x14ac:dyDescent="0.35">
      <c r="M2597" s="2"/>
    </row>
    <row r="2598" spans="13:13" x14ac:dyDescent="0.35">
      <c r="M2598" s="2"/>
    </row>
    <row r="2599" spans="13:13" x14ac:dyDescent="0.35">
      <c r="M2599" s="2"/>
    </row>
    <row r="2600" spans="13:13" x14ac:dyDescent="0.35">
      <c r="M2600" s="2"/>
    </row>
    <row r="2601" spans="13:13" x14ac:dyDescent="0.35">
      <c r="M2601" s="2"/>
    </row>
    <row r="2602" spans="13:13" x14ac:dyDescent="0.35">
      <c r="M2602" s="2"/>
    </row>
    <row r="2603" spans="13:13" x14ac:dyDescent="0.35">
      <c r="M2603" s="2"/>
    </row>
    <row r="2604" spans="13:13" x14ac:dyDescent="0.35">
      <c r="M2604" s="2"/>
    </row>
    <row r="2605" spans="13:13" x14ac:dyDescent="0.35">
      <c r="M2605" s="2"/>
    </row>
    <row r="2606" spans="13:13" x14ac:dyDescent="0.35">
      <c r="M2606" s="2"/>
    </row>
    <row r="2607" spans="13:13" x14ac:dyDescent="0.35">
      <c r="M2607" s="2"/>
    </row>
    <row r="2608" spans="13:13" x14ac:dyDescent="0.35">
      <c r="M2608" s="2"/>
    </row>
    <row r="2609" spans="13:13" x14ac:dyDescent="0.35">
      <c r="M2609" s="2"/>
    </row>
    <row r="2610" spans="13:13" x14ac:dyDescent="0.35">
      <c r="M2610" s="2"/>
    </row>
    <row r="2611" spans="13:13" x14ac:dyDescent="0.35">
      <c r="M2611" s="2"/>
    </row>
    <row r="2612" spans="13:13" x14ac:dyDescent="0.35">
      <c r="M2612" s="2"/>
    </row>
    <row r="2613" spans="13:13" x14ac:dyDescent="0.35">
      <c r="M2613" s="2"/>
    </row>
    <row r="2614" spans="13:13" x14ac:dyDescent="0.35">
      <c r="M2614" s="2"/>
    </row>
    <row r="2615" spans="13:13" x14ac:dyDescent="0.35">
      <c r="M2615" s="2"/>
    </row>
    <row r="2616" spans="13:13" x14ac:dyDescent="0.35">
      <c r="M2616" s="2"/>
    </row>
    <row r="2617" spans="13:13" x14ac:dyDescent="0.35">
      <c r="M2617" s="2"/>
    </row>
    <row r="2618" spans="13:13" x14ac:dyDescent="0.35">
      <c r="M2618" s="2"/>
    </row>
    <row r="2619" spans="13:13" x14ac:dyDescent="0.35">
      <c r="M2619" s="2"/>
    </row>
    <row r="2620" spans="13:13" x14ac:dyDescent="0.35">
      <c r="M2620" s="2"/>
    </row>
    <row r="2621" spans="13:13" x14ac:dyDescent="0.35">
      <c r="M2621" s="2"/>
    </row>
    <row r="2622" spans="13:13" x14ac:dyDescent="0.35">
      <c r="M2622" s="2"/>
    </row>
    <row r="2623" spans="13:13" x14ac:dyDescent="0.35">
      <c r="M2623" s="2"/>
    </row>
    <row r="2624" spans="13:13" x14ac:dyDescent="0.35">
      <c r="M2624" s="2"/>
    </row>
    <row r="2625" spans="13:13" x14ac:dyDescent="0.35">
      <c r="M2625" s="2"/>
    </row>
    <row r="2626" spans="13:13" x14ac:dyDescent="0.35">
      <c r="M2626" s="2"/>
    </row>
    <row r="2627" spans="13:13" x14ac:dyDescent="0.35">
      <c r="M2627" s="2"/>
    </row>
    <row r="2628" spans="13:13" x14ac:dyDescent="0.35">
      <c r="M2628" s="2"/>
    </row>
    <row r="2629" spans="13:13" x14ac:dyDescent="0.35">
      <c r="M2629" s="2"/>
    </row>
    <row r="2630" spans="13:13" x14ac:dyDescent="0.35">
      <c r="M2630" s="2"/>
    </row>
    <row r="2631" spans="13:13" x14ac:dyDescent="0.35">
      <c r="M2631" s="2"/>
    </row>
    <row r="2632" spans="13:13" x14ac:dyDescent="0.35">
      <c r="M2632" s="2"/>
    </row>
    <row r="2633" spans="13:13" x14ac:dyDescent="0.35">
      <c r="M2633" s="2"/>
    </row>
    <row r="2634" spans="13:13" x14ac:dyDescent="0.35">
      <c r="M2634" s="2"/>
    </row>
    <row r="2635" spans="13:13" x14ac:dyDescent="0.35">
      <c r="M2635" s="2"/>
    </row>
    <row r="2636" spans="13:13" x14ac:dyDescent="0.35">
      <c r="M2636" s="2"/>
    </row>
    <row r="2637" spans="13:13" x14ac:dyDescent="0.35">
      <c r="M2637" s="2"/>
    </row>
    <row r="2638" spans="13:13" x14ac:dyDescent="0.35">
      <c r="M2638" s="2"/>
    </row>
    <row r="2639" spans="13:13" x14ac:dyDescent="0.35">
      <c r="M2639" s="2"/>
    </row>
    <row r="2640" spans="13:13" x14ac:dyDescent="0.35">
      <c r="M2640" s="2"/>
    </row>
    <row r="2641" spans="13:13" x14ac:dyDescent="0.35">
      <c r="M2641" s="2"/>
    </row>
    <row r="2642" spans="13:13" x14ac:dyDescent="0.35">
      <c r="M2642" s="2"/>
    </row>
    <row r="2643" spans="13:13" x14ac:dyDescent="0.35">
      <c r="M2643" s="2"/>
    </row>
    <row r="2644" spans="13:13" x14ac:dyDescent="0.35">
      <c r="M2644" s="2"/>
    </row>
    <row r="2645" spans="13:13" x14ac:dyDescent="0.35">
      <c r="M2645" s="2"/>
    </row>
    <row r="2646" spans="13:13" x14ac:dyDescent="0.35">
      <c r="M2646" s="2"/>
    </row>
    <row r="2647" spans="13:13" x14ac:dyDescent="0.35">
      <c r="M2647" s="2"/>
    </row>
    <row r="2648" spans="13:13" x14ac:dyDescent="0.35">
      <c r="M2648" s="2"/>
    </row>
    <row r="2649" spans="13:13" x14ac:dyDescent="0.35">
      <c r="M2649" s="2"/>
    </row>
    <row r="2650" spans="13:13" x14ac:dyDescent="0.35">
      <c r="M2650" s="2"/>
    </row>
    <row r="2651" spans="13:13" x14ac:dyDescent="0.35">
      <c r="M2651" s="2"/>
    </row>
    <row r="2652" spans="13:13" x14ac:dyDescent="0.35">
      <c r="M2652" s="2"/>
    </row>
    <row r="2653" spans="13:13" x14ac:dyDescent="0.35">
      <c r="M2653" s="2"/>
    </row>
    <row r="2654" spans="13:13" x14ac:dyDescent="0.35">
      <c r="M2654" s="2"/>
    </row>
    <row r="2655" spans="13:13" x14ac:dyDescent="0.35">
      <c r="M2655" s="2"/>
    </row>
    <row r="2656" spans="13:13" x14ac:dyDescent="0.35">
      <c r="M2656" s="2"/>
    </row>
    <row r="2657" spans="13:13" x14ac:dyDescent="0.35">
      <c r="M2657" s="2"/>
    </row>
    <row r="2658" spans="13:13" x14ac:dyDescent="0.35">
      <c r="M2658" s="2"/>
    </row>
    <row r="2659" spans="13:13" x14ac:dyDescent="0.35">
      <c r="M2659" s="2"/>
    </row>
    <row r="2660" spans="13:13" x14ac:dyDescent="0.35">
      <c r="M2660" s="2"/>
    </row>
    <row r="2661" spans="13:13" x14ac:dyDescent="0.35">
      <c r="M2661" s="2"/>
    </row>
    <row r="2662" spans="13:13" x14ac:dyDescent="0.35">
      <c r="M2662" s="2"/>
    </row>
    <row r="2663" spans="13:13" x14ac:dyDescent="0.35">
      <c r="M2663" s="2"/>
    </row>
    <row r="2664" spans="13:13" x14ac:dyDescent="0.35">
      <c r="M2664" s="2"/>
    </row>
    <row r="2665" spans="13:13" x14ac:dyDescent="0.35">
      <c r="M2665" s="2"/>
    </row>
    <row r="2666" spans="13:13" x14ac:dyDescent="0.35">
      <c r="M2666" s="2"/>
    </row>
    <row r="2667" spans="13:13" x14ac:dyDescent="0.35">
      <c r="M2667" s="2"/>
    </row>
    <row r="2668" spans="13:13" x14ac:dyDescent="0.35">
      <c r="M2668" s="2"/>
    </row>
    <row r="2669" spans="13:13" x14ac:dyDescent="0.35">
      <c r="M2669" s="2"/>
    </row>
    <row r="2670" spans="13:13" x14ac:dyDescent="0.35">
      <c r="M2670" s="2"/>
    </row>
    <row r="2671" spans="13:13" x14ac:dyDescent="0.35">
      <c r="M2671" s="2"/>
    </row>
    <row r="2672" spans="13:13" x14ac:dyDescent="0.35">
      <c r="M2672" s="2"/>
    </row>
    <row r="2673" spans="13:13" x14ac:dyDescent="0.35">
      <c r="M2673" s="2"/>
    </row>
    <row r="2674" spans="13:13" x14ac:dyDescent="0.35">
      <c r="M2674" s="2"/>
    </row>
    <row r="2675" spans="13:13" x14ac:dyDescent="0.35">
      <c r="M2675" s="2"/>
    </row>
    <row r="2676" spans="13:13" x14ac:dyDescent="0.35">
      <c r="M2676" s="2"/>
    </row>
    <row r="2677" spans="13:13" x14ac:dyDescent="0.35">
      <c r="M2677" s="2"/>
    </row>
    <row r="2678" spans="13:13" x14ac:dyDescent="0.35">
      <c r="M2678" s="2"/>
    </row>
    <row r="2679" spans="13:13" x14ac:dyDescent="0.35">
      <c r="M2679" s="2"/>
    </row>
    <row r="2680" spans="13:13" x14ac:dyDescent="0.35">
      <c r="M2680" s="2"/>
    </row>
    <row r="2681" spans="13:13" x14ac:dyDescent="0.35">
      <c r="M2681" s="2"/>
    </row>
    <row r="2682" spans="13:13" x14ac:dyDescent="0.35">
      <c r="M2682" s="2"/>
    </row>
    <row r="2683" spans="13:13" x14ac:dyDescent="0.35">
      <c r="M2683" s="2"/>
    </row>
    <row r="2684" spans="13:13" x14ac:dyDescent="0.35">
      <c r="M2684" s="2"/>
    </row>
    <row r="2685" spans="13:13" x14ac:dyDescent="0.35">
      <c r="M2685" s="2"/>
    </row>
    <row r="2686" spans="13:13" x14ac:dyDescent="0.35">
      <c r="M2686" s="2"/>
    </row>
    <row r="2687" spans="13:13" x14ac:dyDescent="0.35">
      <c r="M2687" s="2"/>
    </row>
    <row r="2688" spans="13:13" x14ac:dyDescent="0.35">
      <c r="M2688" s="2"/>
    </row>
    <row r="2689" spans="13:13" x14ac:dyDescent="0.35">
      <c r="M2689" s="2"/>
    </row>
    <row r="2690" spans="13:13" x14ac:dyDescent="0.35">
      <c r="M2690" s="2"/>
    </row>
    <row r="2691" spans="13:13" x14ac:dyDescent="0.35">
      <c r="M2691" s="2"/>
    </row>
    <row r="2692" spans="13:13" x14ac:dyDescent="0.35">
      <c r="M2692" s="2"/>
    </row>
    <row r="2693" spans="13:13" x14ac:dyDescent="0.35">
      <c r="M2693" s="2"/>
    </row>
    <row r="2694" spans="13:13" x14ac:dyDescent="0.35">
      <c r="M2694" s="2"/>
    </row>
    <row r="2695" spans="13:13" x14ac:dyDescent="0.35">
      <c r="M2695" s="2"/>
    </row>
    <row r="2696" spans="13:13" x14ac:dyDescent="0.35">
      <c r="M2696" s="2"/>
    </row>
    <row r="2697" spans="13:13" x14ac:dyDescent="0.35">
      <c r="M2697" s="2"/>
    </row>
    <row r="2698" spans="13:13" x14ac:dyDescent="0.35">
      <c r="M2698" s="2"/>
    </row>
    <row r="2699" spans="13:13" x14ac:dyDescent="0.35">
      <c r="M2699" s="2"/>
    </row>
    <row r="2700" spans="13:13" x14ac:dyDescent="0.35">
      <c r="M2700" s="2"/>
    </row>
    <row r="2701" spans="13:13" x14ac:dyDescent="0.35">
      <c r="M2701" s="2"/>
    </row>
    <row r="2702" spans="13:13" x14ac:dyDescent="0.35">
      <c r="M2702" s="2"/>
    </row>
    <row r="2703" spans="13:13" x14ac:dyDescent="0.35">
      <c r="M2703" s="2"/>
    </row>
    <row r="2704" spans="13:13" x14ac:dyDescent="0.35">
      <c r="M2704" s="2"/>
    </row>
    <row r="2705" spans="13:13" x14ac:dyDescent="0.35">
      <c r="M2705" s="2"/>
    </row>
    <row r="2706" spans="13:13" x14ac:dyDescent="0.35">
      <c r="M2706" s="2"/>
    </row>
    <row r="2707" spans="13:13" x14ac:dyDescent="0.35">
      <c r="M2707" s="2"/>
    </row>
    <row r="2708" spans="13:13" x14ac:dyDescent="0.35">
      <c r="M2708" s="2"/>
    </row>
    <row r="2709" spans="13:13" x14ac:dyDescent="0.35">
      <c r="M2709" s="2"/>
    </row>
    <row r="2710" spans="13:13" x14ac:dyDescent="0.35">
      <c r="M2710" s="2"/>
    </row>
    <row r="2711" spans="13:13" x14ac:dyDescent="0.35">
      <c r="M2711" s="2"/>
    </row>
    <row r="2712" spans="13:13" x14ac:dyDescent="0.35">
      <c r="M2712" s="2"/>
    </row>
    <row r="2713" spans="13:13" x14ac:dyDescent="0.35">
      <c r="M2713" s="2"/>
    </row>
    <row r="2714" spans="13:13" x14ac:dyDescent="0.35">
      <c r="M2714" s="2"/>
    </row>
    <row r="2715" spans="13:13" x14ac:dyDescent="0.35">
      <c r="M2715" s="2"/>
    </row>
    <row r="2716" spans="13:13" x14ac:dyDescent="0.35">
      <c r="M2716" s="2"/>
    </row>
    <row r="2717" spans="13:13" x14ac:dyDescent="0.35">
      <c r="M2717" s="2"/>
    </row>
    <row r="2718" spans="13:13" x14ac:dyDescent="0.35">
      <c r="M2718" s="2"/>
    </row>
    <row r="2719" spans="13:13" x14ac:dyDescent="0.35">
      <c r="M2719" s="2"/>
    </row>
    <row r="2720" spans="13:13" x14ac:dyDescent="0.35">
      <c r="M2720" s="2"/>
    </row>
    <row r="2721" spans="13:13" x14ac:dyDescent="0.35">
      <c r="M2721" s="2"/>
    </row>
    <row r="2722" spans="13:13" x14ac:dyDescent="0.35">
      <c r="M2722" s="2"/>
    </row>
    <row r="2723" spans="13:13" x14ac:dyDescent="0.35">
      <c r="M2723" s="2"/>
    </row>
    <row r="2724" spans="13:13" x14ac:dyDescent="0.35">
      <c r="M2724" s="2"/>
    </row>
    <row r="2725" spans="13:13" x14ac:dyDescent="0.35">
      <c r="M2725" s="2"/>
    </row>
    <row r="2726" spans="13:13" x14ac:dyDescent="0.35">
      <c r="M2726" s="2"/>
    </row>
    <row r="2727" spans="13:13" x14ac:dyDescent="0.35">
      <c r="M2727" s="2"/>
    </row>
    <row r="2728" spans="13:13" x14ac:dyDescent="0.35">
      <c r="M2728" s="2"/>
    </row>
    <row r="2729" spans="13:13" x14ac:dyDescent="0.35">
      <c r="M2729" s="2"/>
    </row>
    <row r="2730" spans="13:13" x14ac:dyDescent="0.35">
      <c r="M2730" s="2"/>
    </row>
    <row r="2731" spans="13:13" x14ac:dyDescent="0.35">
      <c r="M2731" s="2"/>
    </row>
    <row r="2732" spans="13:13" x14ac:dyDescent="0.35">
      <c r="M2732" s="2"/>
    </row>
    <row r="2733" spans="13:13" x14ac:dyDescent="0.35">
      <c r="M2733" s="2"/>
    </row>
    <row r="2734" spans="13:13" x14ac:dyDescent="0.35">
      <c r="M2734" s="2"/>
    </row>
    <row r="2735" spans="13:13" x14ac:dyDescent="0.35">
      <c r="M2735" s="2"/>
    </row>
    <row r="2736" spans="13:13" x14ac:dyDescent="0.35">
      <c r="M2736" s="2"/>
    </row>
    <row r="2737" spans="13:13" x14ac:dyDescent="0.35">
      <c r="M2737" s="2"/>
    </row>
    <row r="2738" spans="13:13" x14ac:dyDescent="0.35">
      <c r="M2738" s="2"/>
    </row>
    <row r="2739" spans="13:13" x14ac:dyDescent="0.35">
      <c r="M2739" s="2"/>
    </row>
    <row r="2740" spans="13:13" x14ac:dyDescent="0.35">
      <c r="M2740" s="2"/>
    </row>
    <row r="2741" spans="13:13" x14ac:dyDescent="0.35">
      <c r="M2741" s="2"/>
    </row>
    <row r="2742" spans="13:13" x14ac:dyDescent="0.35">
      <c r="M2742" s="2"/>
    </row>
    <row r="2743" spans="13:13" x14ac:dyDescent="0.35">
      <c r="M2743" s="2"/>
    </row>
    <row r="2744" spans="13:13" x14ac:dyDescent="0.35">
      <c r="M2744" s="2"/>
    </row>
    <row r="2745" spans="13:13" x14ac:dyDescent="0.35">
      <c r="M2745" s="2"/>
    </row>
    <row r="2746" spans="13:13" x14ac:dyDescent="0.35">
      <c r="M2746" s="2"/>
    </row>
    <row r="2747" spans="13:13" x14ac:dyDescent="0.35">
      <c r="M2747" s="2"/>
    </row>
    <row r="2748" spans="13:13" x14ac:dyDescent="0.35">
      <c r="M2748" s="2"/>
    </row>
    <row r="2749" spans="13:13" x14ac:dyDescent="0.35">
      <c r="M2749" s="2"/>
    </row>
    <row r="2750" spans="13:13" x14ac:dyDescent="0.35">
      <c r="M2750" s="2"/>
    </row>
    <row r="2751" spans="13:13" x14ac:dyDescent="0.35">
      <c r="M2751" s="2"/>
    </row>
    <row r="2752" spans="13:13" x14ac:dyDescent="0.35">
      <c r="M2752" s="2"/>
    </row>
    <row r="2753" spans="13:13" x14ac:dyDescent="0.35">
      <c r="M2753" s="2"/>
    </row>
    <row r="2754" spans="13:13" x14ac:dyDescent="0.35">
      <c r="M2754" s="2"/>
    </row>
    <row r="2755" spans="13:13" x14ac:dyDescent="0.35">
      <c r="M2755" s="2"/>
    </row>
    <row r="2756" spans="13:13" x14ac:dyDescent="0.35">
      <c r="M2756" s="2"/>
    </row>
    <row r="2757" spans="13:13" x14ac:dyDescent="0.35">
      <c r="M2757" s="2"/>
    </row>
    <row r="2758" spans="13:13" x14ac:dyDescent="0.35">
      <c r="M2758" s="2"/>
    </row>
    <row r="2759" spans="13:13" x14ac:dyDescent="0.35">
      <c r="M2759" s="2"/>
    </row>
    <row r="2760" spans="13:13" x14ac:dyDescent="0.35">
      <c r="M2760" s="2"/>
    </row>
    <row r="2761" spans="13:13" x14ac:dyDescent="0.35">
      <c r="M2761" s="2"/>
    </row>
    <row r="2762" spans="13:13" x14ac:dyDescent="0.35">
      <c r="M2762" s="2"/>
    </row>
    <row r="2763" spans="13:13" x14ac:dyDescent="0.35">
      <c r="M2763" s="2"/>
    </row>
    <row r="2764" spans="13:13" x14ac:dyDescent="0.35">
      <c r="M2764" s="2"/>
    </row>
    <row r="2765" spans="13:13" x14ac:dyDescent="0.35">
      <c r="M2765" s="2"/>
    </row>
    <row r="2766" spans="13:13" x14ac:dyDescent="0.35">
      <c r="M2766" s="2"/>
    </row>
    <row r="2767" spans="13:13" x14ac:dyDescent="0.35">
      <c r="M2767" s="2"/>
    </row>
    <row r="2768" spans="13:13" x14ac:dyDescent="0.35">
      <c r="M2768" s="2"/>
    </row>
    <row r="2769" spans="13:13" x14ac:dyDescent="0.35">
      <c r="M2769" s="2"/>
    </row>
    <row r="2770" spans="13:13" x14ac:dyDescent="0.35">
      <c r="M2770" s="2"/>
    </row>
    <row r="2771" spans="13:13" x14ac:dyDescent="0.35">
      <c r="M2771" s="2"/>
    </row>
    <row r="2772" spans="13:13" x14ac:dyDescent="0.35">
      <c r="M2772" s="2"/>
    </row>
    <row r="2773" spans="13:13" x14ac:dyDescent="0.35">
      <c r="M2773" s="2"/>
    </row>
    <row r="2774" spans="13:13" x14ac:dyDescent="0.35">
      <c r="M2774" s="2"/>
    </row>
    <row r="2775" spans="13:13" x14ac:dyDescent="0.35">
      <c r="M2775" s="2"/>
    </row>
    <row r="2776" spans="13:13" x14ac:dyDescent="0.35">
      <c r="M2776" s="2"/>
    </row>
    <row r="2777" spans="13:13" x14ac:dyDescent="0.35">
      <c r="M2777" s="2"/>
    </row>
    <row r="2778" spans="13:13" x14ac:dyDescent="0.35">
      <c r="M2778" s="2"/>
    </row>
    <row r="2779" spans="13:13" x14ac:dyDescent="0.35">
      <c r="M2779" s="2"/>
    </row>
    <row r="2780" spans="13:13" x14ac:dyDescent="0.35">
      <c r="M2780" s="2"/>
    </row>
    <row r="2781" spans="13:13" x14ac:dyDescent="0.35">
      <c r="M2781" s="2"/>
    </row>
    <row r="2782" spans="13:13" x14ac:dyDescent="0.35">
      <c r="M2782" s="2"/>
    </row>
    <row r="2783" spans="13:13" x14ac:dyDescent="0.35">
      <c r="M2783" s="2"/>
    </row>
    <row r="2784" spans="13:13" x14ac:dyDescent="0.35">
      <c r="M2784" s="2"/>
    </row>
    <row r="2785" spans="13:13" x14ac:dyDescent="0.35">
      <c r="M2785" s="2"/>
    </row>
    <row r="2786" spans="13:13" x14ac:dyDescent="0.35">
      <c r="M2786" s="2"/>
    </row>
    <row r="2787" spans="13:13" x14ac:dyDescent="0.35">
      <c r="M2787" s="2"/>
    </row>
    <row r="2788" spans="13:13" x14ac:dyDescent="0.35">
      <c r="M2788" s="2"/>
    </row>
    <row r="2789" spans="13:13" x14ac:dyDescent="0.35">
      <c r="M2789" s="2"/>
    </row>
    <row r="2790" spans="13:13" x14ac:dyDescent="0.35">
      <c r="M2790" s="2"/>
    </row>
    <row r="2791" spans="13:13" x14ac:dyDescent="0.35">
      <c r="M2791" s="2"/>
    </row>
    <row r="2792" spans="13:13" x14ac:dyDescent="0.35">
      <c r="M2792" s="2"/>
    </row>
    <row r="2793" spans="13:13" x14ac:dyDescent="0.35">
      <c r="M2793" s="2"/>
    </row>
    <row r="2794" spans="13:13" x14ac:dyDescent="0.35">
      <c r="M2794" s="2"/>
    </row>
    <row r="2795" spans="13:13" x14ac:dyDescent="0.35">
      <c r="M2795" s="2"/>
    </row>
    <row r="2796" spans="13:13" x14ac:dyDescent="0.35">
      <c r="M2796" s="2"/>
    </row>
    <row r="2797" spans="13:13" x14ac:dyDescent="0.35">
      <c r="M2797" s="2"/>
    </row>
  </sheetData>
  <conditionalFormatting sqref="C1:C1048576">
    <cfRule type="top10" dxfId="1" priority="2" rank="10"/>
  </conditionalFormatting>
  <conditionalFormatting sqref="C1:C1048576 M1:M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Genta Sufianto.S.Kom</dc:creator>
  <cp:lastModifiedBy>Triawan Adi Cahyanto</cp:lastModifiedBy>
  <dcterms:created xsi:type="dcterms:W3CDTF">2023-08-13T02:10:12Z</dcterms:created>
  <dcterms:modified xsi:type="dcterms:W3CDTF">2023-08-17T13:18:17Z</dcterms:modified>
</cp:coreProperties>
</file>